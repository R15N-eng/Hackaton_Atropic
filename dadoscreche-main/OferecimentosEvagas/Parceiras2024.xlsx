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EstaPastaDeTrabalho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gfdom\Downloads\"/>
    </mc:Choice>
  </mc:AlternateContent>
  <xr:revisionPtr revIDLastSave="0" documentId="13_ncr:1_{FC6A62A1-8777-4ABB-9FC6-5BD0D4306919}" xr6:coauthVersionLast="47" xr6:coauthVersionMax="47" xr10:uidLastSave="{00000000-0000-0000-0000-000000000000}"/>
  <bookViews>
    <workbookView xWindow="-120" yWindow="-120" windowWidth="29040" windowHeight="15720" firstSheet="2" activeTab="2" xr2:uid="{ADF34A82-7394-40DD-A3F5-DF93A0A4F84B}"/>
  </bookViews>
  <sheets>
    <sheet name="Apoio" sheetId="7" state="hidden" r:id="rId1"/>
    <sheet name="Endereços" sheetId="6" state="hidden" r:id="rId2"/>
    <sheet name="Maio-2024" sheetId="1" r:id="rId3"/>
  </sheets>
  <externalReferences>
    <externalReference r:id="rId4"/>
    <externalReference r:id="rId5"/>
  </externalReferences>
  <definedNames>
    <definedName name="_xlnm._FilterDatabase" localSheetId="2" hidden="1">'Maio-2024'!$A$4:$AP$353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17" i="1" l="1"/>
  <c r="T162" i="1" l="1"/>
  <c r="AN151" i="1" l="1"/>
  <c r="AN152" i="1"/>
  <c r="AN153" i="1"/>
  <c r="AN154" i="1"/>
  <c r="AN155" i="1"/>
  <c r="AN156" i="1"/>
  <c r="AN157" i="1"/>
  <c r="AN158" i="1"/>
  <c r="AN159" i="1"/>
  <c r="AN160" i="1"/>
  <c r="AN161" i="1"/>
  <c r="AN162" i="1"/>
  <c r="AN163" i="1"/>
  <c r="AN164" i="1"/>
  <c r="AN165" i="1"/>
  <c r="AN166" i="1"/>
  <c r="AN167" i="1"/>
  <c r="AN168" i="1"/>
  <c r="AN169" i="1"/>
  <c r="AN170" i="1"/>
  <c r="AN171" i="1"/>
  <c r="AN172" i="1"/>
  <c r="AN173" i="1"/>
  <c r="AN174" i="1"/>
  <c r="AN175" i="1"/>
  <c r="AN176" i="1"/>
  <c r="AN177" i="1"/>
  <c r="AN178" i="1"/>
  <c r="AN179" i="1"/>
  <c r="AN180" i="1"/>
  <c r="AN181" i="1"/>
  <c r="AN182" i="1"/>
  <c r="AN183" i="1"/>
  <c r="AN184" i="1"/>
  <c r="AN185" i="1"/>
  <c r="AN186" i="1"/>
  <c r="AN187" i="1"/>
  <c r="AN188" i="1"/>
  <c r="AN189" i="1"/>
  <c r="AN190" i="1"/>
  <c r="AN191" i="1"/>
  <c r="AN192" i="1"/>
  <c r="AN193" i="1"/>
  <c r="AN194" i="1"/>
  <c r="AN195" i="1"/>
  <c r="AN196" i="1"/>
  <c r="AN197" i="1"/>
  <c r="AN198" i="1"/>
  <c r="AN199" i="1"/>
  <c r="AN200" i="1"/>
  <c r="AN201" i="1"/>
  <c r="AN202" i="1"/>
  <c r="AN203" i="1"/>
  <c r="AN204" i="1"/>
  <c r="AN205" i="1"/>
  <c r="AN206" i="1"/>
  <c r="AN207" i="1"/>
  <c r="AN208" i="1"/>
  <c r="AN209" i="1"/>
  <c r="AN210" i="1"/>
  <c r="AN211" i="1"/>
  <c r="AN212" i="1"/>
  <c r="AN213" i="1"/>
  <c r="AN214" i="1"/>
  <c r="AN215" i="1"/>
  <c r="AN216" i="1"/>
  <c r="AN217" i="1"/>
  <c r="AN218" i="1"/>
  <c r="AN219" i="1"/>
  <c r="AN220" i="1"/>
  <c r="AN221" i="1"/>
  <c r="AN222" i="1"/>
  <c r="AN223" i="1"/>
  <c r="AN224" i="1"/>
  <c r="AN225" i="1"/>
  <c r="AN226" i="1"/>
  <c r="AN227" i="1"/>
  <c r="AN228" i="1"/>
  <c r="AN229" i="1"/>
  <c r="AN230" i="1"/>
  <c r="AN231" i="1"/>
  <c r="AN232" i="1"/>
  <c r="AN233" i="1"/>
  <c r="AN234" i="1"/>
  <c r="AN235" i="1"/>
  <c r="AN236" i="1"/>
  <c r="AN237" i="1"/>
  <c r="AN238" i="1"/>
  <c r="AN239" i="1"/>
  <c r="AN240" i="1"/>
  <c r="AN241" i="1"/>
  <c r="AN242" i="1"/>
  <c r="AN243" i="1"/>
  <c r="AN244" i="1"/>
  <c r="AN245" i="1"/>
  <c r="AN246" i="1"/>
  <c r="AN247" i="1"/>
  <c r="AN248" i="1"/>
  <c r="AN249" i="1"/>
  <c r="AN250" i="1"/>
  <c r="AN251" i="1"/>
  <c r="AN252" i="1"/>
  <c r="AN253" i="1"/>
  <c r="AN254" i="1"/>
  <c r="AN255" i="1"/>
  <c r="AN256" i="1"/>
  <c r="AN257" i="1"/>
  <c r="AN258" i="1"/>
  <c r="AN259" i="1"/>
  <c r="AN260" i="1"/>
  <c r="AN261" i="1"/>
  <c r="AN262" i="1"/>
  <c r="AN263" i="1"/>
  <c r="AN264" i="1"/>
  <c r="AN265" i="1"/>
  <c r="AN266" i="1"/>
  <c r="AN267" i="1"/>
  <c r="AN268" i="1"/>
  <c r="AN269" i="1"/>
  <c r="AN270" i="1"/>
  <c r="AN271" i="1"/>
  <c r="AN272" i="1"/>
  <c r="AN273" i="1"/>
  <c r="AN274" i="1"/>
  <c r="AN275" i="1"/>
  <c r="AN276" i="1"/>
  <c r="AN277" i="1"/>
  <c r="AN278" i="1"/>
  <c r="AN279" i="1"/>
  <c r="AN280" i="1"/>
  <c r="AN281" i="1"/>
  <c r="AN282" i="1"/>
  <c r="AN283" i="1"/>
  <c r="AN284" i="1"/>
  <c r="AN285" i="1"/>
  <c r="AN286" i="1"/>
  <c r="AN287" i="1"/>
  <c r="AN288" i="1"/>
  <c r="AN289" i="1"/>
  <c r="AN290" i="1"/>
  <c r="AN291" i="1"/>
  <c r="AN292" i="1"/>
  <c r="AN293" i="1"/>
  <c r="AN294" i="1"/>
  <c r="AN295" i="1"/>
  <c r="AN296" i="1"/>
  <c r="AN297" i="1"/>
  <c r="AN298" i="1"/>
  <c r="AN299" i="1"/>
  <c r="AN300" i="1"/>
  <c r="AN301" i="1"/>
  <c r="AN302" i="1"/>
  <c r="AN303" i="1"/>
  <c r="AN304" i="1"/>
  <c r="AN305" i="1"/>
  <c r="AN306" i="1"/>
  <c r="AN307" i="1"/>
  <c r="AN308" i="1"/>
  <c r="AN309" i="1"/>
  <c r="AN310" i="1"/>
  <c r="AN311" i="1"/>
  <c r="AN312" i="1"/>
  <c r="AN313" i="1"/>
  <c r="AN314" i="1"/>
  <c r="AN315" i="1"/>
  <c r="AN316" i="1"/>
  <c r="AN317" i="1"/>
  <c r="AN318" i="1"/>
  <c r="AN319" i="1"/>
  <c r="AN320" i="1"/>
  <c r="AN321" i="1"/>
  <c r="AN322" i="1"/>
  <c r="AN323" i="1"/>
  <c r="AN324" i="1"/>
  <c r="AN325" i="1"/>
  <c r="AN326" i="1"/>
  <c r="AN327" i="1"/>
  <c r="AN328" i="1"/>
  <c r="AN329" i="1"/>
  <c r="AN330" i="1"/>
  <c r="AN331" i="1"/>
  <c r="AN332" i="1"/>
  <c r="AN333" i="1"/>
  <c r="AN334" i="1"/>
  <c r="AN335" i="1"/>
  <c r="AN336" i="1"/>
  <c r="AN337" i="1"/>
  <c r="AN338" i="1"/>
  <c r="AN339" i="1"/>
  <c r="AN340" i="1"/>
  <c r="AN341" i="1"/>
  <c r="AN342" i="1"/>
  <c r="AN343" i="1"/>
  <c r="AN344" i="1"/>
  <c r="AN345" i="1"/>
  <c r="AN346" i="1"/>
  <c r="AN347" i="1"/>
  <c r="AN348" i="1"/>
  <c r="AN349" i="1"/>
  <c r="AN350" i="1"/>
  <c r="AN351" i="1"/>
  <c r="AN352" i="1"/>
  <c r="AN353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4" i="1"/>
  <c r="AN95" i="1"/>
  <c r="AN96" i="1"/>
  <c r="AN97" i="1"/>
  <c r="AN98" i="1"/>
  <c r="AN99" i="1"/>
  <c r="AN100" i="1"/>
  <c r="AN101" i="1"/>
  <c r="AN102" i="1"/>
  <c r="AN103" i="1"/>
  <c r="AN105" i="1" l="1"/>
  <c r="AN106" i="1"/>
  <c r="AN107" i="1"/>
  <c r="AN108" i="1"/>
  <c r="AN109" i="1"/>
  <c r="AN110" i="1"/>
  <c r="AN111" i="1"/>
  <c r="AN112" i="1"/>
  <c r="AN113" i="1"/>
  <c r="AN114" i="1"/>
  <c r="AN115" i="1"/>
  <c r="AN116" i="1"/>
  <c r="AN117" i="1"/>
  <c r="AN118" i="1"/>
  <c r="AN119" i="1"/>
  <c r="AN120" i="1"/>
  <c r="AN121" i="1"/>
  <c r="AN122" i="1"/>
  <c r="AN123" i="1"/>
  <c r="AN124" i="1"/>
  <c r="AN125" i="1"/>
  <c r="AN126" i="1"/>
  <c r="AN127" i="1"/>
  <c r="AN128" i="1"/>
  <c r="AN129" i="1"/>
  <c r="AN130" i="1"/>
  <c r="AN131" i="1"/>
  <c r="AN132" i="1"/>
  <c r="AN133" i="1"/>
  <c r="AN134" i="1"/>
  <c r="AN135" i="1"/>
  <c r="AN136" i="1"/>
  <c r="AN137" i="1"/>
  <c r="AN138" i="1"/>
  <c r="AN139" i="1"/>
  <c r="AN140" i="1"/>
  <c r="AN141" i="1"/>
  <c r="AN142" i="1"/>
  <c r="AN143" i="1"/>
  <c r="AN144" i="1"/>
  <c r="AN145" i="1"/>
  <c r="AN146" i="1"/>
  <c r="AN147" i="1"/>
  <c r="AN148" i="1"/>
  <c r="AN149" i="1"/>
  <c r="AN150" i="1"/>
  <c r="AN104" i="1"/>
  <c r="AE353" i="1"/>
  <c r="AE352" i="1"/>
  <c r="AE351" i="1"/>
  <c r="AE349" i="1"/>
  <c r="AE348" i="1"/>
  <c r="AE346" i="1"/>
  <c r="AE345" i="1"/>
  <c r="AE344" i="1"/>
  <c r="AE343" i="1"/>
  <c r="AE342" i="1"/>
  <c r="AE341" i="1"/>
  <c r="AE340" i="1"/>
  <c r="AE339" i="1"/>
  <c r="AE338" i="1"/>
  <c r="AE336" i="1"/>
  <c r="AE335" i="1"/>
  <c r="AE333" i="1"/>
  <c r="AE332" i="1"/>
  <c r="AE331" i="1"/>
  <c r="AE330" i="1"/>
  <c r="AE329" i="1"/>
  <c r="AE328" i="1"/>
  <c r="AE327" i="1"/>
  <c r="AE326" i="1"/>
  <c r="AE325" i="1"/>
  <c r="AE324" i="1"/>
  <c r="AE323" i="1"/>
  <c r="AE322" i="1"/>
  <c r="AE321" i="1"/>
  <c r="AE320" i="1"/>
  <c r="AE319" i="1"/>
  <c r="AE318" i="1"/>
  <c r="AE316" i="1"/>
  <c r="AE315" i="1"/>
  <c r="AE314" i="1"/>
  <c r="AE313" i="1"/>
  <c r="AE312" i="1"/>
  <c r="AE311" i="1"/>
  <c r="AE310" i="1"/>
  <c r="AE309" i="1"/>
  <c r="AE308" i="1"/>
  <c r="AE307" i="1"/>
  <c r="AE306" i="1"/>
  <c r="AE305" i="1"/>
  <c r="AE304" i="1"/>
  <c r="AE303" i="1"/>
  <c r="AE302" i="1"/>
  <c r="AE301" i="1"/>
  <c r="AE300" i="1"/>
  <c r="AE299" i="1"/>
  <c r="AE298" i="1"/>
  <c r="AE297" i="1"/>
  <c r="AE296" i="1"/>
  <c r="AE295" i="1"/>
  <c r="AE294" i="1"/>
  <c r="AE293" i="1"/>
  <c r="AE292" i="1"/>
  <c r="AE291" i="1"/>
  <c r="AE289" i="1"/>
  <c r="AE287" i="1"/>
  <c r="AE286" i="1"/>
  <c r="AE285" i="1"/>
  <c r="AE284" i="1"/>
  <c r="AE283" i="1"/>
  <c r="AE282" i="1"/>
  <c r="AE281" i="1"/>
  <c r="AE280" i="1"/>
  <c r="AE277" i="1"/>
  <c r="AE276" i="1"/>
  <c r="AE275" i="1"/>
  <c r="AE274" i="1"/>
  <c r="AE273" i="1"/>
  <c r="AE272" i="1"/>
  <c r="AE271" i="1"/>
  <c r="AE270" i="1"/>
  <c r="AE269" i="1"/>
  <c r="AE268" i="1"/>
  <c r="AE267" i="1"/>
  <c r="AE265" i="1"/>
  <c r="AE264" i="1"/>
  <c r="AE263" i="1"/>
  <c r="AE262" i="1"/>
  <c r="AE261" i="1"/>
  <c r="AE260" i="1"/>
  <c r="AE259" i="1"/>
  <c r="AE258" i="1"/>
  <c r="AE257" i="1"/>
  <c r="AE256" i="1"/>
  <c r="AE255" i="1"/>
  <c r="AE254" i="1"/>
  <c r="AE252" i="1"/>
  <c r="AE251" i="1"/>
  <c r="AE250" i="1"/>
  <c r="AE246" i="1"/>
  <c r="AE245" i="1"/>
  <c r="AE244" i="1"/>
  <c r="AE243" i="1"/>
  <c r="AE242" i="1"/>
  <c r="AE240" i="1"/>
  <c r="AE239" i="1"/>
  <c r="AE238" i="1"/>
  <c r="AE237" i="1"/>
  <c r="AE236" i="1"/>
  <c r="AE235" i="1"/>
  <c r="AE234" i="1"/>
  <c r="AE233" i="1"/>
  <c r="AE232" i="1"/>
  <c r="AE231" i="1"/>
  <c r="AE230" i="1"/>
  <c r="AE229" i="1"/>
  <c r="AE228" i="1"/>
  <c r="AE227" i="1"/>
  <c r="AE226" i="1"/>
  <c r="AE224" i="1"/>
  <c r="AE223" i="1"/>
  <c r="AE222" i="1"/>
  <c r="AE221" i="1"/>
  <c r="AE220" i="1"/>
  <c r="AE219" i="1"/>
  <c r="AE218" i="1"/>
  <c r="AE217" i="1"/>
  <c r="AE216" i="1"/>
  <c r="AE215" i="1"/>
  <c r="AE213" i="1"/>
  <c r="AE212" i="1"/>
  <c r="AE211" i="1"/>
  <c r="AE210" i="1"/>
  <c r="AE209" i="1"/>
  <c r="AE208" i="1"/>
  <c r="AE207" i="1"/>
  <c r="AE206" i="1"/>
  <c r="AE205" i="1"/>
  <c r="AE204" i="1"/>
  <c r="AE202" i="1"/>
  <c r="AE200" i="1"/>
  <c r="AE199" i="1"/>
  <c r="AE198" i="1"/>
  <c r="AE197" i="1"/>
  <c r="AE196" i="1"/>
  <c r="AE195" i="1"/>
  <c r="AE194" i="1"/>
  <c r="AE193" i="1"/>
  <c r="AE192" i="1"/>
  <c r="AE191" i="1"/>
  <c r="AE189" i="1"/>
  <c r="AE186" i="1"/>
  <c r="AE185" i="1"/>
  <c r="AE184" i="1"/>
  <c r="AE183" i="1"/>
  <c r="AE180" i="1"/>
  <c r="AE179" i="1"/>
  <c r="AE178" i="1"/>
  <c r="AE176" i="1"/>
  <c r="AE175" i="1"/>
  <c r="AE174" i="1"/>
  <c r="AE172" i="1"/>
  <c r="AE171" i="1"/>
  <c r="AE170" i="1"/>
  <c r="AE169" i="1"/>
  <c r="AE168" i="1"/>
  <c r="AE167" i="1"/>
  <c r="AE165" i="1"/>
  <c r="AE162" i="1"/>
  <c r="AE161" i="1"/>
  <c r="AE159" i="1"/>
  <c r="AE158" i="1"/>
  <c r="AE157" i="1"/>
  <c r="AE156" i="1"/>
  <c r="AE155" i="1"/>
  <c r="AE154" i="1"/>
  <c r="AE153" i="1"/>
  <c r="AE152" i="1"/>
  <c r="AE151" i="1"/>
  <c r="AE150" i="1"/>
  <c r="AE149" i="1"/>
  <c r="AE148" i="1"/>
  <c r="AE147" i="1"/>
  <c r="AE146" i="1"/>
  <c r="AE145" i="1"/>
  <c r="AE144" i="1"/>
  <c r="AE143" i="1"/>
  <c r="AE142" i="1"/>
  <c r="AE141" i="1"/>
  <c r="AE140" i="1"/>
  <c r="AE139" i="1"/>
  <c r="AE138" i="1"/>
  <c r="AE136" i="1"/>
  <c r="AE135" i="1"/>
  <c r="AE134" i="1"/>
  <c r="AE133" i="1"/>
  <c r="AE132" i="1"/>
  <c r="AE131" i="1"/>
  <c r="AE130" i="1"/>
  <c r="AE129" i="1"/>
  <c r="AE128" i="1"/>
  <c r="AE127" i="1"/>
  <c r="AE126" i="1"/>
  <c r="AE125" i="1"/>
  <c r="AE124" i="1"/>
  <c r="AE123" i="1"/>
  <c r="AE122" i="1"/>
  <c r="AE121" i="1"/>
  <c r="AE120" i="1"/>
  <c r="AE119" i="1"/>
  <c r="AE118" i="1"/>
  <c r="AE116" i="1"/>
  <c r="AE115" i="1"/>
  <c r="AE113" i="1"/>
  <c r="AE112" i="1"/>
  <c r="AE111" i="1"/>
  <c r="AE110" i="1"/>
  <c r="AE109" i="1"/>
  <c r="AE108" i="1"/>
  <c r="AE107" i="1"/>
  <c r="AE106" i="1"/>
  <c r="AE104" i="1"/>
  <c r="AE103" i="1"/>
  <c r="AE102" i="1"/>
  <c r="AE101" i="1"/>
  <c r="AE100" i="1"/>
  <c r="AE99" i="1"/>
  <c r="AE98" i="1"/>
  <c r="AE97" i="1"/>
  <c r="AE96" i="1"/>
  <c r="AE95" i="1"/>
  <c r="AE94" i="1"/>
  <c r="AE92" i="1"/>
  <c r="AE91" i="1"/>
  <c r="AE90" i="1"/>
  <c r="AE89" i="1"/>
  <c r="AE88" i="1"/>
  <c r="AE87" i="1"/>
  <c r="AE86" i="1"/>
  <c r="AE85" i="1"/>
  <c r="AE84" i="1"/>
  <c r="AE83" i="1"/>
  <c r="AE81" i="1"/>
  <c r="AE80" i="1"/>
  <c r="AE79" i="1"/>
  <c r="AE78" i="1"/>
  <c r="AE77" i="1"/>
  <c r="AE76" i="1"/>
  <c r="AE75" i="1"/>
  <c r="AE74" i="1"/>
  <c r="AE73" i="1"/>
  <c r="AE72" i="1"/>
  <c r="AE71" i="1"/>
  <c r="AE69" i="1"/>
  <c r="AE68" i="1"/>
  <c r="AE67" i="1"/>
  <c r="AE66" i="1"/>
  <c r="AE65" i="1"/>
  <c r="AE64" i="1"/>
  <c r="AE62" i="1"/>
  <c r="AE61" i="1"/>
  <c r="AE60" i="1"/>
  <c r="AE59" i="1"/>
  <c r="AE58" i="1"/>
  <c r="AE57" i="1"/>
  <c r="AE56" i="1"/>
  <c r="AE54" i="1"/>
  <c r="AE53" i="1"/>
  <c r="AE52" i="1"/>
  <c r="AE51" i="1"/>
  <c r="AE50" i="1"/>
  <c r="AE49" i="1"/>
  <c r="AE48" i="1"/>
  <c r="AE47" i="1"/>
  <c r="AE46" i="1"/>
  <c r="AE45" i="1"/>
  <c r="AE44" i="1"/>
  <c r="AE43" i="1"/>
  <c r="AE42" i="1"/>
  <c r="AE41" i="1"/>
  <c r="AE40" i="1"/>
  <c r="AE39" i="1"/>
  <c r="AE38" i="1"/>
  <c r="AE37" i="1"/>
  <c r="AE36" i="1"/>
  <c r="AE34" i="1"/>
  <c r="AE32" i="1"/>
  <c r="AE30" i="1"/>
  <c r="AE29" i="1"/>
  <c r="AE28" i="1"/>
  <c r="AE27" i="1"/>
  <c r="AE26" i="1"/>
  <c r="AE25" i="1"/>
  <c r="AE23" i="1"/>
  <c r="AE22" i="1"/>
  <c r="AE21" i="1"/>
  <c r="AE20" i="1"/>
  <c r="AE16" i="1"/>
  <c r="AE15" i="1"/>
  <c r="AE14" i="1"/>
  <c r="AE13" i="1"/>
  <c r="AE12" i="1"/>
  <c r="AE11" i="1"/>
  <c r="AE10" i="1"/>
  <c r="AE9" i="1"/>
  <c r="AE8" i="1"/>
  <c r="AE7" i="1"/>
  <c r="AE6" i="1"/>
  <c r="AE5" i="1"/>
  <c r="Z353" i="1"/>
  <c r="Z352" i="1"/>
  <c r="Z351" i="1"/>
  <c r="Z350" i="1"/>
  <c r="Z349" i="1"/>
  <c r="Z348" i="1"/>
  <c r="Z347" i="1"/>
  <c r="Z346" i="1"/>
  <c r="Z345" i="1"/>
  <c r="Z344" i="1"/>
  <c r="Z343" i="1"/>
  <c r="Z342" i="1"/>
  <c r="Z341" i="1"/>
  <c r="Z340" i="1"/>
  <c r="Z339" i="1"/>
  <c r="Z338" i="1"/>
  <c r="Z337" i="1"/>
  <c r="Z336" i="1"/>
  <c r="Z335" i="1"/>
  <c r="Z334" i="1"/>
  <c r="Z333" i="1"/>
  <c r="Z332" i="1"/>
  <c r="Z331" i="1"/>
  <c r="Z330" i="1"/>
  <c r="Z329" i="1"/>
  <c r="Z328" i="1"/>
  <c r="Z327" i="1"/>
  <c r="Z326" i="1"/>
  <c r="Z325" i="1"/>
  <c r="Z324" i="1"/>
  <c r="Z323" i="1"/>
  <c r="Z322" i="1"/>
  <c r="Z321" i="1"/>
  <c r="Z319" i="1"/>
  <c r="Z318" i="1"/>
  <c r="Z317" i="1"/>
  <c r="Z316" i="1"/>
  <c r="Z315" i="1"/>
  <c r="Z314" i="1"/>
  <c r="Z313" i="1"/>
  <c r="Z312" i="1"/>
  <c r="Z311" i="1"/>
  <c r="Z310" i="1"/>
  <c r="Z309" i="1"/>
  <c r="Z308" i="1"/>
  <c r="Z307" i="1"/>
  <c r="Z306" i="1"/>
  <c r="Z305" i="1"/>
  <c r="Z304" i="1"/>
  <c r="Z303" i="1"/>
  <c r="Z302" i="1"/>
  <c r="Z301" i="1"/>
  <c r="Z300" i="1"/>
  <c r="Z299" i="1"/>
  <c r="Z298" i="1"/>
  <c r="Z296" i="1"/>
  <c r="Z295" i="1"/>
  <c r="Z294" i="1"/>
  <c r="Z293" i="1"/>
  <c r="Z292" i="1"/>
  <c r="Z291" i="1"/>
  <c r="Z290" i="1"/>
  <c r="Z289" i="1"/>
  <c r="Z287" i="1"/>
  <c r="Z286" i="1"/>
  <c r="Z285" i="1"/>
  <c r="Z284" i="1"/>
  <c r="Z282" i="1"/>
  <c r="Z281" i="1"/>
  <c r="Z280" i="1"/>
  <c r="Z279" i="1"/>
  <c r="Z278" i="1"/>
  <c r="Z277" i="1"/>
  <c r="Z276" i="1"/>
  <c r="Z275" i="1"/>
  <c r="Z274" i="1"/>
  <c r="Z273" i="1"/>
  <c r="Z272" i="1"/>
  <c r="Z271" i="1"/>
  <c r="Z270" i="1"/>
  <c r="Z269" i="1"/>
  <c r="Z268" i="1"/>
  <c r="Z267" i="1"/>
  <c r="Z265" i="1"/>
  <c r="Z264" i="1"/>
  <c r="Z262" i="1"/>
  <c r="Z260" i="1"/>
  <c r="Z259" i="1"/>
  <c r="Z258" i="1"/>
  <c r="Z257" i="1"/>
  <c r="Z256" i="1"/>
  <c r="Z255" i="1"/>
  <c r="Z254" i="1"/>
  <c r="Z253" i="1"/>
  <c r="Z252" i="1"/>
  <c r="Z251" i="1"/>
  <c r="Z250" i="1"/>
  <c r="Z248" i="1"/>
  <c r="Z247" i="1"/>
  <c r="Z246" i="1"/>
  <c r="Z245" i="1"/>
  <c r="Z244" i="1"/>
  <c r="Z242" i="1"/>
  <c r="Z241" i="1"/>
  <c r="Z240" i="1"/>
  <c r="Z239" i="1"/>
  <c r="Z238" i="1"/>
  <c r="Z237" i="1"/>
  <c r="Z236" i="1"/>
  <c r="Z235" i="1"/>
  <c r="Z234" i="1"/>
  <c r="Z233" i="1"/>
  <c r="Z232" i="1"/>
  <c r="Z231" i="1"/>
  <c r="Z230" i="1"/>
  <c r="Z229" i="1"/>
  <c r="Z228" i="1"/>
  <c r="Z227" i="1"/>
  <c r="Z226" i="1"/>
  <c r="Z225" i="1"/>
  <c r="Z224" i="1"/>
  <c r="Z223" i="1"/>
  <c r="Z222" i="1"/>
  <c r="Z221" i="1"/>
  <c r="Z220" i="1"/>
  <c r="Z219" i="1"/>
  <c r="Z218" i="1"/>
  <c r="Z217" i="1"/>
  <c r="Z216" i="1"/>
  <c r="Z215" i="1"/>
  <c r="Z214" i="1"/>
  <c r="Z213" i="1"/>
  <c r="Z212" i="1"/>
  <c r="Z211" i="1"/>
  <c r="Z210" i="1"/>
  <c r="Z209" i="1"/>
  <c r="Z208" i="1"/>
  <c r="Z206" i="1"/>
  <c r="Z205" i="1"/>
  <c r="Z204" i="1"/>
  <c r="Z203" i="1"/>
  <c r="Z202" i="1"/>
  <c r="Z201" i="1"/>
  <c r="Z199" i="1"/>
  <c r="Z198" i="1"/>
  <c r="Z197" i="1"/>
  <c r="Z196" i="1"/>
  <c r="Z195" i="1"/>
  <c r="Z194" i="1"/>
  <c r="Z193" i="1"/>
  <c r="Z192" i="1"/>
  <c r="Z191" i="1"/>
  <c r="Z190" i="1"/>
  <c r="Z189" i="1"/>
  <c r="Z188" i="1"/>
  <c r="Z187" i="1"/>
  <c r="Z186" i="1"/>
  <c r="Z185" i="1"/>
  <c r="Z184" i="1"/>
  <c r="Z183" i="1"/>
  <c r="Z182" i="1"/>
  <c r="Z181" i="1"/>
  <c r="Z180" i="1"/>
  <c r="Z179" i="1"/>
  <c r="Z178" i="1"/>
  <c r="Z177" i="1"/>
  <c r="Z176" i="1"/>
  <c r="Z175" i="1"/>
  <c r="Z174" i="1"/>
  <c r="Z172" i="1"/>
  <c r="Z171" i="1"/>
  <c r="Z170" i="1"/>
  <c r="Z169" i="1"/>
  <c r="Z168" i="1"/>
  <c r="Z167" i="1"/>
  <c r="Z165" i="1"/>
  <c r="Z164" i="1"/>
  <c r="Z163" i="1"/>
  <c r="Z162" i="1"/>
  <c r="Z161" i="1"/>
  <c r="Z160" i="1"/>
  <c r="Z159" i="1"/>
  <c r="Z158" i="1"/>
  <c r="Z157" i="1"/>
  <c r="Z155" i="1"/>
  <c r="Z154" i="1"/>
  <c r="Z153" i="1"/>
  <c r="Z152" i="1"/>
  <c r="Z151" i="1"/>
  <c r="Z150" i="1"/>
  <c r="Z149" i="1"/>
  <c r="Z148" i="1"/>
  <c r="Z147" i="1"/>
  <c r="Z146" i="1"/>
  <c r="Z145" i="1"/>
  <c r="Z144" i="1"/>
  <c r="Z143" i="1"/>
  <c r="Z142" i="1"/>
  <c r="Z141" i="1"/>
  <c r="Z140" i="1"/>
  <c r="Z139" i="1"/>
  <c r="Z138" i="1"/>
  <c r="Z137" i="1"/>
  <c r="Z136" i="1"/>
  <c r="Z135" i="1"/>
  <c r="Z134" i="1"/>
  <c r="Z133" i="1"/>
  <c r="Z131" i="1"/>
  <c r="Z130" i="1"/>
  <c r="Z129" i="1"/>
  <c r="Z128" i="1"/>
  <c r="Z127" i="1"/>
  <c r="Z126" i="1"/>
  <c r="Z125" i="1"/>
  <c r="Z124" i="1"/>
  <c r="Z123" i="1"/>
  <c r="Z122" i="1"/>
  <c r="Z121" i="1"/>
  <c r="Z120" i="1"/>
  <c r="Z119" i="1"/>
  <c r="Z116" i="1"/>
  <c r="Z115" i="1"/>
  <c r="Z114" i="1"/>
  <c r="Z113" i="1"/>
  <c r="Z112" i="1"/>
  <c r="Z111" i="1"/>
  <c r="Z110" i="1"/>
  <c r="Z109" i="1"/>
  <c r="Z108" i="1"/>
  <c r="Z107" i="1"/>
  <c r="Z106" i="1"/>
  <c r="Z105" i="1"/>
  <c r="Z104" i="1"/>
  <c r="Z103" i="1"/>
  <c r="Z102" i="1"/>
  <c r="Z101" i="1"/>
  <c r="Z100" i="1"/>
  <c r="Z99" i="1"/>
  <c r="Z97" i="1"/>
  <c r="Z96" i="1"/>
  <c r="Z95" i="1"/>
  <c r="Z94" i="1"/>
  <c r="Z93" i="1"/>
  <c r="Z92" i="1"/>
  <c r="Z91" i="1"/>
  <c r="Z90" i="1"/>
  <c r="Z89" i="1"/>
  <c r="Z87" i="1"/>
  <c r="Z86" i="1"/>
  <c r="Z84" i="1"/>
  <c r="Z83" i="1"/>
  <c r="Z82" i="1"/>
  <c r="Z81" i="1"/>
  <c r="Z80" i="1"/>
  <c r="Z79" i="1"/>
  <c r="Z78" i="1"/>
  <c r="Z77" i="1"/>
  <c r="Z76" i="1"/>
  <c r="Z75" i="1"/>
  <c r="Z74" i="1"/>
  <c r="Z73" i="1"/>
  <c r="Z72" i="1"/>
  <c r="Z71" i="1"/>
  <c r="Z69" i="1"/>
  <c r="Z68" i="1"/>
  <c r="Z67" i="1"/>
  <c r="Z66" i="1"/>
  <c r="Z65" i="1"/>
  <c r="Z64" i="1"/>
  <c r="Z63" i="1"/>
  <c r="Z61" i="1"/>
  <c r="Z59" i="1"/>
  <c r="Z58" i="1"/>
  <c r="Z57" i="1"/>
  <c r="Z56" i="1"/>
  <c r="Z55" i="1"/>
  <c r="Z54" i="1"/>
  <c r="Z52" i="1"/>
  <c r="Z51" i="1"/>
  <c r="Z50" i="1"/>
  <c r="Z49" i="1"/>
  <c r="Z48" i="1"/>
  <c r="Z47" i="1"/>
  <c r="Z46" i="1"/>
  <c r="Z45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2" i="1"/>
  <c r="Z21" i="1"/>
  <c r="Z20" i="1"/>
  <c r="Z19" i="1"/>
  <c r="Z17" i="1"/>
  <c r="Z16" i="1"/>
  <c r="Z15" i="1"/>
  <c r="Z13" i="1"/>
  <c r="Z12" i="1"/>
  <c r="Z11" i="1"/>
  <c r="Z10" i="1"/>
  <c r="Z9" i="1"/>
  <c r="Z8" i="1"/>
  <c r="Z7" i="1"/>
  <c r="Z6" i="1"/>
  <c r="Z5" i="1"/>
  <c r="U353" i="1"/>
  <c r="U352" i="1"/>
  <c r="U351" i="1"/>
  <c r="U350" i="1"/>
  <c r="U349" i="1"/>
  <c r="U348" i="1"/>
  <c r="U347" i="1"/>
  <c r="U346" i="1"/>
  <c r="U345" i="1"/>
  <c r="U344" i="1"/>
  <c r="U343" i="1"/>
  <c r="U342" i="1"/>
  <c r="U341" i="1"/>
  <c r="U340" i="1"/>
  <c r="U339" i="1"/>
  <c r="U338" i="1"/>
  <c r="U337" i="1"/>
  <c r="U336" i="1"/>
  <c r="U335" i="1"/>
  <c r="U334" i="1"/>
  <c r="U333" i="1"/>
  <c r="U332" i="1"/>
  <c r="U331" i="1"/>
  <c r="U330" i="1"/>
  <c r="U329" i="1"/>
  <c r="U328" i="1"/>
  <c r="U327" i="1"/>
  <c r="U326" i="1"/>
  <c r="U325" i="1"/>
  <c r="U324" i="1"/>
  <c r="U323" i="1"/>
  <c r="U322" i="1"/>
  <c r="U321" i="1"/>
  <c r="U320" i="1"/>
  <c r="U319" i="1"/>
  <c r="U318" i="1"/>
  <c r="U316" i="1"/>
  <c r="U315" i="1"/>
  <c r="U314" i="1"/>
  <c r="U312" i="1"/>
  <c r="U311" i="1"/>
  <c r="U310" i="1"/>
  <c r="U309" i="1"/>
  <c r="U308" i="1"/>
  <c r="U307" i="1"/>
  <c r="U306" i="1"/>
  <c r="U305" i="1"/>
  <c r="U304" i="1"/>
  <c r="U303" i="1"/>
  <c r="U302" i="1"/>
  <c r="U301" i="1"/>
  <c r="U300" i="1"/>
  <c r="U299" i="1"/>
  <c r="U298" i="1"/>
  <c r="U297" i="1"/>
  <c r="U296" i="1"/>
  <c r="U295" i="1"/>
  <c r="U294" i="1"/>
  <c r="U293" i="1"/>
  <c r="U292" i="1"/>
  <c r="U291" i="1"/>
  <c r="U290" i="1"/>
  <c r="U289" i="1"/>
  <c r="U288" i="1"/>
  <c r="U287" i="1"/>
  <c r="U286" i="1"/>
  <c r="U285" i="1"/>
  <c r="U284" i="1"/>
  <c r="U283" i="1"/>
  <c r="U282" i="1"/>
  <c r="U281" i="1"/>
  <c r="U280" i="1"/>
  <c r="U279" i="1"/>
  <c r="U278" i="1"/>
  <c r="U277" i="1"/>
  <c r="U276" i="1"/>
  <c r="U275" i="1"/>
  <c r="U274" i="1"/>
  <c r="U273" i="1"/>
  <c r="U272" i="1"/>
  <c r="U271" i="1"/>
  <c r="U270" i="1"/>
  <c r="U269" i="1"/>
  <c r="U268" i="1"/>
  <c r="U267" i="1"/>
  <c r="U266" i="1"/>
  <c r="U265" i="1"/>
  <c r="U264" i="1"/>
  <c r="U263" i="1"/>
  <c r="U262" i="1"/>
  <c r="U261" i="1"/>
  <c r="U260" i="1"/>
  <c r="U259" i="1"/>
  <c r="U258" i="1"/>
  <c r="U257" i="1"/>
  <c r="U256" i="1"/>
  <c r="U255" i="1"/>
  <c r="U254" i="1"/>
  <c r="U253" i="1"/>
  <c r="U252" i="1"/>
  <c r="U251" i="1"/>
  <c r="U250" i="1"/>
  <c r="U249" i="1"/>
  <c r="U248" i="1"/>
  <c r="U247" i="1"/>
  <c r="U246" i="1"/>
  <c r="U245" i="1"/>
  <c r="U244" i="1"/>
  <c r="U243" i="1"/>
  <c r="U242" i="1"/>
  <c r="U241" i="1"/>
  <c r="U240" i="1"/>
  <c r="U239" i="1"/>
  <c r="U238" i="1"/>
  <c r="U237" i="1"/>
  <c r="U236" i="1"/>
  <c r="U235" i="1"/>
  <c r="U234" i="1"/>
  <c r="U233" i="1"/>
  <c r="U232" i="1"/>
  <c r="U231" i="1"/>
  <c r="U230" i="1"/>
  <c r="U229" i="1"/>
  <c r="U228" i="1"/>
  <c r="U227" i="1"/>
  <c r="U226" i="1"/>
  <c r="U225" i="1"/>
  <c r="U224" i="1"/>
  <c r="U223" i="1"/>
  <c r="U222" i="1"/>
  <c r="U221" i="1"/>
  <c r="U220" i="1"/>
  <c r="U219" i="1"/>
  <c r="U218" i="1"/>
  <c r="U217" i="1"/>
  <c r="U216" i="1"/>
  <c r="U215" i="1"/>
  <c r="U214" i="1"/>
  <c r="U213" i="1"/>
  <c r="U212" i="1"/>
  <c r="U211" i="1"/>
  <c r="U210" i="1"/>
  <c r="U209" i="1"/>
  <c r="U208" i="1"/>
  <c r="U207" i="1"/>
  <c r="U206" i="1"/>
  <c r="U205" i="1"/>
  <c r="U204" i="1"/>
  <c r="U203" i="1"/>
  <c r="U202" i="1"/>
  <c r="U201" i="1"/>
  <c r="U200" i="1"/>
  <c r="U199" i="1"/>
  <c r="U198" i="1"/>
  <c r="U197" i="1"/>
  <c r="U196" i="1"/>
  <c r="U195" i="1"/>
  <c r="U194" i="1"/>
  <c r="U193" i="1"/>
  <c r="U192" i="1"/>
  <c r="U191" i="1"/>
  <c r="U190" i="1"/>
  <c r="U189" i="1"/>
  <c r="U188" i="1"/>
  <c r="U187" i="1"/>
  <c r="U186" i="1"/>
  <c r="U185" i="1"/>
  <c r="U184" i="1"/>
  <c r="U183" i="1"/>
  <c r="U182" i="1"/>
  <c r="U181" i="1"/>
  <c r="U180" i="1"/>
  <c r="U179" i="1"/>
  <c r="U178" i="1"/>
  <c r="U177" i="1"/>
  <c r="U176" i="1"/>
  <c r="U175" i="1"/>
  <c r="U174" i="1"/>
  <c r="U173" i="1"/>
  <c r="U172" i="1"/>
  <c r="U171" i="1"/>
  <c r="U170" i="1"/>
  <c r="U169" i="1"/>
  <c r="U168" i="1"/>
  <c r="U167" i="1"/>
  <c r="U166" i="1"/>
  <c r="U165" i="1"/>
  <c r="U164" i="1"/>
  <c r="U163" i="1"/>
  <c r="U162" i="1"/>
  <c r="U161" i="1"/>
  <c r="U160" i="1"/>
  <c r="U159" i="1"/>
  <c r="U158" i="1"/>
  <c r="U157" i="1"/>
  <c r="U156" i="1"/>
  <c r="U155" i="1"/>
  <c r="U154" i="1"/>
  <c r="U153" i="1"/>
  <c r="U152" i="1"/>
  <c r="U151" i="1"/>
  <c r="U150" i="1"/>
  <c r="U149" i="1"/>
  <c r="U148" i="1"/>
  <c r="U147" i="1"/>
  <c r="U146" i="1"/>
  <c r="U145" i="1"/>
  <c r="U144" i="1"/>
  <c r="U143" i="1"/>
  <c r="U142" i="1"/>
  <c r="U141" i="1"/>
  <c r="U140" i="1"/>
  <c r="U139" i="1"/>
  <c r="U138" i="1"/>
  <c r="U137" i="1"/>
  <c r="U136" i="1"/>
  <c r="U135" i="1"/>
  <c r="U134" i="1"/>
  <c r="U133" i="1"/>
  <c r="U132" i="1"/>
  <c r="U131" i="1"/>
  <c r="U130" i="1"/>
  <c r="U129" i="1"/>
  <c r="U128" i="1"/>
  <c r="U127" i="1"/>
  <c r="U126" i="1"/>
  <c r="U125" i="1"/>
  <c r="U124" i="1"/>
  <c r="U123" i="1"/>
  <c r="U122" i="1"/>
  <c r="U121" i="1"/>
  <c r="U120" i="1"/>
  <c r="U119" i="1"/>
  <c r="U118" i="1"/>
  <c r="U117" i="1"/>
  <c r="U116" i="1"/>
  <c r="U115" i="1"/>
  <c r="U114" i="1"/>
  <c r="U113" i="1"/>
  <c r="U112" i="1"/>
  <c r="U111" i="1"/>
  <c r="U110" i="1"/>
  <c r="U109" i="1"/>
  <c r="U108" i="1"/>
  <c r="U107" i="1"/>
  <c r="U106" i="1"/>
  <c r="U105" i="1"/>
  <c r="U104" i="1"/>
  <c r="U103" i="1"/>
  <c r="U102" i="1"/>
  <c r="U101" i="1"/>
  <c r="U100" i="1"/>
  <c r="U99" i="1"/>
  <c r="U98" i="1"/>
  <c r="U97" i="1"/>
  <c r="U96" i="1"/>
  <c r="U95" i="1"/>
  <c r="U94" i="1"/>
  <c r="U93" i="1"/>
  <c r="U92" i="1"/>
  <c r="U91" i="1"/>
  <c r="U90" i="1"/>
  <c r="U89" i="1"/>
  <c r="U88" i="1"/>
  <c r="U87" i="1"/>
  <c r="U86" i="1"/>
  <c r="U85" i="1"/>
  <c r="U84" i="1"/>
  <c r="U83" i="1"/>
  <c r="U82" i="1"/>
  <c r="U81" i="1"/>
  <c r="U80" i="1"/>
  <c r="U79" i="1"/>
  <c r="U78" i="1"/>
  <c r="U77" i="1"/>
  <c r="U76" i="1"/>
  <c r="U75" i="1"/>
  <c r="U74" i="1"/>
  <c r="U73" i="1"/>
  <c r="U72" i="1"/>
  <c r="U71" i="1"/>
  <c r="U70" i="1"/>
  <c r="U69" i="1"/>
  <c r="U68" i="1"/>
  <c r="U67" i="1"/>
  <c r="U66" i="1"/>
  <c r="U65" i="1"/>
  <c r="U64" i="1"/>
  <c r="U63" i="1"/>
  <c r="U62" i="1"/>
  <c r="U61" i="1"/>
  <c r="U60" i="1"/>
  <c r="U59" i="1"/>
  <c r="U58" i="1"/>
  <c r="U57" i="1"/>
  <c r="U56" i="1"/>
  <c r="U55" i="1"/>
  <c r="U54" i="1"/>
  <c r="U53" i="1"/>
  <c r="U52" i="1"/>
  <c r="U50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P353" i="1"/>
  <c r="P352" i="1"/>
  <c r="P351" i="1"/>
  <c r="P350" i="1"/>
  <c r="P349" i="1"/>
  <c r="P348" i="1"/>
  <c r="P347" i="1"/>
  <c r="P346" i="1"/>
  <c r="P345" i="1"/>
  <c r="P344" i="1"/>
  <c r="P343" i="1"/>
  <c r="P342" i="1"/>
  <c r="P341" i="1"/>
  <c r="P340" i="1"/>
  <c r="P339" i="1"/>
  <c r="P338" i="1"/>
  <c r="P337" i="1"/>
  <c r="P336" i="1"/>
  <c r="P335" i="1"/>
  <c r="P334" i="1"/>
  <c r="P333" i="1"/>
  <c r="P332" i="1"/>
  <c r="P331" i="1"/>
  <c r="P330" i="1"/>
  <c r="P329" i="1"/>
  <c r="P328" i="1"/>
  <c r="P327" i="1"/>
  <c r="P326" i="1"/>
  <c r="P325" i="1"/>
  <c r="P324" i="1"/>
  <c r="P323" i="1"/>
  <c r="P322" i="1"/>
  <c r="P321" i="1"/>
  <c r="P320" i="1"/>
  <c r="P319" i="1"/>
  <c r="P318" i="1"/>
  <c r="P317" i="1"/>
  <c r="P316" i="1"/>
  <c r="P315" i="1"/>
  <c r="P314" i="1"/>
  <c r="P313" i="1"/>
  <c r="P312" i="1"/>
  <c r="P311" i="1"/>
  <c r="P310" i="1"/>
  <c r="P309" i="1"/>
  <c r="P308" i="1"/>
  <c r="P307" i="1"/>
  <c r="P306" i="1"/>
  <c r="P305" i="1"/>
  <c r="P304" i="1"/>
  <c r="P303" i="1"/>
  <c r="P302" i="1"/>
  <c r="P301" i="1"/>
  <c r="P300" i="1"/>
  <c r="P299" i="1"/>
  <c r="P298" i="1"/>
  <c r="P297" i="1"/>
  <c r="P296" i="1"/>
  <c r="P295" i="1"/>
  <c r="P294" i="1"/>
  <c r="P293" i="1"/>
  <c r="P292" i="1"/>
  <c r="P291" i="1"/>
  <c r="P290" i="1"/>
  <c r="P289" i="1"/>
  <c r="P288" i="1"/>
  <c r="P287" i="1"/>
  <c r="P286" i="1"/>
  <c r="P285" i="1"/>
  <c r="P284" i="1"/>
  <c r="P283" i="1"/>
  <c r="P282" i="1"/>
  <c r="P281" i="1"/>
  <c r="P280" i="1"/>
  <c r="P279" i="1"/>
  <c r="P278" i="1"/>
  <c r="P277" i="1"/>
  <c r="P276" i="1"/>
  <c r="P275" i="1"/>
  <c r="P274" i="1"/>
  <c r="P273" i="1"/>
  <c r="P272" i="1"/>
  <c r="P271" i="1"/>
  <c r="P270" i="1"/>
  <c r="P269" i="1"/>
  <c r="P268" i="1"/>
  <c r="P267" i="1"/>
  <c r="P266" i="1"/>
  <c r="P265" i="1"/>
  <c r="P264" i="1"/>
  <c r="P263" i="1"/>
  <c r="P262" i="1"/>
  <c r="P261" i="1"/>
  <c r="P260" i="1"/>
  <c r="P259" i="1"/>
  <c r="P258" i="1"/>
  <c r="P257" i="1"/>
  <c r="P256" i="1"/>
  <c r="P255" i="1"/>
  <c r="P254" i="1"/>
  <c r="P253" i="1"/>
  <c r="P252" i="1"/>
  <c r="P251" i="1"/>
  <c r="P250" i="1"/>
  <c r="P249" i="1"/>
  <c r="P248" i="1"/>
  <c r="P247" i="1"/>
  <c r="P246" i="1"/>
  <c r="P245" i="1"/>
  <c r="P244" i="1"/>
  <c r="P243" i="1"/>
  <c r="P242" i="1"/>
  <c r="P241" i="1"/>
  <c r="P240" i="1"/>
  <c r="P239" i="1"/>
  <c r="P238" i="1"/>
  <c r="P237" i="1"/>
  <c r="P236" i="1"/>
  <c r="P235" i="1"/>
  <c r="P234" i="1"/>
  <c r="P233" i="1"/>
  <c r="P232" i="1"/>
  <c r="P231" i="1"/>
  <c r="P230" i="1"/>
  <c r="P229" i="1"/>
  <c r="P228" i="1"/>
  <c r="P227" i="1"/>
  <c r="P226" i="1"/>
  <c r="P225" i="1"/>
  <c r="P224" i="1"/>
  <c r="P223" i="1"/>
  <c r="P222" i="1"/>
  <c r="P221" i="1"/>
  <c r="P220" i="1"/>
  <c r="P219" i="1"/>
  <c r="P218" i="1"/>
  <c r="P217" i="1"/>
  <c r="P216" i="1"/>
  <c r="P215" i="1"/>
  <c r="P214" i="1"/>
  <c r="P213" i="1"/>
  <c r="P212" i="1"/>
  <c r="P211" i="1"/>
  <c r="P210" i="1"/>
  <c r="P209" i="1"/>
  <c r="P208" i="1"/>
  <c r="P207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AD353" i="1"/>
  <c r="AD352" i="1"/>
  <c r="AD351" i="1"/>
  <c r="AD349" i="1"/>
  <c r="AD346" i="1"/>
  <c r="AD345" i="1"/>
  <c r="AD344" i="1"/>
  <c r="AD343" i="1"/>
  <c r="AD342" i="1"/>
  <c r="AD341" i="1"/>
  <c r="AD340" i="1"/>
  <c r="AD339" i="1"/>
  <c r="AD338" i="1"/>
  <c r="AD337" i="1"/>
  <c r="AD336" i="1"/>
  <c r="AD335" i="1"/>
  <c r="AD332" i="1"/>
  <c r="AD329" i="1"/>
  <c r="AD326" i="1"/>
  <c r="AD323" i="1"/>
  <c r="AD322" i="1"/>
  <c r="AD321" i="1"/>
  <c r="AD319" i="1"/>
  <c r="AD316" i="1"/>
  <c r="AD315" i="1"/>
  <c r="AD311" i="1"/>
  <c r="AD308" i="1"/>
  <c r="AD306" i="1"/>
  <c r="AD305" i="1"/>
  <c r="AD303" i="1"/>
  <c r="AD300" i="1"/>
  <c r="AD299" i="1"/>
  <c r="AD298" i="1"/>
  <c r="AD295" i="1"/>
  <c r="AD294" i="1"/>
  <c r="AD292" i="1"/>
  <c r="AD286" i="1"/>
  <c r="AD284" i="1"/>
  <c r="AD282" i="1"/>
  <c r="AD277" i="1"/>
  <c r="AD276" i="1"/>
  <c r="AD274" i="1"/>
  <c r="AD273" i="1"/>
  <c r="AD271" i="1"/>
  <c r="AD270" i="1"/>
  <c r="AD269" i="1"/>
  <c r="AD267" i="1"/>
  <c r="AD266" i="1"/>
  <c r="AD265" i="1"/>
  <c r="AD263" i="1"/>
  <c r="AD258" i="1"/>
  <c r="AD256" i="1"/>
  <c r="AD255" i="1"/>
  <c r="AD254" i="1"/>
  <c r="AD250" i="1"/>
  <c r="AD248" i="1"/>
  <c r="AD246" i="1"/>
  <c r="AD239" i="1"/>
  <c r="AD238" i="1"/>
  <c r="AD237" i="1"/>
  <c r="AD236" i="1"/>
  <c r="AD233" i="1"/>
  <c r="AD232" i="1"/>
  <c r="AD228" i="1"/>
  <c r="AD227" i="1"/>
  <c r="AD224" i="1"/>
  <c r="AD222" i="1"/>
  <c r="AD221" i="1"/>
  <c r="AD220" i="1"/>
  <c r="AD217" i="1"/>
  <c r="AD216" i="1"/>
  <c r="AD214" i="1"/>
  <c r="AD213" i="1"/>
  <c r="AD211" i="1"/>
  <c r="AD210" i="1"/>
  <c r="AD209" i="1"/>
  <c r="AD208" i="1"/>
  <c r="AD205" i="1"/>
  <c r="AD204" i="1"/>
  <c r="AD202" i="1"/>
  <c r="AD198" i="1"/>
  <c r="AD197" i="1"/>
  <c r="AD196" i="1"/>
  <c r="AD194" i="1"/>
  <c r="AD193" i="1"/>
  <c r="AD189" i="1"/>
  <c r="AD188" i="1"/>
  <c r="AD184" i="1"/>
  <c r="AD183" i="1"/>
  <c r="AD181" i="1"/>
  <c r="AD174" i="1"/>
  <c r="AD171" i="1"/>
  <c r="AD170" i="1"/>
  <c r="AD169" i="1"/>
  <c r="AD168" i="1"/>
  <c r="AD166" i="1"/>
  <c r="AD164" i="1"/>
  <c r="AD162" i="1"/>
  <c r="AD161" i="1"/>
  <c r="AD158" i="1"/>
  <c r="AD156" i="1"/>
  <c r="AD155" i="1"/>
  <c r="AD153" i="1"/>
  <c r="AD152" i="1"/>
  <c r="AD151" i="1"/>
  <c r="AD150" i="1"/>
  <c r="AD149" i="1"/>
  <c r="AD146" i="1"/>
  <c r="AD142" i="1"/>
  <c r="AD141" i="1"/>
  <c r="AD139" i="1"/>
  <c r="AD137" i="1"/>
  <c r="AD136" i="1"/>
  <c r="AD135" i="1"/>
  <c r="AD134" i="1"/>
  <c r="AD133" i="1"/>
  <c r="AD131" i="1"/>
  <c r="AD130" i="1"/>
  <c r="AD129" i="1"/>
  <c r="AD124" i="1"/>
  <c r="AD123" i="1"/>
  <c r="AD122" i="1"/>
  <c r="AD120" i="1"/>
  <c r="AD119" i="1"/>
  <c r="AD118" i="1"/>
  <c r="AD117" i="1"/>
  <c r="AD116" i="1"/>
  <c r="AD115" i="1"/>
  <c r="AD113" i="1"/>
  <c r="AD111" i="1"/>
  <c r="AD110" i="1"/>
  <c r="AD109" i="1"/>
  <c r="AD108" i="1"/>
  <c r="AD106" i="1"/>
  <c r="AD105" i="1"/>
  <c r="AD104" i="1"/>
  <c r="AD102" i="1"/>
  <c r="AD99" i="1"/>
  <c r="AD97" i="1"/>
  <c r="AD96" i="1"/>
  <c r="AD95" i="1"/>
  <c r="AD94" i="1"/>
  <c r="AD91" i="1"/>
  <c r="AD90" i="1"/>
  <c r="AD86" i="1"/>
  <c r="AD84" i="1"/>
  <c r="AD80" i="1"/>
  <c r="AD78" i="1"/>
  <c r="AD75" i="1"/>
  <c r="AD74" i="1"/>
  <c r="AD72" i="1"/>
  <c r="AD70" i="1"/>
  <c r="AD69" i="1"/>
  <c r="AD68" i="1"/>
  <c r="AD67" i="1"/>
  <c r="AD66" i="1"/>
  <c r="AD62" i="1"/>
  <c r="AD58" i="1"/>
  <c r="AD57" i="1"/>
  <c r="AD54" i="1"/>
  <c r="AD53" i="1"/>
  <c r="AD48" i="1"/>
  <c r="AD47" i="1"/>
  <c r="AD45" i="1"/>
  <c r="AD44" i="1"/>
  <c r="AD43" i="1"/>
  <c r="AD41" i="1"/>
  <c r="AD40" i="1"/>
  <c r="AD39" i="1"/>
  <c r="AD34" i="1"/>
  <c r="AD31" i="1"/>
  <c r="AD29" i="1"/>
  <c r="AD27" i="1"/>
  <c r="AD24" i="1"/>
  <c r="AD23" i="1"/>
  <c r="AD22" i="1"/>
  <c r="AD21" i="1"/>
  <c r="AD20" i="1"/>
  <c r="AD19" i="1"/>
  <c r="AD18" i="1"/>
  <c r="AD16" i="1"/>
  <c r="AD14" i="1"/>
  <c r="AD13" i="1"/>
  <c r="AD12" i="1"/>
  <c r="AD11" i="1"/>
  <c r="AD8" i="1"/>
  <c r="AD7" i="1"/>
  <c r="Y353" i="1"/>
  <c r="Y352" i="1"/>
  <c r="Y351" i="1"/>
  <c r="Y350" i="1"/>
  <c r="Y349" i="1"/>
  <c r="Y346" i="1"/>
  <c r="Y345" i="1"/>
  <c r="Y344" i="1"/>
  <c r="Y342" i="1"/>
  <c r="Y341" i="1"/>
  <c r="Y339" i="1"/>
  <c r="Y337" i="1"/>
  <c r="Y336" i="1"/>
  <c r="Y335" i="1"/>
  <c r="Y334" i="1"/>
  <c r="Y333" i="1"/>
  <c r="Y332" i="1"/>
  <c r="Y327" i="1"/>
  <c r="Y326" i="1"/>
  <c r="Y323" i="1"/>
  <c r="Y321" i="1"/>
  <c r="Y319" i="1"/>
  <c r="Y317" i="1"/>
  <c r="Y315" i="1"/>
  <c r="Y311" i="1"/>
  <c r="Y306" i="1"/>
  <c r="Y305" i="1"/>
  <c r="Y304" i="1"/>
  <c r="Y303" i="1"/>
  <c r="Y302" i="1"/>
  <c r="Y300" i="1"/>
  <c r="Y299" i="1"/>
  <c r="Y298" i="1"/>
  <c r="Y297" i="1"/>
  <c r="Y296" i="1"/>
  <c r="Y295" i="1"/>
  <c r="Y294" i="1"/>
  <c r="Y292" i="1"/>
  <c r="Y291" i="1"/>
  <c r="Y286" i="1"/>
  <c r="Y285" i="1"/>
  <c r="Y284" i="1"/>
  <c r="Y282" i="1"/>
  <c r="Y279" i="1"/>
  <c r="Y274" i="1"/>
  <c r="Y271" i="1"/>
  <c r="Y270" i="1"/>
  <c r="Y269" i="1"/>
  <c r="Y267" i="1"/>
  <c r="Y265" i="1"/>
  <c r="Y258" i="1"/>
  <c r="Y256" i="1"/>
  <c r="Y254" i="1"/>
  <c r="Y253" i="1"/>
  <c r="Y252" i="1"/>
  <c r="Y251" i="1"/>
  <c r="Y250" i="1"/>
  <c r="Y246" i="1"/>
  <c r="Y244" i="1"/>
  <c r="Y242" i="1"/>
  <c r="Y240" i="1"/>
  <c r="Y239" i="1"/>
  <c r="Y238" i="1"/>
  <c r="Y237" i="1"/>
  <c r="Y235" i="1"/>
  <c r="Y234" i="1"/>
  <c r="Y233" i="1"/>
  <c r="Y232" i="1"/>
  <c r="Y231" i="1"/>
  <c r="Y230" i="1"/>
  <c r="Y228" i="1"/>
  <c r="Y227" i="1"/>
  <c r="Y226" i="1"/>
  <c r="Y225" i="1"/>
  <c r="Y224" i="1"/>
  <c r="Y223" i="1"/>
  <c r="Y220" i="1"/>
  <c r="Y219" i="1"/>
  <c r="Y217" i="1"/>
  <c r="Y216" i="1"/>
  <c r="Y215" i="1"/>
  <c r="Y213" i="1"/>
  <c r="Y212" i="1"/>
  <c r="Y211" i="1"/>
  <c r="Y210" i="1"/>
  <c r="Y209" i="1"/>
  <c r="Y208" i="1"/>
  <c r="Y206" i="1"/>
  <c r="Y205" i="1"/>
  <c r="Y204" i="1"/>
  <c r="Y202" i="1"/>
  <c r="Y199" i="1"/>
  <c r="Y198" i="1"/>
  <c r="Y197" i="1"/>
  <c r="Y196" i="1"/>
  <c r="Y194" i="1"/>
  <c r="Y193" i="1"/>
  <c r="Y192" i="1"/>
  <c r="Y189" i="1"/>
  <c r="Y183" i="1"/>
  <c r="Y180" i="1"/>
  <c r="Y177" i="1"/>
  <c r="Y174" i="1"/>
  <c r="Y171" i="1"/>
  <c r="Y170" i="1"/>
  <c r="Y169" i="1"/>
  <c r="Y166" i="1"/>
  <c r="Y162" i="1"/>
  <c r="Y158" i="1"/>
  <c r="Y156" i="1"/>
  <c r="Y155" i="1"/>
  <c r="Y149" i="1"/>
  <c r="Y146" i="1"/>
  <c r="Y143" i="1"/>
  <c r="Y142" i="1"/>
  <c r="Y139" i="1"/>
  <c r="Y138" i="1"/>
  <c r="Y137" i="1"/>
  <c r="Y136" i="1"/>
  <c r="Y135" i="1"/>
  <c r="Y134" i="1"/>
  <c r="Y133" i="1"/>
  <c r="Y131" i="1"/>
  <c r="Y129" i="1"/>
  <c r="Y126" i="1"/>
  <c r="Y124" i="1"/>
  <c r="Y122" i="1"/>
  <c r="Y120" i="1"/>
  <c r="Y118" i="1"/>
  <c r="Y116" i="1"/>
  <c r="Y115" i="1"/>
  <c r="Y113" i="1"/>
  <c r="Y110" i="1"/>
  <c r="Y109" i="1"/>
  <c r="Y106" i="1"/>
  <c r="Y105" i="1"/>
  <c r="Y104" i="1"/>
  <c r="Y102" i="1"/>
  <c r="Y101" i="1"/>
  <c r="Y96" i="1"/>
  <c r="Y95" i="1"/>
  <c r="Y94" i="1"/>
  <c r="Y93" i="1"/>
  <c r="Y91" i="1"/>
  <c r="Y90" i="1"/>
  <c r="Y89" i="1"/>
  <c r="Y85" i="1"/>
  <c r="Y81" i="1"/>
  <c r="Y80" i="1"/>
  <c r="Y79" i="1"/>
  <c r="Y75" i="1"/>
  <c r="Y74" i="1"/>
  <c r="Y73" i="1"/>
  <c r="Y72" i="1"/>
  <c r="Y69" i="1"/>
  <c r="Y68" i="1"/>
  <c r="Y66" i="1"/>
  <c r="Y63" i="1"/>
  <c r="Y62" i="1"/>
  <c r="Y58" i="1"/>
  <c r="Y55" i="1"/>
  <c r="Y53" i="1"/>
  <c r="Y52" i="1"/>
  <c r="Y50" i="1"/>
  <c r="Y49" i="1"/>
  <c r="Y47" i="1"/>
  <c r="Y45" i="1"/>
  <c r="Y44" i="1"/>
  <c r="Y43" i="1"/>
  <c r="Y41" i="1"/>
  <c r="Y39" i="1"/>
  <c r="Y38" i="1"/>
  <c r="Y35" i="1"/>
  <c r="Y33" i="1"/>
  <c r="Y32" i="1"/>
  <c r="Y27" i="1"/>
  <c r="Y25" i="1"/>
  <c r="Y23" i="1"/>
  <c r="Y21" i="1"/>
  <c r="Y20" i="1"/>
  <c r="Y13" i="1"/>
  <c r="Y12" i="1"/>
  <c r="Y11" i="1"/>
  <c r="Y10" i="1"/>
  <c r="Y8" i="1"/>
  <c r="Y6" i="1"/>
  <c r="Y5" i="1"/>
  <c r="T353" i="1"/>
  <c r="T351" i="1"/>
  <c r="T350" i="1"/>
  <c r="T349" i="1"/>
  <c r="T348" i="1"/>
  <c r="T346" i="1"/>
  <c r="T345" i="1"/>
  <c r="T342" i="1"/>
  <c r="T341" i="1"/>
  <c r="T339" i="1"/>
  <c r="T338" i="1"/>
  <c r="T337" i="1"/>
  <c r="T335" i="1"/>
  <c r="T334" i="1"/>
  <c r="T333" i="1"/>
  <c r="T332" i="1"/>
  <c r="T331" i="1"/>
  <c r="T330" i="1"/>
  <c r="T329" i="1"/>
  <c r="T327" i="1"/>
  <c r="T325" i="1"/>
  <c r="T323" i="1"/>
  <c r="T322" i="1"/>
  <c r="T319" i="1"/>
  <c r="T316" i="1"/>
  <c r="T315" i="1"/>
  <c r="T312" i="1"/>
  <c r="T311" i="1"/>
  <c r="T307" i="1"/>
  <c r="T306" i="1"/>
  <c r="T305" i="1"/>
  <c r="T303" i="1"/>
  <c r="T300" i="1"/>
  <c r="T299" i="1"/>
  <c r="T298" i="1"/>
  <c r="T295" i="1"/>
  <c r="T294" i="1"/>
  <c r="T292" i="1"/>
  <c r="T291" i="1"/>
  <c r="T289" i="1"/>
  <c r="T288" i="1"/>
  <c r="T287" i="1"/>
  <c r="T286" i="1"/>
  <c r="T285" i="1"/>
  <c r="T284" i="1"/>
  <c r="T282" i="1"/>
  <c r="T281" i="1"/>
  <c r="T280" i="1"/>
  <c r="T278" i="1"/>
  <c r="T277" i="1"/>
  <c r="T275" i="1"/>
  <c r="T271" i="1"/>
  <c r="T270" i="1"/>
  <c r="T269" i="1"/>
  <c r="T267" i="1"/>
  <c r="T265" i="1"/>
  <c r="T261" i="1"/>
  <c r="T260" i="1"/>
  <c r="T258" i="1"/>
  <c r="T256" i="1"/>
  <c r="T254" i="1"/>
  <c r="T253" i="1"/>
  <c r="T252" i="1"/>
  <c r="T251" i="1"/>
  <c r="T250" i="1"/>
  <c r="T248" i="1"/>
  <c r="T246" i="1"/>
  <c r="T245" i="1"/>
  <c r="T243" i="1"/>
  <c r="T240" i="1"/>
  <c r="T239" i="1"/>
  <c r="T238" i="1"/>
  <c r="T237" i="1"/>
  <c r="T235" i="1"/>
  <c r="T234" i="1"/>
  <c r="T233" i="1"/>
  <c r="T232" i="1"/>
  <c r="T231" i="1"/>
  <c r="T230" i="1"/>
  <c r="T228" i="1"/>
  <c r="T227" i="1"/>
  <c r="T226" i="1"/>
  <c r="T225" i="1"/>
  <c r="T224" i="1"/>
  <c r="T220" i="1"/>
  <c r="T219" i="1"/>
  <c r="T216" i="1"/>
  <c r="T215" i="1"/>
  <c r="T213" i="1"/>
  <c r="T212" i="1"/>
  <c r="T211" i="1"/>
  <c r="T210" i="1"/>
  <c r="T209" i="1"/>
  <c r="T208" i="1"/>
  <c r="T207" i="1"/>
  <c r="T206" i="1"/>
  <c r="T204" i="1"/>
  <c r="T202" i="1"/>
  <c r="T201" i="1"/>
  <c r="T200" i="1"/>
  <c r="T198" i="1"/>
  <c r="T196" i="1"/>
  <c r="T195" i="1"/>
  <c r="T194" i="1"/>
  <c r="T193" i="1"/>
  <c r="T192" i="1"/>
  <c r="T191" i="1"/>
  <c r="T190" i="1"/>
  <c r="T189" i="1"/>
  <c r="T187" i="1"/>
  <c r="T186" i="1"/>
  <c r="T185" i="1"/>
  <c r="T184" i="1"/>
  <c r="T183" i="1"/>
  <c r="T181" i="1"/>
  <c r="T180" i="1"/>
  <c r="T178" i="1"/>
  <c r="T177" i="1"/>
  <c r="T175" i="1"/>
  <c r="T174" i="1"/>
  <c r="T173" i="1"/>
  <c r="T172" i="1"/>
  <c r="T171" i="1"/>
  <c r="T170" i="1"/>
  <c r="T169" i="1"/>
  <c r="T168" i="1"/>
  <c r="T166" i="1"/>
  <c r="T165" i="1"/>
  <c r="T164" i="1"/>
  <c r="T163" i="1"/>
  <c r="T161" i="1"/>
  <c r="T159" i="1"/>
  <c r="T157" i="1"/>
  <c r="T156" i="1"/>
  <c r="T155" i="1"/>
  <c r="T154" i="1"/>
  <c r="T153" i="1"/>
  <c r="T152" i="1"/>
  <c r="T149" i="1"/>
  <c r="T146" i="1"/>
  <c r="T145" i="1"/>
  <c r="T144" i="1"/>
  <c r="T142" i="1"/>
  <c r="T141" i="1"/>
  <c r="T140" i="1"/>
  <c r="T137" i="1"/>
  <c r="T135" i="1"/>
  <c r="T134" i="1"/>
  <c r="T132" i="1"/>
  <c r="T131" i="1"/>
  <c r="T128" i="1"/>
  <c r="T124" i="1"/>
  <c r="T123" i="1"/>
  <c r="T122" i="1"/>
  <c r="T121" i="1"/>
  <c r="T120" i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7" i="1"/>
  <c r="T96" i="1"/>
  <c r="T95" i="1"/>
  <c r="T94" i="1"/>
  <c r="T93" i="1"/>
  <c r="T91" i="1"/>
  <c r="T90" i="1"/>
  <c r="T85" i="1"/>
  <c r="T83" i="1"/>
  <c r="T82" i="1"/>
  <c r="T80" i="1"/>
  <c r="T79" i="1"/>
  <c r="T75" i="1"/>
  <c r="T74" i="1"/>
  <c r="T73" i="1"/>
  <c r="T72" i="1"/>
  <c r="T71" i="1"/>
  <c r="T69" i="1"/>
  <c r="T67" i="1"/>
  <c r="T66" i="1"/>
  <c r="T65" i="1"/>
  <c r="T63" i="1"/>
  <c r="T62" i="1"/>
  <c r="T61" i="1"/>
  <c r="T60" i="1"/>
  <c r="T59" i="1"/>
  <c r="T58" i="1"/>
  <c r="T57" i="1"/>
  <c r="T56" i="1"/>
  <c r="T55" i="1"/>
  <c r="T52" i="1"/>
  <c r="T51" i="1"/>
  <c r="T49" i="1"/>
  <c r="T47" i="1"/>
  <c r="T46" i="1"/>
  <c r="T45" i="1"/>
  <c r="T44" i="1"/>
  <c r="T43" i="1"/>
  <c r="T41" i="1"/>
  <c r="T40" i="1"/>
  <c r="T38" i="1"/>
  <c r="T36" i="1"/>
  <c r="T35" i="1"/>
  <c r="T31" i="1"/>
  <c r="T30" i="1"/>
  <c r="T29" i="1"/>
  <c r="T28" i="1"/>
  <c r="T27" i="1"/>
  <c r="T26" i="1"/>
  <c r="T25" i="1"/>
  <c r="T23" i="1"/>
  <c r="T22" i="1"/>
  <c r="T21" i="1"/>
  <c r="T20" i="1"/>
  <c r="T19" i="1"/>
  <c r="T18" i="1"/>
  <c r="T17" i="1"/>
  <c r="T16" i="1"/>
  <c r="T15" i="1"/>
  <c r="T14" i="1"/>
  <c r="T12" i="1"/>
  <c r="T11" i="1"/>
  <c r="T8" i="1"/>
  <c r="T6" i="1"/>
  <c r="T5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7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6" i="1"/>
  <c r="O315" i="1"/>
  <c r="O314" i="1"/>
  <c r="O312" i="1"/>
  <c r="O311" i="1"/>
  <c r="O309" i="1"/>
  <c r="O308" i="1"/>
  <c r="O306" i="1"/>
  <c r="O305" i="1"/>
  <c r="O304" i="1"/>
  <c r="O303" i="1"/>
  <c r="O302" i="1"/>
  <c r="O301" i="1"/>
  <c r="O300" i="1"/>
  <c r="O298" i="1"/>
  <c r="O297" i="1"/>
  <c r="O295" i="1"/>
  <c r="O294" i="1"/>
  <c r="O292" i="1"/>
  <c r="O291" i="1"/>
  <c r="O290" i="1"/>
  <c r="O289" i="1"/>
  <c r="O288" i="1"/>
  <c r="O287" i="1"/>
  <c r="O286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3" i="1"/>
  <c r="O262" i="1"/>
  <c r="O260" i="1"/>
  <c r="O258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7" i="1"/>
  <c r="O216" i="1"/>
  <c r="O215" i="1"/>
  <c r="O214" i="1"/>
  <c r="O213" i="1"/>
  <c r="O212" i="1"/>
  <c r="O211" i="1"/>
  <c r="O210" i="1"/>
  <c r="O209" i="1"/>
  <c r="O208" i="1"/>
  <c r="O206" i="1"/>
  <c r="O205" i="1"/>
  <c r="O204" i="1"/>
  <c r="O202" i="1"/>
  <c r="O201" i="1"/>
  <c r="O200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1" i="1"/>
  <c r="O90" i="1"/>
  <c r="O89" i="1"/>
  <c r="O88" i="1"/>
  <c r="O87" i="1"/>
  <c r="O86" i="1"/>
  <c r="O85" i="1"/>
  <c r="O83" i="1"/>
  <c r="O82" i="1"/>
  <c r="O81" i="1"/>
  <c r="O80" i="1"/>
  <c r="O79" i="1"/>
  <c r="O78" i="1"/>
  <c r="O77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3" i="1"/>
  <c r="O52" i="1"/>
  <c r="O50" i="1"/>
  <c r="O49" i="1"/>
  <c r="O48" i="1"/>
  <c r="O47" i="1"/>
  <c r="O46" i="1"/>
  <c r="O45" i="1"/>
  <c r="O44" i="1"/>
  <c r="O43" i="1"/>
  <c r="O41" i="1"/>
  <c r="O40" i="1"/>
  <c r="O38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AH339" i="1" l="1"/>
  <c r="AI339" i="1"/>
  <c r="AH5" i="1"/>
  <c r="N5" i="1"/>
  <c r="Q5" i="1" s="1" a="1"/>
  <c r="Q5" i="1" s="1"/>
  <c r="S5" i="1"/>
  <c r="V5" i="1" s="1" a="1"/>
  <c r="V5" i="1" s="1"/>
  <c r="X5" i="1"/>
  <c r="AA5" i="1" s="1" a="1"/>
  <c r="AA5" i="1" s="1"/>
  <c r="AC5" i="1"/>
  <c r="AF5" i="1" s="1" a="1"/>
  <c r="AF5" i="1" s="1"/>
  <c r="AI5" i="1"/>
  <c r="N6" i="1"/>
  <c r="Q6" i="1" s="1" a="1"/>
  <c r="Q6" i="1" s="1"/>
  <c r="S6" i="1"/>
  <c r="V6" i="1" s="1" a="1"/>
  <c r="V6" i="1" s="1"/>
  <c r="X6" i="1"/>
  <c r="AA6" i="1" s="1" a="1"/>
  <c r="AA6" i="1" s="1"/>
  <c r="AC6" i="1"/>
  <c r="AF6" i="1" s="1" a="1"/>
  <c r="AF6" i="1" s="1"/>
  <c r="AH6" i="1"/>
  <c r="AI6" i="1"/>
  <c r="N7" i="1"/>
  <c r="Q7" i="1" s="1" a="1"/>
  <c r="Q7" i="1" s="1"/>
  <c r="S7" i="1"/>
  <c r="V7" i="1" s="1" a="1"/>
  <c r="V7" i="1" s="1"/>
  <c r="X7" i="1"/>
  <c r="AA7" i="1" s="1" a="1"/>
  <c r="AA7" i="1" s="1"/>
  <c r="AC7" i="1"/>
  <c r="AF7" i="1" s="1" a="1"/>
  <c r="AF7" i="1" s="1"/>
  <c r="AH7" i="1"/>
  <c r="AI7" i="1"/>
  <c r="N8" i="1"/>
  <c r="Q8" i="1" s="1" a="1"/>
  <c r="Q8" i="1" s="1"/>
  <c r="S8" i="1"/>
  <c r="V8" i="1" s="1" a="1"/>
  <c r="V8" i="1" s="1"/>
  <c r="X8" i="1"/>
  <c r="AA8" i="1" s="1" a="1"/>
  <c r="AA8" i="1" s="1"/>
  <c r="AC8" i="1"/>
  <c r="AF8" i="1" s="1" a="1"/>
  <c r="AF8" i="1" s="1"/>
  <c r="AH8" i="1"/>
  <c r="AI8" i="1"/>
  <c r="N9" i="1"/>
  <c r="Q9" i="1" s="1" a="1"/>
  <c r="Q9" i="1" s="1"/>
  <c r="S9" i="1"/>
  <c r="V9" i="1" s="1" a="1"/>
  <c r="V9" i="1" s="1"/>
  <c r="X9" i="1"/>
  <c r="AA9" i="1" s="1" a="1"/>
  <c r="AA9" i="1" s="1"/>
  <c r="AC9" i="1"/>
  <c r="AF9" i="1" s="1" a="1"/>
  <c r="AF9" i="1" s="1"/>
  <c r="AH9" i="1"/>
  <c r="AI9" i="1"/>
  <c r="N10" i="1"/>
  <c r="Q10" i="1" s="1" a="1"/>
  <c r="Q10" i="1" s="1"/>
  <c r="S10" i="1"/>
  <c r="V10" i="1" s="1" a="1"/>
  <c r="V10" i="1" s="1"/>
  <c r="X10" i="1"/>
  <c r="AA10" i="1" s="1" a="1"/>
  <c r="AA10" i="1" s="1"/>
  <c r="AC10" i="1"/>
  <c r="AF10" i="1" s="1" a="1"/>
  <c r="AF10" i="1" s="1"/>
  <c r="AH10" i="1"/>
  <c r="AI10" i="1"/>
  <c r="N11" i="1"/>
  <c r="Q11" i="1" s="1" a="1"/>
  <c r="Q11" i="1" s="1"/>
  <c r="S11" i="1"/>
  <c r="V11" i="1" s="1" a="1"/>
  <c r="V11" i="1" s="1"/>
  <c r="X11" i="1"/>
  <c r="AA11" i="1" s="1" a="1"/>
  <c r="AA11" i="1" s="1"/>
  <c r="AC11" i="1"/>
  <c r="AF11" i="1" s="1" a="1"/>
  <c r="AF11" i="1" s="1"/>
  <c r="AH11" i="1"/>
  <c r="AI11" i="1"/>
  <c r="N12" i="1"/>
  <c r="Q12" i="1" s="1" a="1"/>
  <c r="Q12" i="1" s="1"/>
  <c r="S12" i="1"/>
  <c r="V12" i="1" s="1" a="1"/>
  <c r="V12" i="1" s="1"/>
  <c r="X12" i="1"/>
  <c r="AA12" i="1" s="1" a="1"/>
  <c r="AA12" i="1" s="1"/>
  <c r="AC12" i="1"/>
  <c r="AF12" i="1" s="1" a="1"/>
  <c r="AF12" i="1" s="1"/>
  <c r="AH12" i="1"/>
  <c r="AI12" i="1"/>
  <c r="N13" i="1"/>
  <c r="Q13" i="1" s="1" a="1"/>
  <c r="Q13" i="1" s="1"/>
  <c r="S13" i="1"/>
  <c r="V13" i="1" s="1" a="1"/>
  <c r="V13" i="1" s="1"/>
  <c r="X13" i="1"/>
  <c r="AA13" i="1" s="1" a="1"/>
  <c r="AA13" i="1" s="1"/>
  <c r="AC13" i="1"/>
  <c r="AF13" i="1" s="1" a="1"/>
  <c r="AF13" i="1" s="1"/>
  <c r="AH13" i="1"/>
  <c r="AI13" i="1"/>
  <c r="N14" i="1"/>
  <c r="Q14" i="1" s="1" a="1"/>
  <c r="Q14" i="1" s="1"/>
  <c r="S14" i="1"/>
  <c r="V14" i="1" s="1" a="1"/>
  <c r="V14" i="1" s="1"/>
  <c r="X14" i="1"/>
  <c r="AA14" i="1" s="1" a="1"/>
  <c r="AA14" i="1" s="1"/>
  <c r="AC14" i="1"/>
  <c r="AF14" i="1" s="1" a="1"/>
  <c r="AF14" i="1" s="1"/>
  <c r="AH14" i="1"/>
  <c r="AI14" i="1"/>
  <c r="N15" i="1"/>
  <c r="Q15" i="1" s="1" a="1"/>
  <c r="Q15" i="1" s="1"/>
  <c r="S15" i="1"/>
  <c r="V15" i="1" s="1" a="1"/>
  <c r="V15" i="1" s="1"/>
  <c r="X15" i="1"/>
  <c r="AA15" i="1" s="1" a="1"/>
  <c r="AA15" i="1" s="1"/>
  <c r="AC15" i="1"/>
  <c r="AF15" i="1" s="1" a="1"/>
  <c r="AF15" i="1" s="1"/>
  <c r="AH15" i="1"/>
  <c r="AI15" i="1"/>
  <c r="N16" i="1"/>
  <c r="Q16" i="1" s="1" a="1"/>
  <c r="Q16" i="1" s="1"/>
  <c r="S16" i="1"/>
  <c r="V16" i="1" s="1" a="1"/>
  <c r="V16" i="1" s="1"/>
  <c r="X16" i="1"/>
  <c r="AA16" i="1" s="1" a="1"/>
  <c r="AA16" i="1" s="1"/>
  <c r="AC16" i="1"/>
  <c r="AF16" i="1" s="1" a="1"/>
  <c r="AF16" i="1" s="1"/>
  <c r="AH16" i="1"/>
  <c r="AI16" i="1"/>
  <c r="N17" i="1"/>
  <c r="Q17" i="1" s="1" a="1"/>
  <c r="Q17" i="1" s="1"/>
  <c r="S17" i="1"/>
  <c r="V17" i="1" s="1" a="1"/>
  <c r="V17" i="1" s="1"/>
  <c r="X17" i="1"/>
  <c r="AA17" i="1" s="1" a="1"/>
  <c r="AA17" i="1" s="1"/>
  <c r="AC17" i="1"/>
  <c r="AF17" i="1" s="1" a="1"/>
  <c r="AF17" i="1" s="1"/>
  <c r="AH17" i="1"/>
  <c r="AI17" i="1"/>
  <c r="N18" i="1"/>
  <c r="Q18" i="1" s="1" a="1"/>
  <c r="Q18" i="1" s="1"/>
  <c r="S18" i="1"/>
  <c r="V18" i="1" s="1" a="1"/>
  <c r="V18" i="1" s="1"/>
  <c r="X18" i="1"/>
  <c r="AA18" i="1" s="1" a="1"/>
  <c r="AA18" i="1" s="1"/>
  <c r="AC18" i="1"/>
  <c r="AF18" i="1" s="1" a="1"/>
  <c r="AF18" i="1" s="1"/>
  <c r="AH18" i="1"/>
  <c r="AI18" i="1"/>
  <c r="N19" i="1"/>
  <c r="Q19" i="1" s="1" a="1"/>
  <c r="Q19" i="1" s="1"/>
  <c r="S19" i="1"/>
  <c r="V19" i="1" s="1" a="1"/>
  <c r="V19" i="1" s="1"/>
  <c r="X19" i="1"/>
  <c r="AA19" i="1" s="1" a="1"/>
  <c r="AA19" i="1" s="1"/>
  <c r="AC19" i="1"/>
  <c r="AF19" i="1" s="1" a="1"/>
  <c r="AF19" i="1" s="1"/>
  <c r="AH19" i="1"/>
  <c r="AI19" i="1"/>
  <c r="N20" i="1"/>
  <c r="Q20" i="1" s="1" a="1"/>
  <c r="Q20" i="1" s="1"/>
  <c r="S20" i="1"/>
  <c r="V20" i="1" s="1" a="1"/>
  <c r="V20" i="1" s="1"/>
  <c r="X20" i="1"/>
  <c r="AA20" i="1" s="1" a="1"/>
  <c r="AA20" i="1" s="1"/>
  <c r="AC20" i="1"/>
  <c r="AF20" i="1" s="1" a="1"/>
  <c r="AF20" i="1" s="1"/>
  <c r="AH20" i="1"/>
  <c r="AI20" i="1"/>
  <c r="N21" i="1"/>
  <c r="Q21" i="1" s="1" a="1"/>
  <c r="Q21" i="1" s="1"/>
  <c r="S21" i="1"/>
  <c r="V21" i="1" s="1" a="1"/>
  <c r="V21" i="1" s="1"/>
  <c r="X21" i="1"/>
  <c r="AA21" i="1" s="1" a="1"/>
  <c r="AA21" i="1" s="1"/>
  <c r="AC21" i="1"/>
  <c r="AF21" i="1" s="1" a="1"/>
  <c r="AF21" i="1" s="1"/>
  <c r="AH21" i="1"/>
  <c r="AI21" i="1"/>
  <c r="N22" i="1"/>
  <c r="Q22" i="1" s="1" a="1"/>
  <c r="Q22" i="1" s="1"/>
  <c r="S22" i="1"/>
  <c r="V22" i="1" s="1" a="1"/>
  <c r="V22" i="1" s="1"/>
  <c r="X22" i="1"/>
  <c r="AA22" i="1" s="1" a="1"/>
  <c r="AA22" i="1" s="1"/>
  <c r="AC22" i="1"/>
  <c r="AF22" i="1" s="1" a="1"/>
  <c r="AF22" i="1" s="1"/>
  <c r="AH22" i="1"/>
  <c r="AI22" i="1"/>
  <c r="N23" i="1"/>
  <c r="Q23" i="1" s="1" a="1"/>
  <c r="Q23" i="1" s="1"/>
  <c r="S23" i="1"/>
  <c r="V23" i="1" s="1" a="1"/>
  <c r="V23" i="1" s="1"/>
  <c r="X23" i="1"/>
  <c r="AA23" i="1" s="1" a="1"/>
  <c r="AA23" i="1" s="1"/>
  <c r="AC23" i="1"/>
  <c r="AF23" i="1" s="1" a="1"/>
  <c r="AF23" i="1" s="1"/>
  <c r="AH23" i="1"/>
  <c r="AI23" i="1"/>
  <c r="N24" i="1"/>
  <c r="Q24" i="1" s="1" a="1"/>
  <c r="Q24" i="1" s="1"/>
  <c r="S24" i="1"/>
  <c r="V24" i="1" s="1" a="1"/>
  <c r="V24" i="1" s="1"/>
  <c r="X24" i="1"/>
  <c r="AA24" i="1" s="1" a="1"/>
  <c r="AA24" i="1" s="1"/>
  <c r="AC24" i="1"/>
  <c r="AF24" i="1" s="1" a="1"/>
  <c r="AF24" i="1" s="1"/>
  <c r="AH24" i="1"/>
  <c r="AI24" i="1"/>
  <c r="N25" i="1"/>
  <c r="Q25" i="1" s="1" a="1"/>
  <c r="Q25" i="1" s="1"/>
  <c r="S25" i="1"/>
  <c r="V25" i="1" s="1" a="1"/>
  <c r="V25" i="1" s="1"/>
  <c r="X25" i="1"/>
  <c r="AA25" i="1" s="1" a="1"/>
  <c r="AA25" i="1" s="1"/>
  <c r="AC25" i="1"/>
  <c r="AF25" i="1" s="1" a="1"/>
  <c r="AF25" i="1" s="1"/>
  <c r="AH25" i="1"/>
  <c r="AI25" i="1"/>
  <c r="N26" i="1"/>
  <c r="Q26" i="1" s="1" a="1"/>
  <c r="Q26" i="1" s="1"/>
  <c r="S26" i="1"/>
  <c r="V26" i="1" s="1" a="1"/>
  <c r="V26" i="1" s="1"/>
  <c r="X26" i="1"/>
  <c r="AA26" i="1" s="1" a="1"/>
  <c r="AA26" i="1" s="1"/>
  <c r="AC26" i="1"/>
  <c r="AF26" i="1" s="1" a="1"/>
  <c r="AF26" i="1" s="1"/>
  <c r="AH26" i="1"/>
  <c r="AI26" i="1"/>
  <c r="N27" i="1"/>
  <c r="Q27" i="1" s="1" a="1"/>
  <c r="Q27" i="1" s="1"/>
  <c r="S27" i="1"/>
  <c r="V27" i="1" s="1" a="1"/>
  <c r="V27" i="1" s="1"/>
  <c r="X27" i="1"/>
  <c r="AA27" i="1" s="1" a="1"/>
  <c r="AA27" i="1" s="1"/>
  <c r="AC27" i="1"/>
  <c r="AF27" i="1" s="1" a="1"/>
  <c r="AF27" i="1" s="1"/>
  <c r="AH27" i="1"/>
  <c r="AI27" i="1"/>
  <c r="N28" i="1"/>
  <c r="Q28" i="1" s="1" a="1"/>
  <c r="Q28" i="1" s="1"/>
  <c r="S28" i="1"/>
  <c r="V28" i="1" s="1" a="1"/>
  <c r="V28" i="1" s="1"/>
  <c r="X28" i="1"/>
  <c r="AA28" i="1" s="1" a="1"/>
  <c r="AA28" i="1" s="1"/>
  <c r="AC28" i="1"/>
  <c r="AF28" i="1" s="1" a="1"/>
  <c r="AF28" i="1" s="1"/>
  <c r="AH28" i="1"/>
  <c r="AI28" i="1"/>
  <c r="N29" i="1"/>
  <c r="Q29" i="1" s="1" a="1"/>
  <c r="Q29" i="1" s="1"/>
  <c r="S29" i="1"/>
  <c r="V29" i="1" s="1" a="1"/>
  <c r="V29" i="1" s="1"/>
  <c r="X29" i="1"/>
  <c r="AA29" i="1" s="1" a="1"/>
  <c r="AA29" i="1" s="1"/>
  <c r="AC29" i="1"/>
  <c r="AF29" i="1" s="1" a="1"/>
  <c r="AF29" i="1" s="1"/>
  <c r="AH29" i="1"/>
  <c r="AI29" i="1"/>
  <c r="N30" i="1"/>
  <c r="Q30" i="1" s="1" a="1"/>
  <c r="Q30" i="1" s="1"/>
  <c r="S30" i="1"/>
  <c r="V30" i="1" s="1" a="1"/>
  <c r="V30" i="1" s="1"/>
  <c r="X30" i="1"/>
  <c r="AA30" i="1" s="1" a="1"/>
  <c r="AA30" i="1" s="1"/>
  <c r="AC30" i="1"/>
  <c r="AF30" i="1" s="1" a="1"/>
  <c r="AF30" i="1" s="1"/>
  <c r="AH30" i="1"/>
  <c r="AI30" i="1"/>
  <c r="N31" i="1"/>
  <c r="Q31" i="1" s="1" a="1"/>
  <c r="Q31" i="1" s="1"/>
  <c r="S31" i="1"/>
  <c r="V31" i="1" s="1" a="1"/>
  <c r="V31" i="1" s="1"/>
  <c r="X31" i="1"/>
  <c r="AA31" i="1" s="1" a="1"/>
  <c r="AA31" i="1" s="1"/>
  <c r="AC31" i="1"/>
  <c r="AF31" i="1" s="1" a="1"/>
  <c r="AF31" i="1" s="1"/>
  <c r="AH31" i="1"/>
  <c r="AI31" i="1"/>
  <c r="N32" i="1"/>
  <c r="Q32" i="1" s="1" a="1"/>
  <c r="Q32" i="1" s="1"/>
  <c r="S32" i="1"/>
  <c r="V32" i="1" s="1" a="1"/>
  <c r="V32" i="1" s="1"/>
  <c r="X32" i="1"/>
  <c r="AA32" i="1" s="1" a="1"/>
  <c r="AA32" i="1" s="1"/>
  <c r="AC32" i="1"/>
  <c r="AF32" i="1" s="1" a="1"/>
  <c r="AF32" i="1" s="1"/>
  <c r="AH32" i="1"/>
  <c r="AI32" i="1"/>
  <c r="N33" i="1"/>
  <c r="Q33" i="1" s="1" a="1"/>
  <c r="Q33" i="1" s="1"/>
  <c r="S33" i="1"/>
  <c r="V33" i="1" s="1" a="1"/>
  <c r="V33" i="1" s="1"/>
  <c r="X33" i="1"/>
  <c r="AA33" i="1" s="1" a="1"/>
  <c r="AA33" i="1" s="1"/>
  <c r="AC33" i="1"/>
  <c r="AF33" i="1" s="1" a="1"/>
  <c r="AF33" i="1" s="1"/>
  <c r="AH33" i="1"/>
  <c r="AI33" i="1"/>
  <c r="N34" i="1"/>
  <c r="Q34" i="1" s="1" a="1"/>
  <c r="Q34" i="1" s="1"/>
  <c r="S34" i="1"/>
  <c r="V34" i="1" s="1" a="1"/>
  <c r="V34" i="1" s="1"/>
  <c r="X34" i="1"/>
  <c r="AA34" i="1" s="1" a="1"/>
  <c r="AA34" i="1" s="1"/>
  <c r="AC34" i="1"/>
  <c r="AF34" i="1" s="1" a="1"/>
  <c r="AF34" i="1" s="1"/>
  <c r="AH34" i="1"/>
  <c r="AI34" i="1"/>
  <c r="N35" i="1"/>
  <c r="Q35" i="1" s="1" a="1"/>
  <c r="Q35" i="1" s="1"/>
  <c r="S35" i="1"/>
  <c r="V35" i="1" s="1" a="1"/>
  <c r="V35" i="1" s="1"/>
  <c r="X35" i="1"/>
  <c r="AA35" i="1" s="1" a="1"/>
  <c r="AA35" i="1" s="1"/>
  <c r="AC35" i="1"/>
  <c r="AF35" i="1" s="1" a="1"/>
  <c r="AF35" i="1" s="1"/>
  <c r="AH35" i="1"/>
  <c r="AI35" i="1"/>
  <c r="N36" i="1"/>
  <c r="Q36" i="1" s="1" a="1"/>
  <c r="Q36" i="1" s="1"/>
  <c r="S36" i="1"/>
  <c r="V36" i="1" s="1" a="1"/>
  <c r="V36" i="1" s="1"/>
  <c r="X36" i="1"/>
  <c r="AA36" i="1" s="1" a="1"/>
  <c r="AA36" i="1" s="1"/>
  <c r="AC36" i="1"/>
  <c r="AF36" i="1" s="1" a="1"/>
  <c r="AF36" i="1" s="1"/>
  <c r="AH36" i="1"/>
  <c r="AI36" i="1"/>
  <c r="N37" i="1"/>
  <c r="Q37" i="1" s="1" a="1"/>
  <c r="Q37" i="1" s="1"/>
  <c r="S37" i="1"/>
  <c r="V37" i="1" s="1" a="1"/>
  <c r="V37" i="1" s="1"/>
  <c r="X37" i="1"/>
  <c r="AA37" i="1" s="1" a="1"/>
  <c r="AA37" i="1" s="1"/>
  <c r="AC37" i="1"/>
  <c r="AF37" i="1" s="1" a="1"/>
  <c r="AF37" i="1" s="1"/>
  <c r="AH37" i="1"/>
  <c r="AI37" i="1"/>
  <c r="N38" i="1"/>
  <c r="Q38" i="1" s="1" a="1"/>
  <c r="Q38" i="1" s="1"/>
  <c r="S38" i="1"/>
  <c r="V38" i="1" s="1" a="1"/>
  <c r="V38" i="1" s="1"/>
  <c r="X38" i="1"/>
  <c r="AA38" i="1" s="1" a="1"/>
  <c r="AA38" i="1" s="1"/>
  <c r="AC38" i="1"/>
  <c r="AF38" i="1" s="1" a="1"/>
  <c r="AF38" i="1" s="1"/>
  <c r="AH38" i="1"/>
  <c r="AI38" i="1"/>
  <c r="N39" i="1"/>
  <c r="Q39" i="1" s="1" a="1"/>
  <c r="Q39" i="1" s="1"/>
  <c r="S39" i="1"/>
  <c r="V39" i="1" s="1" a="1"/>
  <c r="V39" i="1" s="1"/>
  <c r="X39" i="1"/>
  <c r="AA39" i="1" s="1" a="1"/>
  <c r="AA39" i="1" s="1"/>
  <c r="AC39" i="1"/>
  <c r="AF39" i="1" s="1" a="1"/>
  <c r="AF39" i="1" s="1"/>
  <c r="AH39" i="1"/>
  <c r="AI39" i="1"/>
  <c r="N40" i="1"/>
  <c r="Q40" i="1" s="1" a="1"/>
  <c r="Q40" i="1" s="1"/>
  <c r="S40" i="1"/>
  <c r="V40" i="1" s="1" a="1"/>
  <c r="V40" i="1" s="1"/>
  <c r="X40" i="1"/>
  <c r="AA40" i="1" s="1" a="1"/>
  <c r="AA40" i="1" s="1"/>
  <c r="AC40" i="1"/>
  <c r="AF40" i="1" s="1" a="1"/>
  <c r="AF40" i="1" s="1"/>
  <c r="AH40" i="1"/>
  <c r="AI40" i="1"/>
  <c r="N41" i="1"/>
  <c r="Q41" i="1" s="1" a="1"/>
  <c r="Q41" i="1" s="1"/>
  <c r="S41" i="1"/>
  <c r="V41" i="1" s="1" a="1"/>
  <c r="V41" i="1" s="1"/>
  <c r="X41" i="1"/>
  <c r="AA41" i="1" s="1" a="1"/>
  <c r="AA41" i="1" s="1"/>
  <c r="AC41" i="1"/>
  <c r="AF41" i="1" s="1" a="1"/>
  <c r="AF41" i="1" s="1"/>
  <c r="AH41" i="1"/>
  <c r="AI41" i="1"/>
  <c r="N42" i="1"/>
  <c r="Q42" i="1" s="1" a="1"/>
  <c r="Q42" i="1" s="1"/>
  <c r="S42" i="1"/>
  <c r="V42" i="1" s="1" a="1"/>
  <c r="V42" i="1" s="1"/>
  <c r="X42" i="1"/>
  <c r="AA42" i="1" s="1" a="1"/>
  <c r="AA42" i="1" s="1"/>
  <c r="AC42" i="1"/>
  <c r="AF42" i="1" s="1" a="1"/>
  <c r="AF42" i="1" s="1"/>
  <c r="AH42" i="1"/>
  <c r="AI42" i="1"/>
  <c r="N43" i="1"/>
  <c r="Q43" i="1" s="1" a="1"/>
  <c r="Q43" i="1" s="1"/>
  <c r="S43" i="1"/>
  <c r="V43" i="1" s="1" a="1"/>
  <c r="V43" i="1" s="1"/>
  <c r="X43" i="1"/>
  <c r="AA43" i="1" s="1" a="1"/>
  <c r="AA43" i="1" s="1"/>
  <c r="AC43" i="1"/>
  <c r="AF43" i="1" s="1" a="1"/>
  <c r="AF43" i="1" s="1"/>
  <c r="AH43" i="1"/>
  <c r="AI43" i="1"/>
  <c r="N44" i="1"/>
  <c r="Q44" i="1" s="1" a="1"/>
  <c r="Q44" i="1" s="1"/>
  <c r="S44" i="1"/>
  <c r="V44" i="1" s="1" a="1"/>
  <c r="V44" i="1" s="1"/>
  <c r="X44" i="1"/>
  <c r="AA44" i="1" s="1" a="1"/>
  <c r="AA44" i="1" s="1"/>
  <c r="AC44" i="1"/>
  <c r="AF44" i="1" s="1" a="1"/>
  <c r="AF44" i="1" s="1"/>
  <c r="AH44" i="1"/>
  <c r="AI44" i="1"/>
  <c r="N45" i="1"/>
  <c r="Q45" i="1" s="1" a="1"/>
  <c r="Q45" i="1" s="1"/>
  <c r="S45" i="1"/>
  <c r="V45" i="1" s="1" a="1"/>
  <c r="V45" i="1" s="1"/>
  <c r="X45" i="1"/>
  <c r="AA45" i="1" s="1" a="1"/>
  <c r="AA45" i="1" s="1"/>
  <c r="AC45" i="1"/>
  <c r="AF45" i="1" s="1" a="1"/>
  <c r="AF45" i="1" s="1"/>
  <c r="AH45" i="1"/>
  <c r="AI45" i="1"/>
  <c r="N46" i="1"/>
  <c r="Q46" i="1" s="1" a="1"/>
  <c r="Q46" i="1" s="1"/>
  <c r="S46" i="1"/>
  <c r="V46" i="1" s="1" a="1"/>
  <c r="V46" i="1" s="1"/>
  <c r="X46" i="1"/>
  <c r="AA46" i="1" s="1" a="1"/>
  <c r="AA46" i="1" s="1"/>
  <c r="AC46" i="1"/>
  <c r="AF46" i="1" s="1" a="1"/>
  <c r="AF46" i="1" s="1"/>
  <c r="AH46" i="1"/>
  <c r="AI46" i="1"/>
  <c r="N47" i="1"/>
  <c r="Q47" i="1" s="1" a="1"/>
  <c r="Q47" i="1" s="1"/>
  <c r="S47" i="1"/>
  <c r="V47" i="1" s="1" a="1"/>
  <c r="V47" i="1" s="1"/>
  <c r="X47" i="1"/>
  <c r="AA47" i="1" s="1" a="1"/>
  <c r="AA47" i="1" s="1"/>
  <c r="AC47" i="1"/>
  <c r="AF47" i="1" s="1" a="1"/>
  <c r="AF47" i="1" s="1"/>
  <c r="AH47" i="1"/>
  <c r="AI47" i="1"/>
  <c r="N48" i="1"/>
  <c r="Q48" i="1" s="1" a="1"/>
  <c r="Q48" i="1" s="1"/>
  <c r="S48" i="1"/>
  <c r="V48" i="1" s="1" a="1"/>
  <c r="V48" i="1" s="1"/>
  <c r="X48" i="1"/>
  <c r="AA48" i="1" s="1" a="1"/>
  <c r="AA48" i="1" s="1"/>
  <c r="AC48" i="1"/>
  <c r="AF48" i="1" s="1" a="1"/>
  <c r="AF48" i="1" s="1"/>
  <c r="AH48" i="1"/>
  <c r="AI48" i="1"/>
  <c r="N49" i="1"/>
  <c r="Q49" i="1" s="1" a="1"/>
  <c r="Q49" i="1" s="1"/>
  <c r="S49" i="1"/>
  <c r="V49" i="1" s="1" a="1"/>
  <c r="V49" i="1" s="1"/>
  <c r="X49" i="1"/>
  <c r="AA49" i="1" s="1" a="1"/>
  <c r="AA49" i="1" s="1"/>
  <c r="AC49" i="1"/>
  <c r="AF49" i="1" s="1" a="1"/>
  <c r="AF49" i="1" s="1"/>
  <c r="AH49" i="1"/>
  <c r="AI49" i="1"/>
  <c r="N50" i="1"/>
  <c r="Q50" i="1" s="1" a="1"/>
  <c r="Q50" i="1" s="1"/>
  <c r="S50" i="1"/>
  <c r="V50" i="1" s="1" a="1"/>
  <c r="V50" i="1" s="1"/>
  <c r="X50" i="1"/>
  <c r="AA50" i="1" s="1" a="1"/>
  <c r="AA50" i="1" s="1"/>
  <c r="AC50" i="1"/>
  <c r="AF50" i="1" s="1" a="1"/>
  <c r="AF50" i="1" s="1"/>
  <c r="AH50" i="1"/>
  <c r="AI50" i="1"/>
  <c r="N51" i="1"/>
  <c r="Q51" i="1" s="1" a="1"/>
  <c r="Q51" i="1" s="1"/>
  <c r="S51" i="1"/>
  <c r="V51" i="1" s="1" a="1"/>
  <c r="V51" i="1" s="1"/>
  <c r="X51" i="1"/>
  <c r="AA51" i="1" s="1" a="1"/>
  <c r="AA51" i="1" s="1"/>
  <c r="AC51" i="1"/>
  <c r="AF51" i="1" s="1" a="1"/>
  <c r="AF51" i="1" s="1"/>
  <c r="AH51" i="1"/>
  <c r="AI51" i="1"/>
  <c r="N52" i="1"/>
  <c r="Q52" i="1" s="1" a="1"/>
  <c r="Q52" i="1" s="1"/>
  <c r="S52" i="1"/>
  <c r="V52" i="1" s="1" a="1"/>
  <c r="V52" i="1" s="1"/>
  <c r="X52" i="1"/>
  <c r="AA52" i="1" s="1" a="1"/>
  <c r="AA52" i="1" s="1"/>
  <c r="AC52" i="1"/>
  <c r="AF52" i="1" s="1" a="1"/>
  <c r="AF52" i="1" s="1"/>
  <c r="AH52" i="1"/>
  <c r="AI52" i="1"/>
  <c r="N53" i="1"/>
  <c r="Q53" i="1" s="1" a="1"/>
  <c r="Q53" i="1" s="1"/>
  <c r="S53" i="1"/>
  <c r="V53" i="1" s="1" a="1"/>
  <c r="V53" i="1" s="1"/>
  <c r="X53" i="1"/>
  <c r="AA53" i="1" s="1" a="1"/>
  <c r="AA53" i="1" s="1"/>
  <c r="AC53" i="1"/>
  <c r="AF53" i="1" s="1" a="1"/>
  <c r="AF53" i="1" s="1"/>
  <c r="AH53" i="1"/>
  <c r="AI53" i="1"/>
  <c r="N54" i="1"/>
  <c r="Q54" i="1" s="1" a="1"/>
  <c r="Q54" i="1" s="1"/>
  <c r="S54" i="1"/>
  <c r="V54" i="1" s="1" a="1"/>
  <c r="V54" i="1" s="1"/>
  <c r="X54" i="1"/>
  <c r="AA54" i="1" s="1" a="1"/>
  <c r="AA54" i="1" s="1"/>
  <c r="AC54" i="1"/>
  <c r="AF54" i="1" s="1" a="1"/>
  <c r="AF54" i="1" s="1"/>
  <c r="AH54" i="1"/>
  <c r="AI54" i="1"/>
  <c r="N55" i="1"/>
  <c r="Q55" i="1" s="1" a="1"/>
  <c r="Q55" i="1" s="1"/>
  <c r="S55" i="1"/>
  <c r="V55" i="1" s="1" a="1"/>
  <c r="V55" i="1" s="1"/>
  <c r="X55" i="1"/>
  <c r="AA55" i="1" s="1" a="1"/>
  <c r="AA55" i="1" s="1"/>
  <c r="AC55" i="1"/>
  <c r="AF55" i="1" s="1" a="1"/>
  <c r="AF55" i="1" s="1"/>
  <c r="AH55" i="1"/>
  <c r="AI55" i="1"/>
  <c r="N56" i="1"/>
  <c r="Q56" i="1" s="1" a="1"/>
  <c r="Q56" i="1" s="1"/>
  <c r="S56" i="1"/>
  <c r="V56" i="1" s="1" a="1"/>
  <c r="V56" i="1" s="1"/>
  <c r="X56" i="1"/>
  <c r="AA56" i="1" s="1" a="1"/>
  <c r="AA56" i="1" s="1"/>
  <c r="AC56" i="1"/>
  <c r="AF56" i="1" s="1" a="1"/>
  <c r="AF56" i="1" s="1"/>
  <c r="AH56" i="1"/>
  <c r="AI56" i="1"/>
  <c r="N57" i="1"/>
  <c r="Q57" i="1" s="1" a="1"/>
  <c r="Q57" i="1" s="1"/>
  <c r="S57" i="1"/>
  <c r="V57" i="1" s="1" a="1"/>
  <c r="V57" i="1" s="1"/>
  <c r="X57" i="1"/>
  <c r="AA57" i="1" s="1" a="1"/>
  <c r="AA57" i="1" s="1"/>
  <c r="AC57" i="1"/>
  <c r="AF57" i="1" s="1" a="1"/>
  <c r="AF57" i="1" s="1"/>
  <c r="AH57" i="1"/>
  <c r="AI57" i="1"/>
  <c r="N58" i="1"/>
  <c r="Q58" i="1" s="1" a="1"/>
  <c r="Q58" i="1" s="1"/>
  <c r="S58" i="1"/>
  <c r="V58" i="1" s="1" a="1"/>
  <c r="V58" i="1" s="1"/>
  <c r="X58" i="1"/>
  <c r="AA58" i="1" s="1" a="1"/>
  <c r="AA58" i="1" s="1"/>
  <c r="AC58" i="1"/>
  <c r="AF58" i="1" s="1" a="1"/>
  <c r="AF58" i="1" s="1"/>
  <c r="AH58" i="1"/>
  <c r="AI58" i="1"/>
  <c r="N59" i="1"/>
  <c r="Q59" i="1" s="1" a="1"/>
  <c r="Q59" i="1" s="1"/>
  <c r="S59" i="1"/>
  <c r="V59" i="1" s="1" a="1"/>
  <c r="V59" i="1" s="1"/>
  <c r="X59" i="1"/>
  <c r="AA59" i="1" s="1" a="1"/>
  <c r="AA59" i="1" s="1"/>
  <c r="AC59" i="1"/>
  <c r="AF59" i="1" s="1" a="1"/>
  <c r="AF59" i="1" s="1"/>
  <c r="AH59" i="1"/>
  <c r="AI59" i="1"/>
  <c r="N60" i="1"/>
  <c r="Q60" i="1" s="1" a="1"/>
  <c r="Q60" i="1" s="1"/>
  <c r="S60" i="1"/>
  <c r="V60" i="1" s="1" a="1"/>
  <c r="V60" i="1" s="1"/>
  <c r="X60" i="1"/>
  <c r="AA60" i="1" s="1" a="1"/>
  <c r="AA60" i="1" s="1"/>
  <c r="AC60" i="1"/>
  <c r="AF60" i="1" s="1" a="1"/>
  <c r="AF60" i="1" s="1"/>
  <c r="AH60" i="1"/>
  <c r="AI60" i="1"/>
  <c r="N61" i="1"/>
  <c r="Q61" i="1" s="1" a="1"/>
  <c r="Q61" i="1" s="1"/>
  <c r="S61" i="1"/>
  <c r="V61" i="1" s="1" a="1"/>
  <c r="V61" i="1" s="1"/>
  <c r="X61" i="1"/>
  <c r="AA61" i="1" s="1" a="1"/>
  <c r="AA61" i="1" s="1"/>
  <c r="AC61" i="1"/>
  <c r="AF61" i="1" s="1" a="1"/>
  <c r="AF61" i="1" s="1"/>
  <c r="AH61" i="1"/>
  <c r="AI61" i="1"/>
  <c r="N62" i="1"/>
  <c r="Q62" i="1" s="1" a="1"/>
  <c r="Q62" i="1" s="1"/>
  <c r="S62" i="1"/>
  <c r="V62" i="1" s="1" a="1"/>
  <c r="V62" i="1" s="1"/>
  <c r="X62" i="1"/>
  <c r="AA62" i="1" s="1" a="1"/>
  <c r="AA62" i="1" s="1"/>
  <c r="AC62" i="1"/>
  <c r="AF62" i="1" s="1" a="1"/>
  <c r="AF62" i="1" s="1"/>
  <c r="AH62" i="1"/>
  <c r="AI62" i="1"/>
  <c r="N63" i="1"/>
  <c r="Q63" i="1" s="1" a="1"/>
  <c r="Q63" i="1" s="1"/>
  <c r="S63" i="1"/>
  <c r="V63" i="1" s="1" a="1"/>
  <c r="V63" i="1" s="1"/>
  <c r="X63" i="1"/>
  <c r="AA63" i="1" s="1" a="1"/>
  <c r="AA63" i="1" s="1"/>
  <c r="AC63" i="1"/>
  <c r="AF63" i="1" s="1" a="1"/>
  <c r="AF63" i="1" s="1"/>
  <c r="AH63" i="1"/>
  <c r="AI63" i="1"/>
  <c r="N64" i="1"/>
  <c r="Q64" i="1" s="1" a="1"/>
  <c r="Q64" i="1" s="1"/>
  <c r="S64" i="1"/>
  <c r="V64" i="1" s="1" a="1"/>
  <c r="V64" i="1" s="1"/>
  <c r="X64" i="1"/>
  <c r="AA64" i="1" s="1" a="1"/>
  <c r="AA64" i="1" s="1"/>
  <c r="AC64" i="1"/>
  <c r="AF64" i="1" s="1" a="1"/>
  <c r="AF64" i="1" s="1"/>
  <c r="AH64" i="1"/>
  <c r="AI64" i="1"/>
  <c r="N65" i="1"/>
  <c r="Q65" i="1" s="1" a="1"/>
  <c r="Q65" i="1" s="1"/>
  <c r="S65" i="1"/>
  <c r="V65" i="1" s="1" a="1"/>
  <c r="V65" i="1" s="1"/>
  <c r="X65" i="1"/>
  <c r="AA65" i="1" s="1" a="1"/>
  <c r="AA65" i="1" s="1"/>
  <c r="AC65" i="1"/>
  <c r="AF65" i="1" s="1" a="1"/>
  <c r="AF65" i="1" s="1"/>
  <c r="AH65" i="1"/>
  <c r="AI65" i="1"/>
  <c r="N66" i="1"/>
  <c r="Q66" i="1" s="1" a="1"/>
  <c r="Q66" i="1" s="1"/>
  <c r="S66" i="1"/>
  <c r="V66" i="1" s="1" a="1"/>
  <c r="V66" i="1" s="1"/>
  <c r="X66" i="1"/>
  <c r="AA66" i="1" s="1" a="1"/>
  <c r="AA66" i="1" s="1"/>
  <c r="AC66" i="1"/>
  <c r="AF66" i="1" s="1" a="1"/>
  <c r="AF66" i="1" s="1"/>
  <c r="AH66" i="1"/>
  <c r="AI66" i="1"/>
  <c r="N67" i="1"/>
  <c r="Q67" i="1" s="1" a="1"/>
  <c r="Q67" i="1" s="1"/>
  <c r="S67" i="1"/>
  <c r="V67" i="1" s="1" a="1"/>
  <c r="V67" i="1" s="1"/>
  <c r="X67" i="1"/>
  <c r="AA67" i="1" s="1" a="1"/>
  <c r="AA67" i="1" s="1"/>
  <c r="AC67" i="1"/>
  <c r="AF67" i="1" s="1" a="1"/>
  <c r="AF67" i="1" s="1"/>
  <c r="AH67" i="1"/>
  <c r="AI67" i="1"/>
  <c r="N68" i="1"/>
  <c r="Q68" i="1" s="1" a="1"/>
  <c r="Q68" i="1" s="1"/>
  <c r="S68" i="1"/>
  <c r="V68" i="1" s="1" a="1"/>
  <c r="V68" i="1" s="1"/>
  <c r="X68" i="1"/>
  <c r="AA68" i="1" s="1" a="1"/>
  <c r="AA68" i="1" s="1"/>
  <c r="AC68" i="1"/>
  <c r="AF68" i="1" s="1" a="1"/>
  <c r="AF68" i="1" s="1"/>
  <c r="AH68" i="1"/>
  <c r="AI68" i="1"/>
  <c r="N69" i="1"/>
  <c r="Q69" i="1" s="1" a="1"/>
  <c r="Q69" i="1" s="1"/>
  <c r="S69" i="1"/>
  <c r="V69" i="1" s="1" a="1"/>
  <c r="V69" i="1" s="1"/>
  <c r="X69" i="1"/>
  <c r="AA69" i="1" s="1" a="1"/>
  <c r="AA69" i="1" s="1"/>
  <c r="AC69" i="1"/>
  <c r="AF69" i="1" s="1" a="1"/>
  <c r="AF69" i="1" s="1"/>
  <c r="AH69" i="1"/>
  <c r="AI69" i="1"/>
  <c r="N70" i="1"/>
  <c r="Q70" i="1" s="1" a="1"/>
  <c r="Q70" i="1" s="1"/>
  <c r="S70" i="1"/>
  <c r="V70" i="1" s="1" a="1"/>
  <c r="V70" i="1" s="1"/>
  <c r="X70" i="1"/>
  <c r="AA70" i="1" s="1" a="1"/>
  <c r="AA70" i="1" s="1"/>
  <c r="AC70" i="1"/>
  <c r="AF70" i="1" s="1" a="1"/>
  <c r="AF70" i="1" s="1"/>
  <c r="AH70" i="1"/>
  <c r="AI70" i="1"/>
  <c r="N71" i="1"/>
  <c r="Q71" i="1" s="1" a="1"/>
  <c r="Q71" i="1" s="1"/>
  <c r="S71" i="1"/>
  <c r="V71" i="1" s="1" a="1"/>
  <c r="V71" i="1" s="1"/>
  <c r="X71" i="1"/>
  <c r="AA71" i="1" s="1" a="1"/>
  <c r="AA71" i="1" s="1"/>
  <c r="AC71" i="1"/>
  <c r="AF71" i="1" s="1" a="1"/>
  <c r="AF71" i="1" s="1"/>
  <c r="AH71" i="1"/>
  <c r="AI71" i="1"/>
  <c r="N72" i="1"/>
  <c r="Q72" i="1" s="1" a="1"/>
  <c r="Q72" i="1" s="1"/>
  <c r="S72" i="1"/>
  <c r="V72" i="1" s="1" a="1"/>
  <c r="V72" i="1" s="1"/>
  <c r="X72" i="1"/>
  <c r="AA72" i="1" s="1" a="1"/>
  <c r="AA72" i="1" s="1"/>
  <c r="AC72" i="1"/>
  <c r="AF72" i="1" s="1" a="1"/>
  <c r="AF72" i="1" s="1"/>
  <c r="AH72" i="1"/>
  <c r="AI72" i="1"/>
  <c r="N73" i="1"/>
  <c r="Q73" i="1" s="1" a="1"/>
  <c r="Q73" i="1" s="1"/>
  <c r="S73" i="1"/>
  <c r="V73" i="1" s="1" a="1"/>
  <c r="V73" i="1" s="1"/>
  <c r="X73" i="1"/>
  <c r="AA73" i="1" s="1" a="1"/>
  <c r="AA73" i="1" s="1"/>
  <c r="AC73" i="1"/>
  <c r="AF73" i="1" s="1" a="1"/>
  <c r="AF73" i="1" s="1"/>
  <c r="AH73" i="1"/>
  <c r="AI73" i="1"/>
  <c r="N74" i="1"/>
  <c r="Q74" i="1" s="1" a="1"/>
  <c r="Q74" i="1" s="1"/>
  <c r="S74" i="1"/>
  <c r="V74" i="1" s="1" a="1"/>
  <c r="V74" i="1" s="1"/>
  <c r="X74" i="1"/>
  <c r="AA74" i="1" s="1" a="1"/>
  <c r="AA74" i="1" s="1"/>
  <c r="AC74" i="1"/>
  <c r="AF74" i="1" s="1" a="1"/>
  <c r="AF74" i="1" s="1"/>
  <c r="AH74" i="1"/>
  <c r="AI74" i="1"/>
  <c r="N75" i="1"/>
  <c r="Q75" i="1" s="1" a="1"/>
  <c r="Q75" i="1" s="1"/>
  <c r="S75" i="1"/>
  <c r="V75" i="1" s="1" a="1"/>
  <c r="V75" i="1" s="1"/>
  <c r="X75" i="1"/>
  <c r="AA75" i="1" s="1" a="1"/>
  <c r="AA75" i="1" s="1"/>
  <c r="AC75" i="1"/>
  <c r="AF75" i="1" s="1" a="1"/>
  <c r="AF75" i="1" s="1"/>
  <c r="AH75" i="1"/>
  <c r="AI75" i="1"/>
  <c r="N76" i="1"/>
  <c r="Q76" i="1" s="1" a="1"/>
  <c r="Q76" i="1" s="1"/>
  <c r="S76" i="1"/>
  <c r="V76" i="1" s="1" a="1"/>
  <c r="V76" i="1" s="1"/>
  <c r="X76" i="1"/>
  <c r="AA76" i="1" s="1" a="1"/>
  <c r="AA76" i="1" s="1"/>
  <c r="AC76" i="1"/>
  <c r="AF76" i="1" s="1" a="1"/>
  <c r="AF76" i="1" s="1"/>
  <c r="AH76" i="1"/>
  <c r="AI76" i="1"/>
  <c r="N77" i="1"/>
  <c r="Q77" i="1" s="1" a="1"/>
  <c r="Q77" i="1" s="1"/>
  <c r="S77" i="1"/>
  <c r="V77" i="1" s="1" a="1"/>
  <c r="V77" i="1" s="1"/>
  <c r="X77" i="1"/>
  <c r="AA77" i="1" s="1" a="1"/>
  <c r="AA77" i="1" s="1"/>
  <c r="AC77" i="1"/>
  <c r="AF77" i="1" s="1" a="1"/>
  <c r="AF77" i="1" s="1"/>
  <c r="AH77" i="1"/>
  <c r="AI77" i="1"/>
  <c r="N78" i="1"/>
  <c r="Q78" i="1" s="1" a="1"/>
  <c r="Q78" i="1" s="1"/>
  <c r="S78" i="1"/>
  <c r="V78" i="1" s="1" a="1"/>
  <c r="V78" i="1" s="1"/>
  <c r="X78" i="1"/>
  <c r="AA78" i="1" s="1" a="1"/>
  <c r="AA78" i="1" s="1"/>
  <c r="AC78" i="1"/>
  <c r="AF78" i="1" s="1" a="1"/>
  <c r="AF78" i="1" s="1"/>
  <c r="AH78" i="1"/>
  <c r="AI78" i="1"/>
  <c r="N79" i="1"/>
  <c r="Q79" i="1" s="1" a="1"/>
  <c r="Q79" i="1" s="1"/>
  <c r="S79" i="1"/>
  <c r="V79" i="1" s="1" a="1"/>
  <c r="V79" i="1" s="1"/>
  <c r="X79" i="1"/>
  <c r="AA79" i="1" s="1" a="1"/>
  <c r="AA79" i="1" s="1"/>
  <c r="AC79" i="1"/>
  <c r="AF79" i="1" s="1" a="1"/>
  <c r="AF79" i="1" s="1"/>
  <c r="AH79" i="1"/>
  <c r="AI79" i="1"/>
  <c r="N80" i="1"/>
  <c r="Q80" i="1" s="1" a="1"/>
  <c r="Q80" i="1" s="1"/>
  <c r="S80" i="1"/>
  <c r="V80" i="1" s="1" a="1"/>
  <c r="V80" i="1" s="1"/>
  <c r="X80" i="1"/>
  <c r="AA80" i="1" s="1" a="1"/>
  <c r="AA80" i="1" s="1"/>
  <c r="AC80" i="1"/>
  <c r="AF80" i="1" s="1" a="1"/>
  <c r="AF80" i="1" s="1"/>
  <c r="AH80" i="1"/>
  <c r="AI80" i="1"/>
  <c r="N81" i="1"/>
  <c r="Q81" i="1" s="1" a="1"/>
  <c r="Q81" i="1" s="1"/>
  <c r="S81" i="1"/>
  <c r="V81" i="1" s="1" a="1"/>
  <c r="V81" i="1" s="1"/>
  <c r="X81" i="1"/>
  <c r="AA81" i="1" s="1" a="1"/>
  <c r="AA81" i="1" s="1"/>
  <c r="AC81" i="1"/>
  <c r="AF81" i="1" s="1" a="1"/>
  <c r="AF81" i="1" s="1"/>
  <c r="AH81" i="1"/>
  <c r="AI81" i="1"/>
  <c r="N82" i="1"/>
  <c r="Q82" i="1" s="1" a="1"/>
  <c r="Q82" i="1" s="1"/>
  <c r="S82" i="1"/>
  <c r="V82" i="1" s="1" a="1"/>
  <c r="V82" i="1" s="1"/>
  <c r="X82" i="1"/>
  <c r="AA82" i="1" s="1" a="1"/>
  <c r="AA82" i="1" s="1"/>
  <c r="AC82" i="1"/>
  <c r="AF82" i="1" s="1" a="1"/>
  <c r="AF82" i="1" s="1"/>
  <c r="AH82" i="1"/>
  <c r="AI82" i="1"/>
  <c r="N83" i="1"/>
  <c r="Q83" i="1" s="1" a="1"/>
  <c r="Q83" i="1" s="1"/>
  <c r="S83" i="1"/>
  <c r="V83" i="1" s="1" a="1"/>
  <c r="V83" i="1" s="1"/>
  <c r="X83" i="1"/>
  <c r="AA83" i="1" s="1" a="1"/>
  <c r="AA83" i="1" s="1"/>
  <c r="AC83" i="1"/>
  <c r="AF83" i="1" s="1" a="1"/>
  <c r="AF83" i="1" s="1"/>
  <c r="AH83" i="1"/>
  <c r="AI83" i="1"/>
  <c r="N84" i="1"/>
  <c r="Q84" i="1" s="1" a="1"/>
  <c r="Q84" i="1" s="1"/>
  <c r="S84" i="1"/>
  <c r="V84" i="1" s="1" a="1"/>
  <c r="V84" i="1" s="1"/>
  <c r="X84" i="1"/>
  <c r="AA84" i="1" s="1" a="1"/>
  <c r="AA84" i="1" s="1"/>
  <c r="AC84" i="1"/>
  <c r="AF84" i="1" s="1" a="1"/>
  <c r="AF84" i="1" s="1"/>
  <c r="AH84" i="1"/>
  <c r="AI84" i="1"/>
  <c r="N85" i="1"/>
  <c r="Q85" i="1" s="1" a="1"/>
  <c r="Q85" i="1" s="1"/>
  <c r="S85" i="1"/>
  <c r="V85" i="1" s="1" a="1"/>
  <c r="V85" i="1" s="1"/>
  <c r="X85" i="1"/>
  <c r="AA85" i="1" s="1" a="1"/>
  <c r="AA85" i="1" s="1"/>
  <c r="AC85" i="1"/>
  <c r="AF85" i="1" s="1" a="1"/>
  <c r="AF85" i="1" s="1"/>
  <c r="AH85" i="1"/>
  <c r="AI85" i="1"/>
  <c r="N86" i="1"/>
  <c r="Q86" i="1" s="1" a="1"/>
  <c r="Q86" i="1" s="1"/>
  <c r="S86" i="1"/>
  <c r="V86" i="1" s="1" a="1"/>
  <c r="V86" i="1" s="1"/>
  <c r="X86" i="1"/>
  <c r="AA86" i="1" s="1" a="1"/>
  <c r="AA86" i="1" s="1"/>
  <c r="AC86" i="1"/>
  <c r="AF86" i="1" s="1" a="1"/>
  <c r="AF86" i="1" s="1"/>
  <c r="AH86" i="1"/>
  <c r="AI86" i="1"/>
  <c r="N87" i="1"/>
  <c r="Q87" i="1" s="1" a="1"/>
  <c r="Q87" i="1" s="1"/>
  <c r="S87" i="1"/>
  <c r="V87" i="1" s="1" a="1"/>
  <c r="V87" i="1" s="1"/>
  <c r="X87" i="1"/>
  <c r="AA87" i="1" s="1" a="1"/>
  <c r="AA87" i="1" s="1"/>
  <c r="AC87" i="1"/>
  <c r="AF87" i="1" s="1" a="1"/>
  <c r="AF87" i="1" s="1"/>
  <c r="AH87" i="1"/>
  <c r="AI87" i="1"/>
  <c r="N88" i="1"/>
  <c r="Q88" i="1" s="1" a="1"/>
  <c r="Q88" i="1" s="1"/>
  <c r="S88" i="1"/>
  <c r="V88" i="1" s="1" a="1"/>
  <c r="V88" i="1" s="1"/>
  <c r="X88" i="1"/>
  <c r="AA88" i="1" s="1" a="1"/>
  <c r="AA88" i="1" s="1"/>
  <c r="AC88" i="1"/>
  <c r="AF88" i="1" s="1" a="1"/>
  <c r="AF88" i="1" s="1"/>
  <c r="AH88" i="1"/>
  <c r="AI88" i="1"/>
  <c r="N89" i="1"/>
  <c r="Q89" i="1" s="1" a="1"/>
  <c r="Q89" i="1" s="1"/>
  <c r="S89" i="1"/>
  <c r="V89" i="1" s="1" a="1"/>
  <c r="V89" i="1" s="1"/>
  <c r="X89" i="1"/>
  <c r="AA89" i="1" s="1" a="1"/>
  <c r="AA89" i="1" s="1"/>
  <c r="AC89" i="1"/>
  <c r="AF89" i="1" s="1" a="1"/>
  <c r="AF89" i="1" s="1"/>
  <c r="AH89" i="1"/>
  <c r="AI89" i="1"/>
  <c r="N90" i="1"/>
  <c r="Q90" i="1" s="1" a="1"/>
  <c r="Q90" i="1" s="1"/>
  <c r="S90" i="1"/>
  <c r="V90" i="1" s="1" a="1"/>
  <c r="V90" i="1" s="1"/>
  <c r="X90" i="1"/>
  <c r="AA90" i="1" s="1" a="1"/>
  <c r="AA90" i="1" s="1"/>
  <c r="AC90" i="1"/>
  <c r="AF90" i="1" s="1" a="1"/>
  <c r="AF90" i="1" s="1"/>
  <c r="AH90" i="1"/>
  <c r="AI90" i="1"/>
  <c r="N91" i="1"/>
  <c r="Q91" i="1" s="1" a="1"/>
  <c r="Q91" i="1" s="1"/>
  <c r="S91" i="1"/>
  <c r="V91" i="1" s="1" a="1"/>
  <c r="V91" i="1" s="1"/>
  <c r="X91" i="1"/>
  <c r="AA91" i="1" s="1" a="1"/>
  <c r="AA91" i="1" s="1"/>
  <c r="AC91" i="1"/>
  <c r="AF91" i="1" s="1" a="1"/>
  <c r="AF91" i="1" s="1"/>
  <c r="AH91" i="1"/>
  <c r="AI91" i="1"/>
  <c r="N92" i="1"/>
  <c r="Q92" i="1" s="1" a="1"/>
  <c r="Q92" i="1" s="1"/>
  <c r="S92" i="1"/>
  <c r="V92" i="1" s="1" a="1"/>
  <c r="V92" i="1" s="1"/>
  <c r="X92" i="1"/>
  <c r="AA92" i="1" s="1" a="1"/>
  <c r="AA92" i="1" s="1"/>
  <c r="AC92" i="1"/>
  <c r="AF92" i="1" s="1" a="1"/>
  <c r="AF92" i="1" s="1"/>
  <c r="AH92" i="1"/>
  <c r="AI92" i="1"/>
  <c r="N93" i="1"/>
  <c r="Q93" i="1" s="1" a="1"/>
  <c r="Q93" i="1" s="1"/>
  <c r="S93" i="1"/>
  <c r="V93" i="1" s="1" a="1"/>
  <c r="V93" i="1" s="1"/>
  <c r="X93" i="1"/>
  <c r="AA93" i="1" s="1" a="1"/>
  <c r="AA93" i="1" s="1"/>
  <c r="AC93" i="1"/>
  <c r="AF93" i="1" s="1" a="1"/>
  <c r="AF93" i="1" s="1"/>
  <c r="AH93" i="1"/>
  <c r="AI93" i="1"/>
  <c r="N94" i="1"/>
  <c r="Q94" i="1" s="1" a="1"/>
  <c r="Q94" i="1" s="1"/>
  <c r="S94" i="1"/>
  <c r="V94" i="1" s="1" a="1"/>
  <c r="V94" i="1" s="1"/>
  <c r="X94" i="1"/>
  <c r="AA94" i="1" s="1" a="1"/>
  <c r="AA94" i="1" s="1"/>
  <c r="AC94" i="1"/>
  <c r="AF94" i="1" s="1" a="1"/>
  <c r="AF94" i="1" s="1"/>
  <c r="AH94" i="1"/>
  <c r="AI94" i="1"/>
  <c r="N95" i="1"/>
  <c r="Q95" i="1" s="1" a="1"/>
  <c r="Q95" i="1" s="1"/>
  <c r="S95" i="1"/>
  <c r="V95" i="1" s="1" a="1"/>
  <c r="V95" i="1" s="1"/>
  <c r="X95" i="1"/>
  <c r="AA95" i="1" s="1" a="1"/>
  <c r="AA95" i="1" s="1"/>
  <c r="AC95" i="1"/>
  <c r="AF95" i="1" s="1" a="1"/>
  <c r="AF95" i="1" s="1"/>
  <c r="AH95" i="1"/>
  <c r="AI95" i="1"/>
  <c r="N96" i="1"/>
  <c r="Q96" i="1" s="1" a="1"/>
  <c r="Q96" i="1" s="1"/>
  <c r="S96" i="1"/>
  <c r="V96" i="1" s="1" a="1"/>
  <c r="V96" i="1" s="1"/>
  <c r="X96" i="1"/>
  <c r="AA96" i="1" s="1" a="1"/>
  <c r="AA96" i="1" s="1"/>
  <c r="AC96" i="1"/>
  <c r="AF96" i="1" s="1" a="1"/>
  <c r="AF96" i="1" s="1"/>
  <c r="AH96" i="1"/>
  <c r="AI96" i="1"/>
  <c r="N97" i="1"/>
  <c r="Q97" i="1" s="1" a="1"/>
  <c r="Q97" i="1" s="1"/>
  <c r="S97" i="1"/>
  <c r="V97" i="1" s="1" a="1"/>
  <c r="V97" i="1" s="1"/>
  <c r="X97" i="1"/>
  <c r="AA97" i="1" s="1" a="1"/>
  <c r="AA97" i="1" s="1"/>
  <c r="AC97" i="1"/>
  <c r="AF97" i="1" s="1" a="1"/>
  <c r="AF97" i="1" s="1"/>
  <c r="AH97" i="1"/>
  <c r="AI97" i="1"/>
  <c r="N98" i="1"/>
  <c r="Q98" i="1" s="1" a="1"/>
  <c r="Q98" i="1" s="1"/>
  <c r="S98" i="1"/>
  <c r="V98" i="1" s="1" a="1"/>
  <c r="V98" i="1" s="1"/>
  <c r="X98" i="1"/>
  <c r="AA98" i="1" s="1" a="1"/>
  <c r="AA98" i="1" s="1"/>
  <c r="AC98" i="1"/>
  <c r="AF98" i="1" s="1" a="1"/>
  <c r="AF98" i="1" s="1"/>
  <c r="AH98" i="1"/>
  <c r="AI98" i="1"/>
  <c r="N99" i="1"/>
  <c r="Q99" i="1" s="1" a="1"/>
  <c r="Q99" i="1" s="1"/>
  <c r="S99" i="1"/>
  <c r="V99" i="1" s="1" a="1"/>
  <c r="V99" i="1" s="1"/>
  <c r="X99" i="1"/>
  <c r="AA99" i="1" s="1" a="1"/>
  <c r="AA99" i="1" s="1"/>
  <c r="AC99" i="1"/>
  <c r="AF99" i="1" s="1" a="1"/>
  <c r="AF99" i="1" s="1"/>
  <c r="AH99" i="1"/>
  <c r="AI99" i="1"/>
  <c r="N100" i="1"/>
  <c r="Q100" i="1" s="1" a="1"/>
  <c r="Q100" i="1" s="1"/>
  <c r="S100" i="1"/>
  <c r="V100" i="1" s="1" a="1"/>
  <c r="V100" i="1" s="1"/>
  <c r="X100" i="1"/>
  <c r="AA100" i="1" s="1" a="1"/>
  <c r="AA100" i="1" s="1"/>
  <c r="AC100" i="1"/>
  <c r="AF100" i="1" s="1" a="1"/>
  <c r="AF100" i="1" s="1"/>
  <c r="AH100" i="1"/>
  <c r="AI100" i="1"/>
  <c r="N101" i="1"/>
  <c r="Q101" i="1" s="1" a="1"/>
  <c r="Q101" i="1" s="1"/>
  <c r="S101" i="1"/>
  <c r="V101" i="1" s="1" a="1"/>
  <c r="V101" i="1" s="1"/>
  <c r="X101" i="1"/>
  <c r="AA101" i="1" s="1" a="1"/>
  <c r="AA101" i="1" s="1"/>
  <c r="AC101" i="1"/>
  <c r="AF101" i="1" s="1" a="1"/>
  <c r="AF101" i="1" s="1"/>
  <c r="AH101" i="1"/>
  <c r="AI101" i="1"/>
  <c r="N102" i="1"/>
  <c r="Q102" i="1" s="1" a="1"/>
  <c r="Q102" i="1" s="1"/>
  <c r="S102" i="1"/>
  <c r="V102" i="1" s="1" a="1"/>
  <c r="V102" i="1" s="1"/>
  <c r="X102" i="1"/>
  <c r="AA102" i="1" s="1" a="1"/>
  <c r="AA102" i="1" s="1"/>
  <c r="AC102" i="1"/>
  <c r="AF102" i="1" s="1" a="1"/>
  <c r="AF102" i="1" s="1"/>
  <c r="AH102" i="1"/>
  <c r="AI102" i="1"/>
  <c r="N103" i="1"/>
  <c r="Q103" i="1" s="1" a="1"/>
  <c r="Q103" i="1" s="1"/>
  <c r="S103" i="1"/>
  <c r="V103" i="1" s="1" a="1"/>
  <c r="V103" i="1" s="1"/>
  <c r="X103" i="1"/>
  <c r="AA103" i="1" s="1" a="1"/>
  <c r="AA103" i="1" s="1"/>
  <c r="AC103" i="1"/>
  <c r="AF103" i="1" s="1" a="1"/>
  <c r="AF103" i="1" s="1"/>
  <c r="AH103" i="1"/>
  <c r="AI103" i="1"/>
  <c r="N104" i="1"/>
  <c r="Q104" i="1" s="1" a="1"/>
  <c r="Q104" i="1" s="1"/>
  <c r="S104" i="1"/>
  <c r="V104" i="1" s="1" a="1"/>
  <c r="V104" i="1" s="1"/>
  <c r="X104" i="1"/>
  <c r="AA104" i="1" s="1" a="1"/>
  <c r="AA104" i="1" s="1"/>
  <c r="AC104" i="1"/>
  <c r="AF104" i="1" s="1" a="1"/>
  <c r="AF104" i="1" s="1"/>
  <c r="AH104" i="1"/>
  <c r="AI104" i="1"/>
  <c r="N105" i="1"/>
  <c r="Q105" i="1" s="1" a="1"/>
  <c r="Q105" i="1" s="1"/>
  <c r="S105" i="1"/>
  <c r="V105" i="1" s="1" a="1"/>
  <c r="V105" i="1" s="1"/>
  <c r="X105" i="1"/>
  <c r="AA105" i="1" s="1" a="1"/>
  <c r="AA105" i="1" s="1"/>
  <c r="AC105" i="1"/>
  <c r="AF105" i="1" s="1" a="1"/>
  <c r="AF105" i="1" s="1"/>
  <c r="AH105" i="1"/>
  <c r="AI105" i="1"/>
  <c r="N106" i="1"/>
  <c r="Q106" i="1" s="1" a="1"/>
  <c r="Q106" i="1" s="1"/>
  <c r="S106" i="1"/>
  <c r="V106" i="1" s="1" a="1"/>
  <c r="V106" i="1" s="1"/>
  <c r="X106" i="1"/>
  <c r="AA106" i="1" s="1" a="1"/>
  <c r="AA106" i="1" s="1"/>
  <c r="AC106" i="1"/>
  <c r="AF106" i="1" s="1" a="1"/>
  <c r="AF106" i="1" s="1"/>
  <c r="AH106" i="1"/>
  <c r="AI106" i="1"/>
  <c r="N107" i="1"/>
  <c r="Q107" i="1" s="1" a="1"/>
  <c r="Q107" i="1" s="1"/>
  <c r="S107" i="1"/>
  <c r="V107" i="1" s="1" a="1"/>
  <c r="V107" i="1" s="1"/>
  <c r="X107" i="1"/>
  <c r="AA107" i="1" s="1" a="1"/>
  <c r="AA107" i="1" s="1"/>
  <c r="AC107" i="1"/>
  <c r="AF107" i="1" s="1" a="1"/>
  <c r="AF107" i="1" s="1"/>
  <c r="AH107" i="1"/>
  <c r="AI107" i="1"/>
  <c r="N108" i="1"/>
  <c r="Q108" i="1" s="1" a="1"/>
  <c r="Q108" i="1" s="1"/>
  <c r="S108" i="1"/>
  <c r="V108" i="1" s="1" a="1"/>
  <c r="V108" i="1" s="1"/>
  <c r="X108" i="1"/>
  <c r="AA108" i="1" s="1" a="1"/>
  <c r="AA108" i="1" s="1"/>
  <c r="AC108" i="1"/>
  <c r="AF108" i="1" s="1" a="1"/>
  <c r="AF108" i="1" s="1"/>
  <c r="AH108" i="1"/>
  <c r="AI108" i="1"/>
  <c r="N109" i="1"/>
  <c r="Q109" i="1" s="1" a="1"/>
  <c r="Q109" i="1" s="1"/>
  <c r="S109" i="1"/>
  <c r="V109" i="1" s="1" a="1"/>
  <c r="V109" i="1" s="1"/>
  <c r="X109" i="1"/>
  <c r="AA109" i="1" s="1" a="1"/>
  <c r="AA109" i="1" s="1"/>
  <c r="AC109" i="1"/>
  <c r="AF109" i="1" s="1" a="1"/>
  <c r="AF109" i="1" s="1"/>
  <c r="AH109" i="1"/>
  <c r="AI109" i="1"/>
  <c r="N110" i="1"/>
  <c r="Q110" i="1" s="1" a="1"/>
  <c r="Q110" i="1" s="1"/>
  <c r="S110" i="1"/>
  <c r="V110" i="1" s="1" a="1"/>
  <c r="V110" i="1" s="1"/>
  <c r="X110" i="1"/>
  <c r="AA110" i="1" s="1" a="1"/>
  <c r="AA110" i="1" s="1"/>
  <c r="AC110" i="1"/>
  <c r="AF110" i="1" s="1" a="1"/>
  <c r="AF110" i="1" s="1"/>
  <c r="AH110" i="1"/>
  <c r="AI110" i="1"/>
  <c r="N111" i="1"/>
  <c r="Q111" i="1" s="1" a="1"/>
  <c r="Q111" i="1" s="1"/>
  <c r="S111" i="1"/>
  <c r="V111" i="1" s="1" a="1"/>
  <c r="V111" i="1" s="1"/>
  <c r="X111" i="1"/>
  <c r="AA111" i="1" s="1" a="1"/>
  <c r="AA111" i="1" s="1"/>
  <c r="AC111" i="1"/>
  <c r="AF111" i="1" s="1" a="1"/>
  <c r="AF111" i="1" s="1"/>
  <c r="AH111" i="1"/>
  <c r="AI111" i="1"/>
  <c r="N112" i="1"/>
  <c r="Q112" i="1" s="1" a="1"/>
  <c r="Q112" i="1" s="1"/>
  <c r="S112" i="1"/>
  <c r="V112" i="1" s="1" a="1"/>
  <c r="V112" i="1" s="1"/>
  <c r="X112" i="1"/>
  <c r="AA112" i="1" s="1" a="1"/>
  <c r="AA112" i="1" s="1"/>
  <c r="AC112" i="1"/>
  <c r="AF112" i="1" s="1" a="1"/>
  <c r="AF112" i="1" s="1"/>
  <c r="AH112" i="1"/>
  <c r="AI112" i="1"/>
  <c r="N113" i="1"/>
  <c r="Q113" i="1" s="1" a="1"/>
  <c r="Q113" i="1" s="1"/>
  <c r="S113" i="1"/>
  <c r="V113" i="1" s="1" a="1"/>
  <c r="V113" i="1" s="1"/>
  <c r="X113" i="1"/>
  <c r="AA113" i="1" s="1" a="1"/>
  <c r="AA113" i="1" s="1"/>
  <c r="AC113" i="1"/>
  <c r="AF113" i="1" s="1" a="1"/>
  <c r="AF113" i="1" s="1"/>
  <c r="AH113" i="1"/>
  <c r="AI113" i="1"/>
  <c r="N114" i="1"/>
  <c r="Q114" i="1" s="1" a="1"/>
  <c r="Q114" i="1" s="1"/>
  <c r="S114" i="1"/>
  <c r="V114" i="1" s="1" a="1"/>
  <c r="V114" i="1" s="1"/>
  <c r="X114" i="1"/>
  <c r="AA114" i="1" s="1" a="1"/>
  <c r="AA114" i="1" s="1"/>
  <c r="AC114" i="1"/>
  <c r="AF114" i="1" s="1" a="1"/>
  <c r="AF114" i="1" s="1"/>
  <c r="AH114" i="1"/>
  <c r="AI114" i="1"/>
  <c r="N115" i="1"/>
  <c r="Q115" i="1" s="1" a="1"/>
  <c r="Q115" i="1" s="1"/>
  <c r="S115" i="1"/>
  <c r="V115" i="1" s="1" a="1"/>
  <c r="V115" i="1" s="1"/>
  <c r="X115" i="1"/>
  <c r="AA115" i="1" s="1" a="1"/>
  <c r="AA115" i="1" s="1"/>
  <c r="AC115" i="1"/>
  <c r="AF115" i="1" s="1" a="1"/>
  <c r="AF115" i="1" s="1"/>
  <c r="AH115" i="1"/>
  <c r="AI115" i="1"/>
  <c r="N116" i="1"/>
  <c r="Q116" i="1" s="1" a="1"/>
  <c r="Q116" i="1" s="1"/>
  <c r="S116" i="1"/>
  <c r="V116" i="1" s="1" a="1"/>
  <c r="V116" i="1" s="1"/>
  <c r="X116" i="1"/>
  <c r="AA116" i="1" s="1" a="1"/>
  <c r="AA116" i="1" s="1"/>
  <c r="AC116" i="1"/>
  <c r="AF116" i="1" s="1" a="1"/>
  <c r="AF116" i="1" s="1"/>
  <c r="AH116" i="1"/>
  <c r="AI116" i="1"/>
  <c r="N117" i="1"/>
  <c r="Q117" i="1" s="1" a="1"/>
  <c r="Q117" i="1" s="1"/>
  <c r="S117" i="1"/>
  <c r="V117" i="1" s="1" a="1"/>
  <c r="V117" i="1" s="1"/>
  <c r="X117" i="1"/>
  <c r="AA117" i="1" s="1" a="1"/>
  <c r="AA117" i="1" s="1"/>
  <c r="AC117" i="1"/>
  <c r="AF117" i="1" s="1" a="1"/>
  <c r="AF117" i="1" s="1"/>
  <c r="AH117" i="1"/>
  <c r="AI117" i="1"/>
  <c r="N118" i="1"/>
  <c r="Q118" i="1" s="1" a="1"/>
  <c r="Q118" i="1" s="1"/>
  <c r="S118" i="1"/>
  <c r="V118" i="1" s="1" a="1"/>
  <c r="V118" i="1" s="1"/>
  <c r="X118" i="1"/>
  <c r="AA118" i="1" s="1" a="1"/>
  <c r="AA118" i="1" s="1"/>
  <c r="AC118" i="1"/>
  <c r="AF118" i="1" s="1" a="1"/>
  <c r="AF118" i="1" s="1"/>
  <c r="AH118" i="1"/>
  <c r="AI118" i="1"/>
  <c r="N119" i="1"/>
  <c r="Q119" i="1" s="1" a="1"/>
  <c r="Q119" i="1" s="1"/>
  <c r="S119" i="1"/>
  <c r="V119" i="1" s="1" a="1"/>
  <c r="V119" i="1" s="1"/>
  <c r="X119" i="1"/>
  <c r="AA119" i="1" s="1" a="1"/>
  <c r="AA119" i="1" s="1"/>
  <c r="AC119" i="1"/>
  <c r="AF119" i="1" s="1" a="1"/>
  <c r="AF119" i="1" s="1"/>
  <c r="AH119" i="1"/>
  <c r="AI119" i="1"/>
  <c r="N120" i="1"/>
  <c r="Q120" i="1" s="1" a="1"/>
  <c r="Q120" i="1" s="1"/>
  <c r="S120" i="1"/>
  <c r="V120" i="1" s="1" a="1"/>
  <c r="V120" i="1" s="1"/>
  <c r="X120" i="1"/>
  <c r="AA120" i="1" s="1" a="1"/>
  <c r="AA120" i="1" s="1"/>
  <c r="AC120" i="1"/>
  <c r="AF120" i="1" s="1" a="1"/>
  <c r="AF120" i="1" s="1"/>
  <c r="AH120" i="1"/>
  <c r="AI120" i="1"/>
  <c r="N121" i="1"/>
  <c r="Q121" i="1" s="1" a="1"/>
  <c r="Q121" i="1" s="1"/>
  <c r="S121" i="1"/>
  <c r="V121" i="1" s="1" a="1"/>
  <c r="V121" i="1" s="1"/>
  <c r="X121" i="1"/>
  <c r="AA121" i="1" s="1" a="1"/>
  <c r="AA121" i="1" s="1"/>
  <c r="AC121" i="1"/>
  <c r="AF121" i="1" s="1" a="1"/>
  <c r="AF121" i="1" s="1"/>
  <c r="AH121" i="1"/>
  <c r="AI121" i="1"/>
  <c r="N122" i="1"/>
  <c r="Q122" i="1" s="1" a="1"/>
  <c r="Q122" i="1" s="1"/>
  <c r="S122" i="1"/>
  <c r="V122" i="1" s="1" a="1"/>
  <c r="V122" i="1" s="1"/>
  <c r="X122" i="1"/>
  <c r="AA122" i="1" s="1" a="1"/>
  <c r="AA122" i="1" s="1"/>
  <c r="AC122" i="1"/>
  <c r="AF122" i="1" s="1" a="1"/>
  <c r="AF122" i="1" s="1"/>
  <c r="AH122" i="1"/>
  <c r="AI122" i="1"/>
  <c r="N123" i="1"/>
  <c r="Q123" i="1" s="1" a="1"/>
  <c r="Q123" i="1" s="1"/>
  <c r="S123" i="1"/>
  <c r="V123" i="1" s="1" a="1"/>
  <c r="V123" i="1" s="1"/>
  <c r="X123" i="1"/>
  <c r="AA123" i="1" s="1" a="1"/>
  <c r="AA123" i="1" s="1"/>
  <c r="AC123" i="1"/>
  <c r="AF123" i="1" s="1" a="1"/>
  <c r="AF123" i="1" s="1"/>
  <c r="AH123" i="1"/>
  <c r="AI123" i="1"/>
  <c r="N124" i="1"/>
  <c r="Q124" i="1" s="1" a="1"/>
  <c r="Q124" i="1" s="1"/>
  <c r="S124" i="1"/>
  <c r="V124" i="1" s="1" a="1"/>
  <c r="V124" i="1" s="1"/>
  <c r="X124" i="1"/>
  <c r="AA124" i="1" s="1" a="1"/>
  <c r="AA124" i="1" s="1"/>
  <c r="AC124" i="1"/>
  <c r="AF124" i="1" s="1" a="1"/>
  <c r="AF124" i="1" s="1"/>
  <c r="AH124" i="1"/>
  <c r="AI124" i="1"/>
  <c r="N125" i="1"/>
  <c r="Q125" i="1" s="1" a="1"/>
  <c r="Q125" i="1" s="1"/>
  <c r="S125" i="1"/>
  <c r="V125" i="1" s="1" a="1"/>
  <c r="V125" i="1" s="1"/>
  <c r="X125" i="1"/>
  <c r="AA125" i="1" s="1" a="1"/>
  <c r="AA125" i="1" s="1"/>
  <c r="AC125" i="1"/>
  <c r="AF125" i="1" s="1" a="1"/>
  <c r="AF125" i="1" s="1"/>
  <c r="AH125" i="1"/>
  <c r="AI125" i="1"/>
  <c r="N126" i="1"/>
  <c r="Q126" i="1" s="1" a="1"/>
  <c r="Q126" i="1" s="1"/>
  <c r="S126" i="1"/>
  <c r="V126" i="1" s="1" a="1"/>
  <c r="V126" i="1" s="1"/>
  <c r="X126" i="1"/>
  <c r="AA126" i="1" s="1" a="1"/>
  <c r="AA126" i="1" s="1"/>
  <c r="AC126" i="1"/>
  <c r="AF126" i="1" s="1" a="1"/>
  <c r="AF126" i="1" s="1"/>
  <c r="AH126" i="1"/>
  <c r="AI126" i="1"/>
  <c r="N127" i="1"/>
  <c r="Q127" i="1" s="1" a="1"/>
  <c r="Q127" i="1" s="1"/>
  <c r="S127" i="1"/>
  <c r="V127" i="1" s="1" a="1"/>
  <c r="V127" i="1" s="1"/>
  <c r="X127" i="1"/>
  <c r="AA127" i="1" s="1" a="1"/>
  <c r="AA127" i="1" s="1"/>
  <c r="AC127" i="1"/>
  <c r="AF127" i="1" s="1" a="1"/>
  <c r="AF127" i="1" s="1"/>
  <c r="AH127" i="1"/>
  <c r="AI127" i="1"/>
  <c r="N128" i="1"/>
  <c r="Q128" i="1" s="1" a="1"/>
  <c r="Q128" i="1" s="1"/>
  <c r="S128" i="1"/>
  <c r="V128" i="1" s="1" a="1"/>
  <c r="V128" i="1" s="1"/>
  <c r="X128" i="1"/>
  <c r="AA128" i="1" s="1" a="1"/>
  <c r="AA128" i="1" s="1"/>
  <c r="AC128" i="1"/>
  <c r="AF128" i="1" s="1" a="1"/>
  <c r="AF128" i="1" s="1"/>
  <c r="AH128" i="1"/>
  <c r="AI128" i="1"/>
  <c r="N129" i="1"/>
  <c r="Q129" i="1" s="1" a="1"/>
  <c r="Q129" i="1" s="1"/>
  <c r="S129" i="1"/>
  <c r="V129" i="1" s="1" a="1"/>
  <c r="V129" i="1" s="1"/>
  <c r="X129" i="1"/>
  <c r="AA129" i="1" s="1" a="1"/>
  <c r="AA129" i="1" s="1"/>
  <c r="AC129" i="1"/>
  <c r="AF129" i="1" s="1" a="1"/>
  <c r="AF129" i="1" s="1"/>
  <c r="AH129" i="1"/>
  <c r="AI129" i="1"/>
  <c r="N130" i="1"/>
  <c r="Q130" i="1" s="1" a="1"/>
  <c r="Q130" i="1" s="1"/>
  <c r="S130" i="1"/>
  <c r="V130" i="1" s="1" a="1"/>
  <c r="V130" i="1" s="1"/>
  <c r="X130" i="1"/>
  <c r="AA130" i="1" s="1" a="1"/>
  <c r="AA130" i="1" s="1"/>
  <c r="AC130" i="1"/>
  <c r="AF130" i="1" s="1" a="1"/>
  <c r="AF130" i="1" s="1"/>
  <c r="AH130" i="1"/>
  <c r="AI130" i="1"/>
  <c r="N131" i="1"/>
  <c r="Q131" i="1" s="1" a="1"/>
  <c r="Q131" i="1" s="1"/>
  <c r="S131" i="1"/>
  <c r="V131" i="1" s="1" a="1"/>
  <c r="V131" i="1" s="1"/>
  <c r="X131" i="1"/>
  <c r="AA131" i="1" s="1" a="1"/>
  <c r="AA131" i="1" s="1"/>
  <c r="AC131" i="1"/>
  <c r="AF131" i="1" s="1" a="1"/>
  <c r="AF131" i="1" s="1"/>
  <c r="AH131" i="1"/>
  <c r="AI131" i="1"/>
  <c r="N132" i="1"/>
  <c r="Q132" i="1" s="1" a="1"/>
  <c r="Q132" i="1" s="1"/>
  <c r="S132" i="1"/>
  <c r="V132" i="1" s="1" a="1"/>
  <c r="V132" i="1" s="1"/>
  <c r="X132" i="1"/>
  <c r="AA132" i="1" s="1" a="1"/>
  <c r="AA132" i="1" s="1"/>
  <c r="AC132" i="1"/>
  <c r="AF132" i="1" s="1" a="1"/>
  <c r="AF132" i="1" s="1"/>
  <c r="AH132" i="1"/>
  <c r="AI132" i="1"/>
  <c r="N133" i="1"/>
  <c r="Q133" i="1" s="1" a="1"/>
  <c r="Q133" i="1" s="1"/>
  <c r="S133" i="1"/>
  <c r="V133" i="1" s="1" a="1"/>
  <c r="V133" i="1" s="1"/>
  <c r="X133" i="1"/>
  <c r="AA133" i="1" s="1" a="1"/>
  <c r="AA133" i="1" s="1"/>
  <c r="AC133" i="1"/>
  <c r="AF133" i="1" s="1" a="1"/>
  <c r="AF133" i="1" s="1"/>
  <c r="AH133" i="1"/>
  <c r="AI133" i="1"/>
  <c r="N134" i="1"/>
  <c r="Q134" i="1" s="1" a="1"/>
  <c r="Q134" i="1" s="1"/>
  <c r="S134" i="1"/>
  <c r="V134" i="1" s="1" a="1"/>
  <c r="V134" i="1" s="1"/>
  <c r="X134" i="1"/>
  <c r="AA134" i="1" s="1" a="1"/>
  <c r="AA134" i="1" s="1"/>
  <c r="AC134" i="1"/>
  <c r="AF134" i="1" s="1" a="1"/>
  <c r="AF134" i="1" s="1"/>
  <c r="AH134" i="1"/>
  <c r="AI134" i="1"/>
  <c r="N135" i="1"/>
  <c r="Q135" i="1" s="1" a="1"/>
  <c r="Q135" i="1" s="1"/>
  <c r="S135" i="1"/>
  <c r="V135" i="1" s="1" a="1"/>
  <c r="V135" i="1" s="1"/>
  <c r="X135" i="1"/>
  <c r="AA135" i="1" s="1" a="1"/>
  <c r="AA135" i="1" s="1"/>
  <c r="AC135" i="1"/>
  <c r="AF135" i="1" s="1" a="1"/>
  <c r="AF135" i="1" s="1"/>
  <c r="AH135" i="1"/>
  <c r="AI135" i="1"/>
  <c r="N136" i="1"/>
  <c r="Q136" i="1" s="1" a="1"/>
  <c r="Q136" i="1" s="1"/>
  <c r="S136" i="1"/>
  <c r="V136" i="1" s="1" a="1"/>
  <c r="V136" i="1" s="1"/>
  <c r="X136" i="1"/>
  <c r="AA136" i="1" s="1" a="1"/>
  <c r="AA136" i="1" s="1"/>
  <c r="AC136" i="1"/>
  <c r="AF136" i="1" s="1" a="1"/>
  <c r="AF136" i="1" s="1"/>
  <c r="AH136" i="1"/>
  <c r="AI136" i="1"/>
  <c r="N137" i="1"/>
  <c r="Q137" i="1" s="1" a="1"/>
  <c r="Q137" i="1" s="1"/>
  <c r="S137" i="1"/>
  <c r="V137" i="1" s="1" a="1"/>
  <c r="V137" i="1" s="1"/>
  <c r="X137" i="1"/>
  <c r="AA137" i="1" s="1" a="1"/>
  <c r="AA137" i="1" s="1"/>
  <c r="AC137" i="1"/>
  <c r="AF137" i="1" s="1" a="1"/>
  <c r="AF137" i="1" s="1"/>
  <c r="AH137" i="1"/>
  <c r="AI137" i="1"/>
  <c r="N138" i="1"/>
  <c r="Q138" i="1" s="1" a="1"/>
  <c r="Q138" i="1" s="1"/>
  <c r="S138" i="1"/>
  <c r="V138" i="1" s="1" a="1"/>
  <c r="V138" i="1" s="1"/>
  <c r="X138" i="1"/>
  <c r="AA138" i="1" s="1" a="1"/>
  <c r="AA138" i="1" s="1"/>
  <c r="AC138" i="1"/>
  <c r="AF138" i="1" s="1" a="1"/>
  <c r="AF138" i="1" s="1"/>
  <c r="AH138" i="1"/>
  <c r="AI138" i="1"/>
  <c r="N139" i="1"/>
  <c r="Q139" i="1" s="1" a="1"/>
  <c r="Q139" i="1" s="1"/>
  <c r="S139" i="1"/>
  <c r="V139" i="1" s="1" a="1"/>
  <c r="V139" i="1" s="1"/>
  <c r="X139" i="1"/>
  <c r="AA139" i="1" s="1" a="1"/>
  <c r="AA139" i="1" s="1"/>
  <c r="AC139" i="1"/>
  <c r="AF139" i="1" s="1" a="1"/>
  <c r="AF139" i="1" s="1"/>
  <c r="AH139" i="1"/>
  <c r="AI139" i="1"/>
  <c r="N140" i="1"/>
  <c r="Q140" i="1" s="1" a="1"/>
  <c r="Q140" i="1" s="1"/>
  <c r="S140" i="1"/>
  <c r="V140" i="1" s="1" a="1"/>
  <c r="V140" i="1" s="1"/>
  <c r="X140" i="1"/>
  <c r="AA140" i="1" s="1" a="1"/>
  <c r="AA140" i="1" s="1"/>
  <c r="AC140" i="1"/>
  <c r="AF140" i="1" s="1" a="1"/>
  <c r="AF140" i="1" s="1"/>
  <c r="AH140" i="1"/>
  <c r="AI140" i="1"/>
  <c r="N141" i="1"/>
  <c r="Q141" i="1" s="1" a="1"/>
  <c r="Q141" i="1" s="1"/>
  <c r="S141" i="1"/>
  <c r="V141" i="1" s="1" a="1"/>
  <c r="V141" i="1" s="1"/>
  <c r="X141" i="1"/>
  <c r="AA141" i="1" s="1" a="1"/>
  <c r="AA141" i="1" s="1"/>
  <c r="AC141" i="1"/>
  <c r="AF141" i="1" s="1" a="1"/>
  <c r="AF141" i="1" s="1"/>
  <c r="AH141" i="1"/>
  <c r="AI141" i="1"/>
  <c r="N142" i="1"/>
  <c r="Q142" i="1" s="1" a="1"/>
  <c r="Q142" i="1" s="1"/>
  <c r="S142" i="1"/>
  <c r="V142" i="1" s="1" a="1"/>
  <c r="V142" i="1" s="1"/>
  <c r="X142" i="1"/>
  <c r="AA142" i="1" s="1" a="1"/>
  <c r="AA142" i="1" s="1"/>
  <c r="AC142" i="1"/>
  <c r="AF142" i="1" s="1" a="1"/>
  <c r="AF142" i="1" s="1"/>
  <c r="AH142" i="1"/>
  <c r="AI142" i="1"/>
  <c r="N143" i="1"/>
  <c r="Q143" i="1" s="1" a="1"/>
  <c r="Q143" i="1" s="1"/>
  <c r="S143" i="1"/>
  <c r="V143" i="1" s="1" a="1"/>
  <c r="V143" i="1" s="1"/>
  <c r="X143" i="1"/>
  <c r="AA143" i="1" s="1" a="1"/>
  <c r="AA143" i="1" s="1"/>
  <c r="AC143" i="1"/>
  <c r="AF143" i="1" s="1" a="1"/>
  <c r="AF143" i="1" s="1"/>
  <c r="AH143" i="1"/>
  <c r="AI143" i="1"/>
  <c r="N144" i="1"/>
  <c r="Q144" i="1" s="1" a="1"/>
  <c r="Q144" i="1" s="1"/>
  <c r="S144" i="1"/>
  <c r="V144" i="1" s="1" a="1"/>
  <c r="V144" i="1" s="1"/>
  <c r="X144" i="1"/>
  <c r="AA144" i="1" s="1" a="1"/>
  <c r="AA144" i="1" s="1"/>
  <c r="AC144" i="1"/>
  <c r="AF144" i="1" s="1" a="1"/>
  <c r="AF144" i="1" s="1"/>
  <c r="AH144" i="1"/>
  <c r="AI144" i="1"/>
  <c r="N145" i="1"/>
  <c r="Q145" i="1" s="1" a="1"/>
  <c r="Q145" i="1" s="1"/>
  <c r="S145" i="1"/>
  <c r="V145" i="1" s="1" a="1"/>
  <c r="V145" i="1" s="1"/>
  <c r="X145" i="1"/>
  <c r="AA145" i="1" s="1" a="1"/>
  <c r="AA145" i="1" s="1"/>
  <c r="AC145" i="1"/>
  <c r="AF145" i="1" s="1" a="1"/>
  <c r="AF145" i="1" s="1"/>
  <c r="AH145" i="1"/>
  <c r="AI145" i="1"/>
  <c r="N146" i="1"/>
  <c r="Q146" i="1" s="1" a="1"/>
  <c r="Q146" i="1" s="1"/>
  <c r="S146" i="1"/>
  <c r="V146" i="1" s="1" a="1"/>
  <c r="V146" i="1" s="1"/>
  <c r="X146" i="1"/>
  <c r="AA146" i="1" s="1" a="1"/>
  <c r="AA146" i="1" s="1"/>
  <c r="AC146" i="1"/>
  <c r="AF146" i="1" s="1" a="1"/>
  <c r="AF146" i="1" s="1"/>
  <c r="AH146" i="1"/>
  <c r="AI146" i="1"/>
  <c r="N147" i="1"/>
  <c r="Q147" i="1" s="1" a="1"/>
  <c r="Q147" i="1" s="1"/>
  <c r="S147" i="1"/>
  <c r="V147" i="1" s="1" a="1"/>
  <c r="V147" i="1" s="1"/>
  <c r="X147" i="1"/>
  <c r="AA147" i="1" s="1" a="1"/>
  <c r="AA147" i="1" s="1"/>
  <c r="AC147" i="1"/>
  <c r="AF147" i="1" s="1" a="1"/>
  <c r="AF147" i="1" s="1"/>
  <c r="AH147" i="1"/>
  <c r="AI147" i="1"/>
  <c r="N148" i="1"/>
  <c r="Q148" i="1" s="1" a="1"/>
  <c r="Q148" i="1" s="1"/>
  <c r="S148" i="1"/>
  <c r="V148" i="1" s="1" a="1"/>
  <c r="V148" i="1" s="1"/>
  <c r="X148" i="1"/>
  <c r="AA148" i="1" s="1" a="1"/>
  <c r="AA148" i="1" s="1"/>
  <c r="AC148" i="1"/>
  <c r="AF148" i="1" s="1" a="1"/>
  <c r="AF148" i="1" s="1"/>
  <c r="AH148" i="1"/>
  <c r="AI148" i="1"/>
  <c r="N149" i="1"/>
  <c r="Q149" i="1" s="1" a="1"/>
  <c r="Q149" i="1" s="1"/>
  <c r="S149" i="1"/>
  <c r="V149" i="1" s="1" a="1"/>
  <c r="V149" i="1" s="1"/>
  <c r="X149" i="1"/>
  <c r="AA149" i="1" s="1" a="1"/>
  <c r="AA149" i="1" s="1"/>
  <c r="AC149" i="1"/>
  <c r="AF149" i="1" s="1" a="1"/>
  <c r="AF149" i="1" s="1"/>
  <c r="AH149" i="1"/>
  <c r="AI149" i="1"/>
  <c r="N150" i="1"/>
  <c r="Q150" i="1" s="1" a="1"/>
  <c r="Q150" i="1" s="1"/>
  <c r="S150" i="1"/>
  <c r="V150" i="1" s="1" a="1"/>
  <c r="V150" i="1" s="1"/>
  <c r="X150" i="1"/>
  <c r="AA150" i="1" s="1" a="1"/>
  <c r="AA150" i="1" s="1"/>
  <c r="AC150" i="1"/>
  <c r="AF150" i="1" s="1" a="1"/>
  <c r="AF150" i="1" s="1"/>
  <c r="AH150" i="1"/>
  <c r="AI150" i="1"/>
  <c r="N151" i="1"/>
  <c r="Q151" i="1" s="1" a="1"/>
  <c r="Q151" i="1" s="1"/>
  <c r="S151" i="1"/>
  <c r="V151" i="1" s="1" a="1"/>
  <c r="V151" i="1" s="1"/>
  <c r="X151" i="1"/>
  <c r="AA151" i="1" s="1" a="1"/>
  <c r="AA151" i="1" s="1"/>
  <c r="AC151" i="1"/>
  <c r="AF151" i="1" s="1" a="1"/>
  <c r="AF151" i="1" s="1"/>
  <c r="AH151" i="1"/>
  <c r="AI151" i="1"/>
  <c r="N152" i="1"/>
  <c r="Q152" i="1" s="1" a="1"/>
  <c r="Q152" i="1" s="1"/>
  <c r="S152" i="1"/>
  <c r="V152" i="1" s="1" a="1"/>
  <c r="V152" i="1" s="1"/>
  <c r="X152" i="1"/>
  <c r="AA152" i="1" s="1" a="1"/>
  <c r="AA152" i="1" s="1"/>
  <c r="AC152" i="1"/>
  <c r="AF152" i="1" s="1" a="1"/>
  <c r="AF152" i="1" s="1"/>
  <c r="AH152" i="1"/>
  <c r="AI152" i="1"/>
  <c r="N153" i="1"/>
  <c r="Q153" i="1" s="1" a="1"/>
  <c r="Q153" i="1" s="1"/>
  <c r="S153" i="1"/>
  <c r="V153" i="1" s="1" a="1"/>
  <c r="V153" i="1" s="1"/>
  <c r="X153" i="1"/>
  <c r="AA153" i="1" s="1" a="1"/>
  <c r="AA153" i="1" s="1"/>
  <c r="AC153" i="1"/>
  <c r="AF153" i="1" s="1" a="1"/>
  <c r="AF153" i="1" s="1"/>
  <c r="AH153" i="1"/>
  <c r="AI153" i="1"/>
  <c r="N154" i="1"/>
  <c r="Q154" i="1" s="1" a="1"/>
  <c r="Q154" i="1" s="1"/>
  <c r="S154" i="1"/>
  <c r="V154" i="1" s="1" a="1"/>
  <c r="V154" i="1" s="1"/>
  <c r="X154" i="1"/>
  <c r="AA154" i="1" s="1" a="1"/>
  <c r="AA154" i="1" s="1"/>
  <c r="AC154" i="1"/>
  <c r="AF154" i="1" s="1" a="1"/>
  <c r="AF154" i="1" s="1"/>
  <c r="AH154" i="1"/>
  <c r="AI154" i="1"/>
  <c r="N155" i="1"/>
  <c r="Q155" i="1" s="1" a="1"/>
  <c r="Q155" i="1" s="1"/>
  <c r="S155" i="1"/>
  <c r="V155" i="1" s="1" a="1"/>
  <c r="V155" i="1" s="1"/>
  <c r="X155" i="1"/>
  <c r="AA155" i="1" s="1" a="1"/>
  <c r="AA155" i="1" s="1"/>
  <c r="AC155" i="1"/>
  <c r="AF155" i="1" s="1" a="1"/>
  <c r="AF155" i="1" s="1"/>
  <c r="AH155" i="1"/>
  <c r="AI155" i="1"/>
  <c r="N156" i="1"/>
  <c r="Q156" i="1" s="1" a="1"/>
  <c r="Q156" i="1" s="1"/>
  <c r="S156" i="1"/>
  <c r="V156" i="1" s="1" a="1"/>
  <c r="V156" i="1" s="1"/>
  <c r="X156" i="1"/>
  <c r="AA156" i="1" s="1" a="1"/>
  <c r="AA156" i="1" s="1"/>
  <c r="AC156" i="1"/>
  <c r="AF156" i="1" s="1" a="1"/>
  <c r="AF156" i="1" s="1"/>
  <c r="AH156" i="1"/>
  <c r="AI156" i="1"/>
  <c r="N157" i="1"/>
  <c r="Q157" i="1" s="1" a="1"/>
  <c r="Q157" i="1" s="1"/>
  <c r="S157" i="1"/>
  <c r="V157" i="1" s="1" a="1"/>
  <c r="V157" i="1" s="1"/>
  <c r="X157" i="1"/>
  <c r="AA157" i="1" s="1" a="1"/>
  <c r="AA157" i="1" s="1"/>
  <c r="AC157" i="1"/>
  <c r="AF157" i="1" s="1" a="1"/>
  <c r="AF157" i="1" s="1"/>
  <c r="AH157" i="1"/>
  <c r="AI157" i="1"/>
  <c r="N158" i="1"/>
  <c r="Q158" i="1" s="1" a="1"/>
  <c r="Q158" i="1" s="1"/>
  <c r="S158" i="1"/>
  <c r="V158" i="1" s="1" a="1"/>
  <c r="V158" i="1" s="1"/>
  <c r="X158" i="1"/>
  <c r="AA158" i="1" s="1" a="1"/>
  <c r="AA158" i="1" s="1"/>
  <c r="AC158" i="1"/>
  <c r="AF158" i="1" s="1" a="1"/>
  <c r="AF158" i="1" s="1"/>
  <c r="AH158" i="1"/>
  <c r="AI158" i="1"/>
  <c r="N159" i="1"/>
  <c r="Q159" i="1" s="1" a="1"/>
  <c r="Q159" i="1" s="1"/>
  <c r="S159" i="1"/>
  <c r="V159" i="1" s="1" a="1"/>
  <c r="V159" i="1" s="1"/>
  <c r="X159" i="1"/>
  <c r="AA159" i="1" s="1" a="1"/>
  <c r="AA159" i="1" s="1"/>
  <c r="AC159" i="1"/>
  <c r="AF159" i="1" s="1" a="1"/>
  <c r="AF159" i="1" s="1"/>
  <c r="AH159" i="1"/>
  <c r="AI159" i="1"/>
  <c r="N160" i="1"/>
  <c r="Q160" i="1" s="1" a="1"/>
  <c r="Q160" i="1" s="1"/>
  <c r="S160" i="1"/>
  <c r="V160" i="1" s="1" a="1"/>
  <c r="V160" i="1" s="1"/>
  <c r="X160" i="1"/>
  <c r="AA160" i="1" s="1" a="1"/>
  <c r="AA160" i="1" s="1"/>
  <c r="AC160" i="1"/>
  <c r="AF160" i="1" s="1" a="1"/>
  <c r="AF160" i="1" s="1"/>
  <c r="AH160" i="1"/>
  <c r="AI160" i="1"/>
  <c r="N161" i="1"/>
  <c r="Q161" i="1" s="1" a="1"/>
  <c r="Q161" i="1" s="1"/>
  <c r="S161" i="1"/>
  <c r="V161" i="1" s="1" a="1"/>
  <c r="V161" i="1" s="1"/>
  <c r="X161" i="1"/>
  <c r="AA161" i="1" s="1" a="1"/>
  <c r="AA161" i="1" s="1"/>
  <c r="AC161" i="1"/>
  <c r="AF161" i="1" s="1" a="1"/>
  <c r="AF161" i="1" s="1"/>
  <c r="AH161" i="1"/>
  <c r="AI161" i="1"/>
  <c r="N162" i="1"/>
  <c r="Q162" i="1" s="1" a="1"/>
  <c r="Q162" i="1" s="1"/>
  <c r="S162" i="1"/>
  <c r="V162" i="1" s="1" a="1"/>
  <c r="V162" i="1" s="1"/>
  <c r="X162" i="1"/>
  <c r="AA162" i="1" s="1" a="1"/>
  <c r="AA162" i="1" s="1"/>
  <c r="AC162" i="1"/>
  <c r="AF162" i="1" s="1" a="1"/>
  <c r="AF162" i="1" s="1"/>
  <c r="AH162" i="1"/>
  <c r="AI162" i="1"/>
  <c r="N163" i="1"/>
  <c r="Q163" i="1" s="1" a="1"/>
  <c r="Q163" i="1" s="1"/>
  <c r="S163" i="1"/>
  <c r="V163" i="1" s="1" a="1"/>
  <c r="V163" i="1" s="1"/>
  <c r="X163" i="1"/>
  <c r="AA163" i="1" s="1" a="1"/>
  <c r="AA163" i="1" s="1"/>
  <c r="AC163" i="1"/>
  <c r="AF163" i="1" s="1" a="1"/>
  <c r="AF163" i="1" s="1"/>
  <c r="AH163" i="1"/>
  <c r="AI163" i="1"/>
  <c r="N164" i="1"/>
  <c r="Q164" i="1" s="1" a="1"/>
  <c r="Q164" i="1" s="1"/>
  <c r="S164" i="1"/>
  <c r="V164" i="1" s="1" a="1"/>
  <c r="V164" i="1" s="1"/>
  <c r="X164" i="1"/>
  <c r="AA164" i="1" s="1" a="1"/>
  <c r="AA164" i="1" s="1"/>
  <c r="AC164" i="1"/>
  <c r="AF164" i="1" s="1" a="1"/>
  <c r="AF164" i="1" s="1"/>
  <c r="AH164" i="1"/>
  <c r="AI164" i="1"/>
  <c r="N165" i="1"/>
  <c r="Q165" i="1" s="1" a="1"/>
  <c r="Q165" i="1" s="1"/>
  <c r="S165" i="1"/>
  <c r="V165" i="1" s="1" a="1"/>
  <c r="V165" i="1" s="1"/>
  <c r="X165" i="1"/>
  <c r="AA165" i="1" s="1" a="1"/>
  <c r="AA165" i="1" s="1"/>
  <c r="AC165" i="1"/>
  <c r="AF165" i="1" s="1" a="1"/>
  <c r="AF165" i="1" s="1"/>
  <c r="AH165" i="1"/>
  <c r="AI165" i="1"/>
  <c r="N166" i="1"/>
  <c r="Q166" i="1" s="1" a="1"/>
  <c r="Q166" i="1" s="1"/>
  <c r="S166" i="1"/>
  <c r="V166" i="1" s="1" a="1"/>
  <c r="V166" i="1" s="1"/>
  <c r="X166" i="1"/>
  <c r="AA166" i="1" s="1" a="1"/>
  <c r="AA166" i="1" s="1"/>
  <c r="AC166" i="1"/>
  <c r="AF166" i="1" s="1" a="1"/>
  <c r="AF166" i="1" s="1"/>
  <c r="AH166" i="1"/>
  <c r="AI166" i="1"/>
  <c r="N167" i="1"/>
  <c r="Q167" i="1" s="1" a="1"/>
  <c r="Q167" i="1" s="1"/>
  <c r="S167" i="1"/>
  <c r="V167" i="1" s="1" a="1"/>
  <c r="V167" i="1" s="1"/>
  <c r="X167" i="1"/>
  <c r="AA167" i="1" s="1" a="1"/>
  <c r="AA167" i="1" s="1"/>
  <c r="AC167" i="1"/>
  <c r="AF167" i="1" s="1" a="1"/>
  <c r="AF167" i="1" s="1"/>
  <c r="AH167" i="1"/>
  <c r="AI167" i="1"/>
  <c r="N168" i="1"/>
  <c r="Q168" i="1" s="1" a="1"/>
  <c r="Q168" i="1" s="1"/>
  <c r="S168" i="1"/>
  <c r="V168" i="1" s="1" a="1"/>
  <c r="V168" i="1" s="1"/>
  <c r="X168" i="1"/>
  <c r="AA168" i="1" s="1" a="1"/>
  <c r="AA168" i="1" s="1"/>
  <c r="AC168" i="1"/>
  <c r="AF168" i="1" s="1" a="1"/>
  <c r="AF168" i="1" s="1"/>
  <c r="AH168" i="1"/>
  <c r="AI168" i="1"/>
  <c r="N169" i="1"/>
  <c r="Q169" i="1" s="1" a="1"/>
  <c r="Q169" i="1" s="1"/>
  <c r="S169" i="1"/>
  <c r="V169" i="1" s="1" a="1"/>
  <c r="V169" i="1" s="1"/>
  <c r="X169" i="1"/>
  <c r="AA169" i="1" s="1" a="1"/>
  <c r="AA169" i="1" s="1"/>
  <c r="AC169" i="1"/>
  <c r="AF169" i="1" s="1" a="1"/>
  <c r="AF169" i="1" s="1"/>
  <c r="AH169" i="1"/>
  <c r="AI169" i="1"/>
  <c r="N170" i="1"/>
  <c r="Q170" i="1" s="1" a="1"/>
  <c r="Q170" i="1" s="1"/>
  <c r="S170" i="1"/>
  <c r="V170" i="1" s="1" a="1"/>
  <c r="V170" i="1" s="1"/>
  <c r="X170" i="1"/>
  <c r="AA170" i="1" s="1" a="1"/>
  <c r="AA170" i="1" s="1"/>
  <c r="AC170" i="1"/>
  <c r="AF170" i="1" s="1" a="1"/>
  <c r="AF170" i="1" s="1"/>
  <c r="AH170" i="1"/>
  <c r="AI170" i="1"/>
  <c r="N171" i="1"/>
  <c r="Q171" i="1" s="1" a="1"/>
  <c r="Q171" i="1" s="1"/>
  <c r="S171" i="1"/>
  <c r="V171" i="1" s="1" a="1"/>
  <c r="V171" i="1" s="1"/>
  <c r="X171" i="1"/>
  <c r="AA171" i="1" s="1" a="1"/>
  <c r="AA171" i="1" s="1"/>
  <c r="AC171" i="1"/>
  <c r="AF171" i="1" s="1" a="1"/>
  <c r="AF171" i="1" s="1"/>
  <c r="AH171" i="1"/>
  <c r="AI171" i="1"/>
  <c r="N172" i="1"/>
  <c r="Q172" i="1" s="1" a="1"/>
  <c r="Q172" i="1" s="1"/>
  <c r="S172" i="1"/>
  <c r="V172" i="1" s="1" a="1"/>
  <c r="V172" i="1" s="1"/>
  <c r="X172" i="1"/>
  <c r="AA172" i="1" s="1" a="1"/>
  <c r="AA172" i="1" s="1"/>
  <c r="AC172" i="1"/>
  <c r="AF172" i="1" s="1" a="1"/>
  <c r="AF172" i="1" s="1"/>
  <c r="AH172" i="1"/>
  <c r="AI172" i="1"/>
  <c r="N173" i="1"/>
  <c r="Q173" i="1" s="1" a="1"/>
  <c r="Q173" i="1" s="1"/>
  <c r="S173" i="1"/>
  <c r="V173" i="1" s="1" a="1"/>
  <c r="V173" i="1" s="1"/>
  <c r="X173" i="1"/>
  <c r="AA173" i="1" s="1" a="1"/>
  <c r="AA173" i="1" s="1"/>
  <c r="AC173" i="1"/>
  <c r="AF173" i="1" s="1" a="1"/>
  <c r="AF173" i="1" s="1"/>
  <c r="AH173" i="1"/>
  <c r="AI173" i="1"/>
  <c r="N174" i="1"/>
  <c r="Q174" i="1" s="1" a="1"/>
  <c r="Q174" i="1" s="1"/>
  <c r="S174" i="1"/>
  <c r="V174" i="1" s="1" a="1"/>
  <c r="V174" i="1" s="1"/>
  <c r="X174" i="1"/>
  <c r="AA174" i="1" s="1" a="1"/>
  <c r="AA174" i="1" s="1"/>
  <c r="AC174" i="1"/>
  <c r="AF174" i="1" s="1" a="1"/>
  <c r="AF174" i="1" s="1"/>
  <c r="AH174" i="1"/>
  <c r="AI174" i="1"/>
  <c r="N175" i="1"/>
  <c r="Q175" i="1" s="1" a="1"/>
  <c r="Q175" i="1" s="1"/>
  <c r="S175" i="1"/>
  <c r="V175" i="1" s="1" a="1"/>
  <c r="V175" i="1" s="1"/>
  <c r="X175" i="1"/>
  <c r="AA175" i="1" s="1" a="1"/>
  <c r="AA175" i="1" s="1"/>
  <c r="AC175" i="1"/>
  <c r="AF175" i="1" s="1" a="1"/>
  <c r="AF175" i="1" s="1"/>
  <c r="AH175" i="1"/>
  <c r="AI175" i="1"/>
  <c r="N176" i="1"/>
  <c r="Q176" i="1" s="1" a="1"/>
  <c r="Q176" i="1" s="1"/>
  <c r="S176" i="1"/>
  <c r="V176" i="1" s="1" a="1"/>
  <c r="V176" i="1" s="1"/>
  <c r="X176" i="1"/>
  <c r="AA176" i="1" s="1" a="1"/>
  <c r="AA176" i="1" s="1"/>
  <c r="AC176" i="1"/>
  <c r="AF176" i="1" s="1" a="1"/>
  <c r="AF176" i="1" s="1"/>
  <c r="AH176" i="1"/>
  <c r="AI176" i="1"/>
  <c r="N177" i="1"/>
  <c r="Q177" i="1" s="1" a="1"/>
  <c r="Q177" i="1" s="1"/>
  <c r="S177" i="1"/>
  <c r="V177" i="1" s="1" a="1"/>
  <c r="V177" i="1" s="1"/>
  <c r="X177" i="1"/>
  <c r="AA177" i="1" s="1" a="1"/>
  <c r="AA177" i="1" s="1"/>
  <c r="AC177" i="1"/>
  <c r="AF177" i="1" s="1" a="1"/>
  <c r="AF177" i="1" s="1"/>
  <c r="AH177" i="1"/>
  <c r="AI177" i="1"/>
  <c r="N178" i="1"/>
  <c r="Q178" i="1" s="1" a="1"/>
  <c r="Q178" i="1" s="1"/>
  <c r="S178" i="1"/>
  <c r="V178" i="1" s="1" a="1"/>
  <c r="V178" i="1" s="1"/>
  <c r="X178" i="1"/>
  <c r="AA178" i="1" s="1" a="1"/>
  <c r="AA178" i="1" s="1"/>
  <c r="AC178" i="1"/>
  <c r="AF178" i="1" s="1" a="1"/>
  <c r="AF178" i="1" s="1"/>
  <c r="AH178" i="1"/>
  <c r="AI178" i="1"/>
  <c r="N179" i="1"/>
  <c r="Q179" i="1" s="1" a="1"/>
  <c r="Q179" i="1" s="1"/>
  <c r="S179" i="1"/>
  <c r="V179" i="1" s="1" a="1"/>
  <c r="V179" i="1" s="1"/>
  <c r="X179" i="1"/>
  <c r="AA179" i="1" s="1" a="1"/>
  <c r="AA179" i="1" s="1"/>
  <c r="AC179" i="1"/>
  <c r="AF179" i="1" s="1" a="1"/>
  <c r="AF179" i="1" s="1"/>
  <c r="AH179" i="1"/>
  <c r="AI179" i="1"/>
  <c r="N180" i="1"/>
  <c r="Q180" i="1" s="1" a="1"/>
  <c r="Q180" i="1" s="1"/>
  <c r="S180" i="1"/>
  <c r="V180" i="1" s="1" a="1"/>
  <c r="V180" i="1" s="1"/>
  <c r="X180" i="1"/>
  <c r="AA180" i="1" s="1" a="1"/>
  <c r="AA180" i="1" s="1"/>
  <c r="AC180" i="1"/>
  <c r="AF180" i="1" s="1" a="1"/>
  <c r="AF180" i="1" s="1"/>
  <c r="AH180" i="1"/>
  <c r="AI180" i="1"/>
  <c r="N181" i="1"/>
  <c r="Q181" i="1" s="1" a="1"/>
  <c r="Q181" i="1" s="1"/>
  <c r="S181" i="1"/>
  <c r="V181" i="1" s="1" a="1"/>
  <c r="V181" i="1" s="1"/>
  <c r="X181" i="1"/>
  <c r="AA181" i="1" s="1" a="1"/>
  <c r="AA181" i="1" s="1"/>
  <c r="AC181" i="1"/>
  <c r="AF181" i="1" s="1" a="1"/>
  <c r="AF181" i="1" s="1"/>
  <c r="AH181" i="1"/>
  <c r="AI181" i="1"/>
  <c r="N182" i="1"/>
  <c r="Q182" i="1" s="1" a="1"/>
  <c r="Q182" i="1" s="1"/>
  <c r="S182" i="1"/>
  <c r="V182" i="1" s="1" a="1"/>
  <c r="V182" i="1" s="1"/>
  <c r="X182" i="1"/>
  <c r="AA182" i="1" s="1" a="1"/>
  <c r="AA182" i="1" s="1"/>
  <c r="AC182" i="1"/>
  <c r="AF182" i="1" s="1" a="1"/>
  <c r="AF182" i="1" s="1"/>
  <c r="AH182" i="1"/>
  <c r="AI182" i="1"/>
  <c r="N183" i="1"/>
  <c r="Q183" i="1" s="1" a="1"/>
  <c r="Q183" i="1" s="1"/>
  <c r="S183" i="1"/>
  <c r="V183" i="1" s="1" a="1"/>
  <c r="V183" i="1" s="1"/>
  <c r="X183" i="1"/>
  <c r="AA183" i="1" s="1" a="1"/>
  <c r="AA183" i="1" s="1"/>
  <c r="AC183" i="1"/>
  <c r="AF183" i="1" s="1" a="1"/>
  <c r="AF183" i="1" s="1"/>
  <c r="AH183" i="1"/>
  <c r="AI183" i="1"/>
  <c r="N184" i="1"/>
  <c r="Q184" i="1" s="1" a="1"/>
  <c r="Q184" i="1" s="1"/>
  <c r="S184" i="1"/>
  <c r="V184" i="1" s="1" a="1"/>
  <c r="V184" i="1" s="1"/>
  <c r="X184" i="1"/>
  <c r="AA184" i="1" s="1" a="1"/>
  <c r="AA184" i="1" s="1"/>
  <c r="AC184" i="1"/>
  <c r="AF184" i="1" s="1" a="1"/>
  <c r="AF184" i="1" s="1"/>
  <c r="AH184" i="1"/>
  <c r="AI184" i="1"/>
  <c r="N185" i="1"/>
  <c r="Q185" i="1" s="1" a="1"/>
  <c r="Q185" i="1" s="1"/>
  <c r="S185" i="1"/>
  <c r="V185" i="1" s="1" a="1"/>
  <c r="V185" i="1" s="1"/>
  <c r="X185" i="1"/>
  <c r="AA185" i="1" s="1" a="1"/>
  <c r="AA185" i="1" s="1"/>
  <c r="AC185" i="1"/>
  <c r="AF185" i="1" s="1" a="1"/>
  <c r="AF185" i="1" s="1"/>
  <c r="AH185" i="1"/>
  <c r="AI185" i="1"/>
  <c r="N186" i="1"/>
  <c r="Q186" i="1" s="1" a="1"/>
  <c r="Q186" i="1" s="1"/>
  <c r="S186" i="1"/>
  <c r="V186" i="1" s="1" a="1"/>
  <c r="V186" i="1" s="1"/>
  <c r="X186" i="1"/>
  <c r="AA186" i="1" s="1" a="1"/>
  <c r="AA186" i="1" s="1"/>
  <c r="AC186" i="1"/>
  <c r="AF186" i="1" s="1" a="1"/>
  <c r="AF186" i="1" s="1"/>
  <c r="AH186" i="1"/>
  <c r="AI186" i="1"/>
  <c r="N187" i="1"/>
  <c r="Q187" i="1" s="1" a="1"/>
  <c r="Q187" i="1" s="1"/>
  <c r="S187" i="1"/>
  <c r="V187" i="1" s="1" a="1"/>
  <c r="V187" i="1" s="1"/>
  <c r="X187" i="1"/>
  <c r="AA187" i="1" s="1" a="1"/>
  <c r="AA187" i="1" s="1"/>
  <c r="AC187" i="1"/>
  <c r="AF187" i="1" s="1" a="1"/>
  <c r="AF187" i="1" s="1"/>
  <c r="AH187" i="1"/>
  <c r="AI187" i="1"/>
  <c r="N188" i="1"/>
  <c r="Q188" i="1" s="1" a="1"/>
  <c r="Q188" i="1" s="1"/>
  <c r="S188" i="1"/>
  <c r="V188" i="1" s="1" a="1"/>
  <c r="V188" i="1" s="1"/>
  <c r="X188" i="1"/>
  <c r="AA188" i="1" s="1" a="1"/>
  <c r="AA188" i="1" s="1"/>
  <c r="AC188" i="1"/>
  <c r="AF188" i="1" s="1" a="1"/>
  <c r="AF188" i="1" s="1"/>
  <c r="AH188" i="1"/>
  <c r="AI188" i="1"/>
  <c r="N189" i="1"/>
  <c r="Q189" i="1" s="1" a="1"/>
  <c r="Q189" i="1" s="1"/>
  <c r="S189" i="1"/>
  <c r="V189" i="1" s="1" a="1"/>
  <c r="V189" i="1" s="1"/>
  <c r="X189" i="1"/>
  <c r="AA189" i="1" s="1" a="1"/>
  <c r="AA189" i="1" s="1"/>
  <c r="AC189" i="1"/>
  <c r="AF189" i="1" s="1" a="1"/>
  <c r="AF189" i="1" s="1"/>
  <c r="AH189" i="1"/>
  <c r="AI189" i="1"/>
  <c r="N190" i="1"/>
  <c r="Q190" i="1" s="1" a="1"/>
  <c r="Q190" i="1" s="1"/>
  <c r="S190" i="1"/>
  <c r="V190" i="1" s="1" a="1"/>
  <c r="V190" i="1" s="1"/>
  <c r="X190" i="1"/>
  <c r="AA190" i="1" s="1" a="1"/>
  <c r="AA190" i="1" s="1"/>
  <c r="AC190" i="1"/>
  <c r="AF190" i="1" s="1" a="1"/>
  <c r="AF190" i="1" s="1"/>
  <c r="AH190" i="1"/>
  <c r="AI190" i="1"/>
  <c r="N191" i="1"/>
  <c r="Q191" i="1" s="1" a="1"/>
  <c r="Q191" i="1" s="1"/>
  <c r="S191" i="1"/>
  <c r="V191" i="1" s="1" a="1"/>
  <c r="V191" i="1" s="1"/>
  <c r="X191" i="1"/>
  <c r="AA191" i="1" s="1" a="1"/>
  <c r="AA191" i="1" s="1"/>
  <c r="AC191" i="1"/>
  <c r="AF191" i="1" s="1" a="1"/>
  <c r="AF191" i="1" s="1"/>
  <c r="AH191" i="1"/>
  <c r="AI191" i="1"/>
  <c r="N192" i="1"/>
  <c r="Q192" i="1" s="1" a="1"/>
  <c r="Q192" i="1" s="1"/>
  <c r="S192" i="1"/>
  <c r="V192" i="1" s="1" a="1"/>
  <c r="V192" i="1" s="1"/>
  <c r="X192" i="1"/>
  <c r="AA192" i="1" s="1" a="1"/>
  <c r="AA192" i="1" s="1"/>
  <c r="AC192" i="1"/>
  <c r="AF192" i="1" s="1" a="1"/>
  <c r="AF192" i="1" s="1"/>
  <c r="AH192" i="1"/>
  <c r="AI192" i="1"/>
  <c r="N193" i="1"/>
  <c r="Q193" i="1" s="1" a="1"/>
  <c r="Q193" i="1" s="1"/>
  <c r="S193" i="1"/>
  <c r="V193" i="1" s="1" a="1"/>
  <c r="V193" i="1" s="1"/>
  <c r="X193" i="1"/>
  <c r="AA193" i="1" s="1" a="1"/>
  <c r="AA193" i="1" s="1"/>
  <c r="AC193" i="1"/>
  <c r="AF193" i="1" s="1" a="1"/>
  <c r="AF193" i="1" s="1"/>
  <c r="AH193" i="1"/>
  <c r="AI193" i="1"/>
  <c r="N194" i="1"/>
  <c r="Q194" i="1" s="1" a="1"/>
  <c r="Q194" i="1" s="1"/>
  <c r="S194" i="1"/>
  <c r="V194" i="1" s="1" a="1"/>
  <c r="V194" i="1" s="1"/>
  <c r="X194" i="1"/>
  <c r="AA194" i="1" s="1" a="1"/>
  <c r="AA194" i="1" s="1"/>
  <c r="AC194" i="1"/>
  <c r="AF194" i="1" s="1" a="1"/>
  <c r="AF194" i="1" s="1"/>
  <c r="AH194" i="1"/>
  <c r="AI194" i="1"/>
  <c r="N195" i="1"/>
  <c r="Q195" i="1" s="1" a="1"/>
  <c r="Q195" i="1" s="1"/>
  <c r="S195" i="1"/>
  <c r="V195" i="1" s="1" a="1"/>
  <c r="V195" i="1" s="1"/>
  <c r="X195" i="1"/>
  <c r="AA195" i="1" s="1" a="1"/>
  <c r="AA195" i="1" s="1"/>
  <c r="AC195" i="1"/>
  <c r="AF195" i="1" s="1" a="1"/>
  <c r="AF195" i="1" s="1"/>
  <c r="AH195" i="1"/>
  <c r="AI195" i="1"/>
  <c r="N196" i="1"/>
  <c r="Q196" i="1" s="1" a="1"/>
  <c r="Q196" i="1" s="1"/>
  <c r="S196" i="1"/>
  <c r="V196" i="1" s="1" a="1"/>
  <c r="V196" i="1" s="1"/>
  <c r="X196" i="1"/>
  <c r="AA196" i="1" s="1" a="1"/>
  <c r="AA196" i="1" s="1"/>
  <c r="AC196" i="1"/>
  <c r="AF196" i="1" s="1" a="1"/>
  <c r="AF196" i="1" s="1"/>
  <c r="AH196" i="1"/>
  <c r="AI196" i="1"/>
  <c r="N197" i="1"/>
  <c r="Q197" i="1" s="1" a="1"/>
  <c r="Q197" i="1" s="1"/>
  <c r="S197" i="1"/>
  <c r="V197" i="1" s="1" a="1"/>
  <c r="V197" i="1" s="1"/>
  <c r="X197" i="1"/>
  <c r="AA197" i="1" s="1" a="1"/>
  <c r="AA197" i="1" s="1"/>
  <c r="AC197" i="1"/>
  <c r="AF197" i="1" s="1" a="1"/>
  <c r="AF197" i="1" s="1"/>
  <c r="AH197" i="1"/>
  <c r="AI197" i="1"/>
  <c r="N198" i="1"/>
  <c r="Q198" i="1" s="1" a="1"/>
  <c r="Q198" i="1" s="1"/>
  <c r="S198" i="1"/>
  <c r="V198" i="1" s="1" a="1"/>
  <c r="V198" i="1" s="1"/>
  <c r="X198" i="1"/>
  <c r="AA198" i="1" s="1" a="1"/>
  <c r="AA198" i="1" s="1"/>
  <c r="AC198" i="1"/>
  <c r="AF198" i="1" s="1" a="1"/>
  <c r="AF198" i="1" s="1"/>
  <c r="AH198" i="1"/>
  <c r="AI198" i="1"/>
  <c r="N199" i="1"/>
  <c r="Q199" i="1" s="1" a="1"/>
  <c r="Q199" i="1" s="1"/>
  <c r="S199" i="1"/>
  <c r="V199" i="1" s="1" a="1"/>
  <c r="V199" i="1" s="1"/>
  <c r="X199" i="1"/>
  <c r="AA199" i="1" s="1" a="1"/>
  <c r="AA199" i="1" s="1"/>
  <c r="AC199" i="1"/>
  <c r="AF199" i="1" s="1" a="1"/>
  <c r="AF199" i="1" s="1"/>
  <c r="AH199" i="1"/>
  <c r="AI199" i="1"/>
  <c r="N200" i="1"/>
  <c r="Q200" i="1" s="1" a="1"/>
  <c r="Q200" i="1" s="1"/>
  <c r="S200" i="1"/>
  <c r="V200" i="1" s="1" a="1"/>
  <c r="V200" i="1" s="1"/>
  <c r="X200" i="1"/>
  <c r="AA200" i="1" s="1" a="1"/>
  <c r="AA200" i="1" s="1"/>
  <c r="AC200" i="1"/>
  <c r="AF200" i="1" s="1" a="1"/>
  <c r="AF200" i="1" s="1"/>
  <c r="AH200" i="1"/>
  <c r="AI200" i="1"/>
  <c r="N201" i="1"/>
  <c r="Q201" i="1" s="1" a="1"/>
  <c r="Q201" i="1" s="1"/>
  <c r="S201" i="1"/>
  <c r="V201" i="1" s="1" a="1"/>
  <c r="V201" i="1" s="1"/>
  <c r="X201" i="1"/>
  <c r="AA201" i="1" s="1" a="1"/>
  <c r="AA201" i="1" s="1"/>
  <c r="AC201" i="1"/>
  <c r="AF201" i="1" s="1" a="1"/>
  <c r="AF201" i="1" s="1"/>
  <c r="AH201" i="1"/>
  <c r="AI201" i="1"/>
  <c r="N202" i="1"/>
  <c r="Q202" i="1" s="1" a="1"/>
  <c r="Q202" i="1" s="1"/>
  <c r="S202" i="1"/>
  <c r="V202" i="1" s="1" a="1"/>
  <c r="V202" i="1" s="1"/>
  <c r="X202" i="1"/>
  <c r="AA202" i="1" s="1" a="1"/>
  <c r="AA202" i="1" s="1"/>
  <c r="AC202" i="1"/>
  <c r="AF202" i="1" s="1" a="1"/>
  <c r="AF202" i="1" s="1"/>
  <c r="AH202" i="1"/>
  <c r="AI202" i="1"/>
  <c r="N203" i="1"/>
  <c r="Q203" i="1" s="1" a="1"/>
  <c r="Q203" i="1" s="1"/>
  <c r="S203" i="1"/>
  <c r="V203" i="1" s="1" a="1"/>
  <c r="V203" i="1" s="1"/>
  <c r="X203" i="1"/>
  <c r="AA203" i="1" s="1" a="1"/>
  <c r="AA203" i="1" s="1"/>
  <c r="AC203" i="1"/>
  <c r="AF203" i="1" s="1" a="1"/>
  <c r="AF203" i="1" s="1"/>
  <c r="AH203" i="1"/>
  <c r="AI203" i="1"/>
  <c r="N204" i="1"/>
  <c r="Q204" i="1" s="1" a="1"/>
  <c r="Q204" i="1" s="1"/>
  <c r="S204" i="1"/>
  <c r="V204" i="1" s="1" a="1"/>
  <c r="V204" i="1" s="1"/>
  <c r="X204" i="1"/>
  <c r="AA204" i="1" s="1" a="1"/>
  <c r="AA204" i="1" s="1"/>
  <c r="AC204" i="1"/>
  <c r="AF204" i="1" s="1" a="1"/>
  <c r="AF204" i="1" s="1"/>
  <c r="AH204" i="1"/>
  <c r="AI204" i="1"/>
  <c r="N205" i="1"/>
  <c r="Q205" i="1" s="1" a="1"/>
  <c r="Q205" i="1" s="1"/>
  <c r="S205" i="1"/>
  <c r="V205" i="1" s="1" a="1"/>
  <c r="V205" i="1" s="1"/>
  <c r="X205" i="1"/>
  <c r="AA205" i="1" s="1" a="1"/>
  <c r="AA205" i="1" s="1"/>
  <c r="AC205" i="1"/>
  <c r="AF205" i="1" s="1" a="1"/>
  <c r="AF205" i="1" s="1"/>
  <c r="AH205" i="1"/>
  <c r="AI205" i="1"/>
  <c r="N206" i="1"/>
  <c r="Q206" i="1" s="1" a="1"/>
  <c r="Q206" i="1" s="1"/>
  <c r="S206" i="1"/>
  <c r="V206" i="1" s="1" a="1"/>
  <c r="V206" i="1" s="1"/>
  <c r="X206" i="1"/>
  <c r="AA206" i="1" s="1" a="1"/>
  <c r="AA206" i="1" s="1"/>
  <c r="AC206" i="1"/>
  <c r="AF206" i="1" s="1" a="1"/>
  <c r="AF206" i="1" s="1"/>
  <c r="AH206" i="1"/>
  <c r="AI206" i="1"/>
  <c r="N207" i="1"/>
  <c r="Q207" i="1" s="1" a="1"/>
  <c r="Q207" i="1" s="1"/>
  <c r="S207" i="1"/>
  <c r="V207" i="1" s="1" a="1"/>
  <c r="V207" i="1" s="1"/>
  <c r="X207" i="1"/>
  <c r="AA207" i="1" s="1" a="1"/>
  <c r="AA207" i="1" s="1"/>
  <c r="AC207" i="1"/>
  <c r="AF207" i="1" s="1" a="1"/>
  <c r="AF207" i="1" s="1"/>
  <c r="AH207" i="1"/>
  <c r="AI207" i="1"/>
  <c r="N208" i="1"/>
  <c r="Q208" i="1" s="1" a="1"/>
  <c r="Q208" i="1" s="1"/>
  <c r="S208" i="1"/>
  <c r="V208" i="1" s="1" a="1"/>
  <c r="V208" i="1" s="1"/>
  <c r="X208" i="1"/>
  <c r="AA208" i="1" s="1" a="1"/>
  <c r="AA208" i="1" s="1"/>
  <c r="AC208" i="1"/>
  <c r="AF208" i="1" s="1" a="1"/>
  <c r="AF208" i="1" s="1"/>
  <c r="AH208" i="1"/>
  <c r="AI208" i="1"/>
  <c r="N209" i="1"/>
  <c r="Q209" i="1" s="1" a="1"/>
  <c r="Q209" i="1" s="1"/>
  <c r="S209" i="1"/>
  <c r="V209" i="1" s="1" a="1"/>
  <c r="V209" i="1" s="1"/>
  <c r="X209" i="1"/>
  <c r="AA209" i="1" s="1" a="1"/>
  <c r="AA209" i="1" s="1"/>
  <c r="AC209" i="1"/>
  <c r="AF209" i="1" s="1" a="1"/>
  <c r="AF209" i="1" s="1"/>
  <c r="AH209" i="1"/>
  <c r="AI209" i="1"/>
  <c r="N210" i="1"/>
  <c r="Q210" i="1" s="1" a="1"/>
  <c r="Q210" i="1" s="1"/>
  <c r="S210" i="1"/>
  <c r="V210" i="1" s="1" a="1"/>
  <c r="V210" i="1" s="1"/>
  <c r="X210" i="1"/>
  <c r="AA210" i="1" s="1" a="1"/>
  <c r="AA210" i="1" s="1"/>
  <c r="AC210" i="1"/>
  <c r="AF210" i="1" s="1" a="1"/>
  <c r="AF210" i="1" s="1"/>
  <c r="AH210" i="1"/>
  <c r="AI210" i="1"/>
  <c r="N211" i="1"/>
  <c r="Q211" i="1" s="1" a="1"/>
  <c r="Q211" i="1" s="1"/>
  <c r="S211" i="1"/>
  <c r="V211" i="1" s="1" a="1"/>
  <c r="V211" i="1" s="1"/>
  <c r="X211" i="1"/>
  <c r="AA211" i="1" s="1" a="1"/>
  <c r="AA211" i="1" s="1"/>
  <c r="AC211" i="1"/>
  <c r="AF211" i="1" s="1" a="1"/>
  <c r="AF211" i="1" s="1"/>
  <c r="AH211" i="1"/>
  <c r="AI211" i="1"/>
  <c r="N212" i="1"/>
  <c r="Q212" i="1" s="1" a="1"/>
  <c r="Q212" i="1" s="1"/>
  <c r="S212" i="1"/>
  <c r="V212" i="1" s="1" a="1"/>
  <c r="V212" i="1" s="1"/>
  <c r="X212" i="1"/>
  <c r="AA212" i="1" s="1" a="1"/>
  <c r="AA212" i="1" s="1"/>
  <c r="AC212" i="1"/>
  <c r="AF212" i="1" s="1" a="1"/>
  <c r="AF212" i="1" s="1"/>
  <c r="AH212" i="1"/>
  <c r="AI212" i="1"/>
  <c r="N213" i="1"/>
  <c r="Q213" i="1" s="1" a="1"/>
  <c r="Q213" i="1" s="1"/>
  <c r="S213" i="1"/>
  <c r="V213" i="1" s="1" a="1"/>
  <c r="V213" i="1" s="1"/>
  <c r="X213" i="1"/>
  <c r="AA213" i="1" s="1" a="1"/>
  <c r="AA213" i="1" s="1"/>
  <c r="AC213" i="1"/>
  <c r="AF213" i="1" s="1" a="1"/>
  <c r="AF213" i="1" s="1"/>
  <c r="AH213" i="1"/>
  <c r="AI213" i="1"/>
  <c r="N214" i="1"/>
  <c r="Q214" i="1" s="1" a="1"/>
  <c r="Q214" i="1" s="1"/>
  <c r="S214" i="1"/>
  <c r="V214" i="1" s="1" a="1"/>
  <c r="V214" i="1" s="1"/>
  <c r="X214" i="1"/>
  <c r="AA214" i="1" s="1" a="1"/>
  <c r="AA214" i="1" s="1"/>
  <c r="AC214" i="1"/>
  <c r="AF214" i="1" s="1" a="1"/>
  <c r="AF214" i="1" s="1"/>
  <c r="AH214" i="1"/>
  <c r="AI214" i="1"/>
  <c r="N215" i="1"/>
  <c r="Q215" i="1" s="1" a="1"/>
  <c r="Q215" i="1" s="1"/>
  <c r="S215" i="1"/>
  <c r="V215" i="1" s="1" a="1"/>
  <c r="V215" i="1" s="1"/>
  <c r="X215" i="1"/>
  <c r="AA215" i="1" s="1" a="1"/>
  <c r="AA215" i="1" s="1"/>
  <c r="AC215" i="1"/>
  <c r="AF215" i="1" s="1" a="1"/>
  <c r="AF215" i="1" s="1"/>
  <c r="AH215" i="1"/>
  <c r="AI215" i="1"/>
  <c r="N216" i="1"/>
  <c r="Q216" i="1" s="1" a="1"/>
  <c r="Q216" i="1" s="1"/>
  <c r="S216" i="1"/>
  <c r="V216" i="1" s="1" a="1"/>
  <c r="V216" i="1" s="1"/>
  <c r="X216" i="1"/>
  <c r="AA216" i="1" s="1" a="1"/>
  <c r="AA216" i="1" s="1"/>
  <c r="AC216" i="1"/>
  <c r="AF216" i="1" s="1" a="1"/>
  <c r="AF216" i="1" s="1"/>
  <c r="AH216" i="1"/>
  <c r="AI216" i="1"/>
  <c r="N217" i="1"/>
  <c r="Q217" i="1" s="1" a="1"/>
  <c r="Q217" i="1" s="1"/>
  <c r="S217" i="1"/>
  <c r="V217" i="1" s="1" a="1"/>
  <c r="V217" i="1" s="1"/>
  <c r="X217" i="1"/>
  <c r="AA217" i="1" s="1" a="1"/>
  <c r="AA217" i="1" s="1"/>
  <c r="AC217" i="1"/>
  <c r="AF217" i="1" s="1" a="1"/>
  <c r="AF217" i="1" s="1"/>
  <c r="AH217" i="1"/>
  <c r="AI217" i="1"/>
  <c r="N218" i="1"/>
  <c r="Q218" i="1" s="1" a="1"/>
  <c r="Q218" i="1" s="1"/>
  <c r="S218" i="1"/>
  <c r="V218" i="1" s="1" a="1"/>
  <c r="V218" i="1" s="1"/>
  <c r="X218" i="1"/>
  <c r="AA218" i="1" s="1" a="1"/>
  <c r="AA218" i="1" s="1"/>
  <c r="AC218" i="1"/>
  <c r="AF218" i="1" s="1" a="1"/>
  <c r="AF218" i="1" s="1"/>
  <c r="AH218" i="1"/>
  <c r="AI218" i="1"/>
  <c r="N219" i="1"/>
  <c r="Q219" i="1" s="1" a="1"/>
  <c r="Q219" i="1" s="1"/>
  <c r="S219" i="1"/>
  <c r="V219" i="1" s="1" a="1"/>
  <c r="V219" i="1" s="1"/>
  <c r="X219" i="1"/>
  <c r="AA219" i="1" s="1" a="1"/>
  <c r="AA219" i="1" s="1"/>
  <c r="AC219" i="1"/>
  <c r="AF219" i="1" s="1" a="1"/>
  <c r="AF219" i="1" s="1"/>
  <c r="AH219" i="1"/>
  <c r="AI219" i="1"/>
  <c r="N220" i="1"/>
  <c r="Q220" i="1" s="1" a="1"/>
  <c r="Q220" i="1" s="1"/>
  <c r="S220" i="1"/>
  <c r="V220" i="1" s="1" a="1"/>
  <c r="V220" i="1" s="1"/>
  <c r="X220" i="1"/>
  <c r="AA220" i="1" s="1" a="1"/>
  <c r="AA220" i="1" s="1"/>
  <c r="AC220" i="1"/>
  <c r="AF220" i="1" s="1" a="1"/>
  <c r="AF220" i="1" s="1"/>
  <c r="AH220" i="1"/>
  <c r="AI220" i="1"/>
  <c r="N221" i="1"/>
  <c r="Q221" i="1" s="1" a="1"/>
  <c r="Q221" i="1" s="1"/>
  <c r="S221" i="1"/>
  <c r="V221" i="1" s="1" a="1"/>
  <c r="V221" i="1" s="1"/>
  <c r="X221" i="1"/>
  <c r="AA221" i="1" s="1" a="1"/>
  <c r="AA221" i="1" s="1"/>
  <c r="AC221" i="1"/>
  <c r="AF221" i="1" s="1" a="1"/>
  <c r="AF221" i="1" s="1"/>
  <c r="AH221" i="1"/>
  <c r="AI221" i="1"/>
  <c r="N222" i="1"/>
  <c r="Q222" i="1" s="1" a="1"/>
  <c r="Q222" i="1" s="1"/>
  <c r="S222" i="1"/>
  <c r="V222" i="1" s="1" a="1"/>
  <c r="V222" i="1" s="1"/>
  <c r="X222" i="1"/>
  <c r="AA222" i="1" s="1" a="1"/>
  <c r="AA222" i="1" s="1"/>
  <c r="AC222" i="1"/>
  <c r="AF222" i="1" s="1" a="1"/>
  <c r="AF222" i="1" s="1"/>
  <c r="AH222" i="1"/>
  <c r="AI222" i="1"/>
  <c r="N223" i="1"/>
  <c r="Q223" i="1" s="1" a="1"/>
  <c r="Q223" i="1" s="1"/>
  <c r="S223" i="1"/>
  <c r="V223" i="1" s="1" a="1"/>
  <c r="V223" i="1" s="1"/>
  <c r="X223" i="1"/>
  <c r="AA223" i="1" s="1" a="1"/>
  <c r="AA223" i="1" s="1"/>
  <c r="AC223" i="1"/>
  <c r="AF223" i="1" s="1" a="1"/>
  <c r="AF223" i="1" s="1"/>
  <c r="AH223" i="1"/>
  <c r="AI223" i="1"/>
  <c r="N224" i="1"/>
  <c r="Q224" i="1" s="1" a="1"/>
  <c r="Q224" i="1" s="1"/>
  <c r="S224" i="1"/>
  <c r="V224" i="1" s="1" a="1"/>
  <c r="V224" i="1" s="1"/>
  <c r="X224" i="1"/>
  <c r="AA224" i="1" s="1" a="1"/>
  <c r="AA224" i="1" s="1"/>
  <c r="AC224" i="1"/>
  <c r="AF224" i="1" s="1" a="1"/>
  <c r="AF224" i="1" s="1"/>
  <c r="AH224" i="1"/>
  <c r="AI224" i="1"/>
  <c r="N225" i="1"/>
  <c r="Q225" i="1" s="1" a="1"/>
  <c r="Q225" i="1" s="1"/>
  <c r="S225" i="1"/>
  <c r="V225" i="1" s="1" a="1"/>
  <c r="V225" i="1" s="1"/>
  <c r="X225" i="1"/>
  <c r="AA225" i="1" s="1" a="1"/>
  <c r="AA225" i="1" s="1"/>
  <c r="AC225" i="1"/>
  <c r="AF225" i="1" s="1" a="1"/>
  <c r="AF225" i="1" s="1"/>
  <c r="AH225" i="1"/>
  <c r="AI225" i="1"/>
  <c r="N226" i="1"/>
  <c r="Q226" i="1" s="1" a="1"/>
  <c r="Q226" i="1" s="1"/>
  <c r="S226" i="1"/>
  <c r="V226" i="1" s="1" a="1"/>
  <c r="V226" i="1" s="1"/>
  <c r="X226" i="1"/>
  <c r="AA226" i="1" s="1" a="1"/>
  <c r="AA226" i="1" s="1"/>
  <c r="AC226" i="1"/>
  <c r="AF226" i="1" s="1" a="1"/>
  <c r="AF226" i="1" s="1"/>
  <c r="AH226" i="1"/>
  <c r="AI226" i="1"/>
  <c r="N227" i="1"/>
  <c r="Q227" i="1" s="1" a="1"/>
  <c r="Q227" i="1" s="1"/>
  <c r="S227" i="1"/>
  <c r="V227" i="1" s="1" a="1"/>
  <c r="V227" i="1" s="1"/>
  <c r="X227" i="1"/>
  <c r="AA227" i="1" s="1" a="1"/>
  <c r="AA227" i="1" s="1"/>
  <c r="AC227" i="1"/>
  <c r="AF227" i="1" s="1" a="1"/>
  <c r="AF227" i="1" s="1"/>
  <c r="AH227" i="1"/>
  <c r="AI227" i="1"/>
  <c r="N228" i="1"/>
  <c r="Q228" i="1" s="1" a="1"/>
  <c r="Q228" i="1" s="1"/>
  <c r="S228" i="1"/>
  <c r="V228" i="1" s="1" a="1"/>
  <c r="V228" i="1" s="1"/>
  <c r="X228" i="1"/>
  <c r="AA228" i="1" s="1" a="1"/>
  <c r="AA228" i="1" s="1"/>
  <c r="AC228" i="1"/>
  <c r="AF228" i="1" s="1" a="1"/>
  <c r="AF228" i="1" s="1"/>
  <c r="AH228" i="1"/>
  <c r="AI228" i="1"/>
  <c r="N229" i="1"/>
  <c r="Q229" i="1" s="1" a="1"/>
  <c r="Q229" i="1" s="1"/>
  <c r="S229" i="1"/>
  <c r="V229" i="1" s="1" a="1"/>
  <c r="V229" i="1" s="1"/>
  <c r="X229" i="1"/>
  <c r="AA229" i="1" s="1" a="1"/>
  <c r="AA229" i="1" s="1"/>
  <c r="AC229" i="1"/>
  <c r="AF229" i="1" s="1" a="1"/>
  <c r="AF229" i="1" s="1"/>
  <c r="AH229" i="1"/>
  <c r="AI229" i="1"/>
  <c r="N230" i="1"/>
  <c r="Q230" i="1" s="1" a="1"/>
  <c r="Q230" i="1" s="1"/>
  <c r="S230" i="1"/>
  <c r="V230" i="1" s="1" a="1"/>
  <c r="V230" i="1" s="1"/>
  <c r="X230" i="1"/>
  <c r="AA230" i="1" s="1" a="1"/>
  <c r="AA230" i="1" s="1"/>
  <c r="AC230" i="1"/>
  <c r="AF230" i="1" s="1" a="1"/>
  <c r="AF230" i="1" s="1"/>
  <c r="AH230" i="1"/>
  <c r="AI230" i="1"/>
  <c r="N231" i="1"/>
  <c r="Q231" i="1" s="1" a="1"/>
  <c r="Q231" i="1" s="1"/>
  <c r="S231" i="1"/>
  <c r="V231" i="1" s="1" a="1"/>
  <c r="V231" i="1" s="1"/>
  <c r="X231" i="1"/>
  <c r="AA231" i="1" s="1" a="1"/>
  <c r="AA231" i="1" s="1"/>
  <c r="AC231" i="1"/>
  <c r="AF231" i="1" s="1" a="1"/>
  <c r="AF231" i="1" s="1"/>
  <c r="AH231" i="1"/>
  <c r="AI231" i="1"/>
  <c r="N232" i="1"/>
  <c r="Q232" i="1" s="1" a="1"/>
  <c r="Q232" i="1" s="1"/>
  <c r="S232" i="1"/>
  <c r="V232" i="1" s="1" a="1"/>
  <c r="V232" i="1" s="1"/>
  <c r="X232" i="1"/>
  <c r="AA232" i="1" s="1" a="1"/>
  <c r="AA232" i="1" s="1"/>
  <c r="AC232" i="1"/>
  <c r="AF232" i="1" s="1" a="1"/>
  <c r="AF232" i="1" s="1"/>
  <c r="AH232" i="1"/>
  <c r="AI232" i="1"/>
  <c r="N233" i="1"/>
  <c r="Q233" i="1" s="1" a="1"/>
  <c r="Q233" i="1" s="1"/>
  <c r="S233" i="1"/>
  <c r="V233" i="1" s="1" a="1"/>
  <c r="V233" i="1" s="1"/>
  <c r="X233" i="1"/>
  <c r="AA233" i="1" s="1" a="1"/>
  <c r="AA233" i="1" s="1"/>
  <c r="AC233" i="1"/>
  <c r="AF233" i="1" s="1" a="1"/>
  <c r="AF233" i="1" s="1"/>
  <c r="AH233" i="1"/>
  <c r="AI233" i="1"/>
  <c r="N234" i="1"/>
  <c r="Q234" i="1" s="1" a="1"/>
  <c r="Q234" i="1" s="1"/>
  <c r="S234" i="1"/>
  <c r="V234" i="1" s="1" a="1"/>
  <c r="V234" i="1" s="1"/>
  <c r="X234" i="1"/>
  <c r="AA234" i="1" s="1" a="1"/>
  <c r="AA234" i="1" s="1"/>
  <c r="AC234" i="1"/>
  <c r="AF234" i="1" s="1" a="1"/>
  <c r="AF234" i="1" s="1"/>
  <c r="AH234" i="1"/>
  <c r="AI234" i="1"/>
  <c r="N235" i="1"/>
  <c r="Q235" i="1" s="1" a="1"/>
  <c r="Q235" i="1" s="1"/>
  <c r="S235" i="1"/>
  <c r="V235" i="1" s="1" a="1"/>
  <c r="V235" i="1" s="1"/>
  <c r="X235" i="1"/>
  <c r="AA235" i="1" s="1" a="1"/>
  <c r="AA235" i="1" s="1"/>
  <c r="AC235" i="1"/>
  <c r="AF235" i="1" s="1" a="1"/>
  <c r="AF235" i="1" s="1"/>
  <c r="AH235" i="1"/>
  <c r="AI235" i="1"/>
  <c r="N236" i="1"/>
  <c r="Q236" i="1" s="1" a="1"/>
  <c r="Q236" i="1" s="1"/>
  <c r="S236" i="1"/>
  <c r="V236" i="1" s="1" a="1"/>
  <c r="V236" i="1" s="1"/>
  <c r="X236" i="1"/>
  <c r="AA236" i="1" s="1" a="1"/>
  <c r="AA236" i="1" s="1"/>
  <c r="AC236" i="1"/>
  <c r="AF236" i="1" s="1" a="1"/>
  <c r="AF236" i="1" s="1"/>
  <c r="AH236" i="1"/>
  <c r="AI236" i="1"/>
  <c r="N237" i="1"/>
  <c r="Q237" i="1" s="1" a="1"/>
  <c r="Q237" i="1" s="1"/>
  <c r="S237" i="1"/>
  <c r="V237" i="1" s="1" a="1"/>
  <c r="V237" i="1" s="1"/>
  <c r="X237" i="1"/>
  <c r="AA237" i="1" s="1" a="1"/>
  <c r="AA237" i="1" s="1"/>
  <c r="AC237" i="1"/>
  <c r="AF237" i="1" s="1" a="1"/>
  <c r="AF237" i="1" s="1"/>
  <c r="AH237" i="1"/>
  <c r="AI237" i="1"/>
  <c r="N238" i="1"/>
  <c r="Q238" i="1" s="1" a="1"/>
  <c r="Q238" i="1" s="1"/>
  <c r="S238" i="1"/>
  <c r="V238" i="1" s="1" a="1"/>
  <c r="V238" i="1" s="1"/>
  <c r="X238" i="1"/>
  <c r="AA238" i="1" s="1" a="1"/>
  <c r="AA238" i="1" s="1"/>
  <c r="AC238" i="1"/>
  <c r="AF238" i="1" s="1" a="1"/>
  <c r="AF238" i="1" s="1"/>
  <c r="AH238" i="1"/>
  <c r="AI238" i="1"/>
  <c r="N239" i="1"/>
  <c r="Q239" i="1" s="1" a="1"/>
  <c r="Q239" i="1" s="1"/>
  <c r="S239" i="1"/>
  <c r="V239" i="1" s="1" a="1"/>
  <c r="V239" i="1" s="1"/>
  <c r="X239" i="1"/>
  <c r="AA239" i="1" s="1" a="1"/>
  <c r="AA239" i="1" s="1"/>
  <c r="AC239" i="1"/>
  <c r="AF239" i="1" s="1" a="1"/>
  <c r="AF239" i="1" s="1"/>
  <c r="AH239" i="1"/>
  <c r="AI239" i="1"/>
  <c r="N240" i="1"/>
  <c r="Q240" i="1" s="1" a="1"/>
  <c r="Q240" i="1" s="1"/>
  <c r="S240" i="1"/>
  <c r="V240" i="1" s="1" a="1"/>
  <c r="V240" i="1" s="1"/>
  <c r="X240" i="1"/>
  <c r="AA240" i="1" s="1" a="1"/>
  <c r="AA240" i="1" s="1"/>
  <c r="AC240" i="1"/>
  <c r="AF240" i="1" s="1" a="1"/>
  <c r="AF240" i="1" s="1"/>
  <c r="AH240" i="1"/>
  <c r="AI240" i="1"/>
  <c r="N241" i="1"/>
  <c r="Q241" i="1" s="1" a="1"/>
  <c r="Q241" i="1" s="1"/>
  <c r="S241" i="1"/>
  <c r="V241" i="1" s="1" a="1"/>
  <c r="V241" i="1" s="1"/>
  <c r="X241" i="1"/>
  <c r="AA241" i="1" s="1" a="1"/>
  <c r="AA241" i="1" s="1"/>
  <c r="AC241" i="1"/>
  <c r="AF241" i="1" s="1" a="1"/>
  <c r="AF241" i="1" s="1"/>
  <c r="AH241" i="1"/>
  <c r="AI241" i="1"/>
  <c r="N242" i="1"/>
  <c r="Q242" i="1" s="1" a="1"/>
  <c r="Q242" i="1" s="1"/>
  <c r="S242" i="1"/>
  <c r="V242" i="1" s="1" a="1"/>
  <c r="V242" i="1" s="1"/>
  <c r="X242" i="1"/>
  <c r="AA242" i="1" s="1" a="1"/>
  <c r="AA242" i="1" s="1"/>
  <c r="AC242" i="1"/>
  <c r="AF242" i="1" s="1" a="1"/>
  <c r="AF242" i="1" s="1"/>
  <c r="AH242" i="1"/>
  <c r="AI242" i="1"/>
  <c r="N243" i="1"/>
  <c r="Q243" i="1" s="1" a="1"/>
  <c r="Q243" i="1" s="1"/>
  <c r="S243" i="1"/>
  <c r="V243" i="1" s="1" a="1"/>
  <c r="V243" i="1" s="1"/>
  <c r="X243" i="1"/>
  <c r="AA243" i="1" s="1" a="1"/>
  <c r="AA243" i="1" s="1"/>
  <c r="AC243" i="1"/>
  <c r="AF243" i="1" s="1" a="1"/>
  <c r="AF243" i="1" s="1"/>
  <c r="AH243" i="1"/>
  <c r="AI243" i="1"/>
  <c r="N244" i="1"/>
  <c r="Q244" i="1" s="1" a="1"/>
  <c r="Q244" i="1" s="1"/>
  <c r="S244" i="1"/>
  <c r="V244" i="1" s="1" a="1"/>
  <c r="V244" i="1" s="1"/>
  <c r="X244" i="1"/>
  <c r="AA244" i="1" s="1" a="1"/>
  <c r="AA244" i="1" s="1"/>
  <c r="AC244" i="1"/>
  <c r="AF244" i="1" s="1" a="1"/>
  <c r="AF244" i="1" s="1"/>
  <c r="AH244" i="1"/>
  <c r="AI244" i="1"/>
  <c r="N245" i="1"/>
  <c r="Q245" i="1" s="1" a="1"/>
  <c r="Q245" i="1" s="1"/>
  <c r="S245" i="1"/>
  <c r="V245" i="1" s="1" a="1"/>
  <c r="V245" i="1" s="1"/>
  <c r="X245" i="1"/>
  <c r="AA245" i="1" s="1" a="1"/>
  <c r="AA245" i="1" s="1"/>
  <c r="AC245" i="1"/>
  <c r="AF245" i="1" s="1" a="1"/>
  <c r="AF245" i="1" s="1"/>
  <c r="AH245" i="1"/>
  <c r="AI245" i="1"/>
  <c r="N246" i="1"/>
  <c r="Q246" i="1" s="1" a="1"/>
  <c r="Q246" i="1" s="1"/>
  <c r="S246" i="1"/>
  <c r="V246" i="1" s="1" a="1"/>
  <c r="V246" i="1" s="1"/>
  <c r="X246" i="1"/>
  <c r="AA246" i="1" s="1" a="1"/>
  <c r="AA246" i="1" s="1"/>
  <c r="AC246" i="1"/>
  <c r="AF246" i="1" s="1" a="1"/>
  <c r="AF246" i="1" s="1"/>
  <c r="AH246" i="1"/>
  <c r="AI246" i="1"/>
  <c r="N247" i="1"/>
  <c r="Q247" i="1" s="1" a="1"/>
  <c r="Q247" i="1" s="1"/>
  <c r="S247" i="1"/>
  <c r="V247" i="1" s="1" a="1"/>
  <c r="V247" i="1" s="1"/>
  <c r="X247" i="1"/>
  <c r="AA247" i="1" s="1" a="1"/>
  <c r="AA247" i="1" s="1"/>
  <c r="AC247" i="1"/>
  <c r="AF247" i="1" s="1" a="1"/>
  <c r="AF247" i="1" s="1"/>
  <c r="AH247" i="1"/>
  <c r="AI247" i="1"/>
  <c r="N248" i="1"/>
  <c r="Q248" i="1" s="1" a="1"/>
  <c r="Q248" i="1" s="1"/>
  <c r="S248" i="1"/>
  <c r="V248" i="1" s="1" a="1"/>
  <c r="V248" i="1" s="1"/>
  <c r="X248" i="1"/>
  <c r="AA248" i="1" s="1" a="1"/>
  <c r="AA248" i="1" s="1"/>
  <c r="AC248" i="1"/>
  <c r="AF248" i="1" s="1" a="1"/>
  <c r="AF248" i="1" s="1"/>
  <c r="AH248" i="1"/>
  <c r="AI248" i="1"/>
  <c r="N249" i="1"/>
  <c r="Q249" i="1" s="1" a="1"/>
  <c r="Q249" i="1" s="1"/>
  <c r="S249" i="1"/>
  <c r="V249" i="1" s="1" a="1"/>
  <c r="V249" i="1" s="1"/>
  <c r="X249" i="1"/>
  <c r="AA249" i="1" s="1" a="1"/>
  <c r="AA249" i="1" s="1"/>
  <c r="AC249" i="1"/>
  <c r="AF249" i="1" s="1" a="1"/>
  <c r="AF249" i="1" s="1"/>
  <c r="AH249" i="1"/>
  <c r="AI249" i="1"/>
  <c r="N250" i="1"/>
  <c r="Q250" i="1" s="1" a="1"/>
  <c r="Q250" i="1" s="1"/>
  <c r="S250" i="1"/>
  <c r="V250" i="1" s="1" a="1"/>
  <c r="V250" i="1" s="1"/>
  <c r="X250" i="1"/>
  <c r="AA250" i="1" s="1" a="1"/>
  <c r="AA250" i="1" s="1"/>
  <c r="AC250" i="1"/>
  <c r="AF250" i="1" s="1" a="1"/>
  <c r="AF250" i="1" s="1"/>
  <c r="AH250" i="1"/>
  <c r="AI250" i="1"/>
  <c r="N251" i="1"/>
  <c r="Q251" i="1" s="1" a="1"/>
  <c r="Q251" i="1" s="1"/>
  <c r="S251" i="1"/>
  <c r="V251" i="1" s="1" a="1"/>
  <c r="V251" i="1" s="1"/>
  <c r="X251" i="1"/>
  <c r="AA251" i="1" s="1" a="1"/>
  <c r="AA251" i="1" s="1"/>
  <c r="AC251" i="1"/>
  <c r="AF251" i="1" s="1" a="1"/>
  <c r="AF251" i="1" s="1"/>
  <c r="AH251" i="1"/>
  <c r="AI251" i="1"/>
  <c r="N252" i="1"/>
  <c r="Q252" i="1" s="1" a="1"/>
  <c r="Q252" i="1" s="1"/>
  <c r="S252" i="1"/>
  <c r="V252" i="1" s="1" a="1"/>
  <c r="V252" i="1" s="1"/>
  <c r="X252" i="1"/>
  <c r="AA252" i="1" s="1" a="1"/>
  <c r="AA252" i="1" s="1"/>
  <c r="AC252" i="1"/>
  <c r="AF252" i="1" s="1" a="1"/>
  <c r="AF252" i="1" s="1"/>
  <c r="AH252" i="1"/>
  <c r="AI252" i="1"/>
  <c r="N253" i="1"/>
  <c r="Q253" i="1" s="1" a="1"/>
  <c r="Q253" i="1" s="1"/>
  <c r="S253" i="1"/>
  <c r="V253" i="1" s="1" a="1"/>
  <c r="V253" i="1" s="1"/>
  <c r="X253" i="1"/>
  <c r="AA253" i="1" s="1" a="1"/>
  <c r="AA253" i="1" s="1"/>
  <c r="AC253" i="1"/>
  <c r="AF253" i="1" s="1" a="1"/>
  <c r="AF253" i="1" s="1"/>
  <c r="AH253" i="1"/>
  <c r="AI253" i="1"/>
  <c r="N254" i="1"/>
  <c r="Q254" i="1" s="1" a="1"/>
  <c r="Q254" i="1" s="1"/>
  <c r="S254" i="1"/>
  <c r="V254" i="1" s="1" a="1"/>
  <c r="V254" i="1" s="1"/>
  <c r="X254" i="1"/>
  <c r="AA254" i="1" s="1" a="1"/>
  <c r="AA254" i="1" s="1"/>
  <c r="AC254" i="1"/>
  <c r="AF254" i="1" s="1" a="1"/>
  <c r="AF254" i="1" s="1"/>
  <c r="AH254" i="1"/>
  <c r="AI254" i="1"/>
  <c r="N255" i="1"/>
  <c r="Q255" i="1" s="1" a="1"/>
  <c r="Q255" i="1" s="1"/>
  <c r="S255" i="1"/>
  <c r="V255" i="1" s="1" a="1"/>
  <c r="V255" i="1" s="1"/>
  <c r="X255" i="1"/>
  <c r="AA255" i="1" s="1" a="1"/>
  <c r="AA255" i="1" s="1"/>
  <c r="AC255" i="1"/>
  <c r="AF255" i="1" s="1" a="1"/>
  <c r="AF255" i="1" s="1"/>
  <c r="AH255" i="1"/>
  <c r="AI255" i="1"/>
  <c r="N256" i="1"/>
  <c r="Q256" i="1" s="1" a="1"/>
  <c r="Q256" i="1" s="1"/>
  <c r="S256" i="1"/>
  <c r="V256" i="1" s="1" a="1"/>
  <c r="V256" i="1" s="1"/>
  <c r="X256" i="1"/>
  <c r="AA256" i="1" s="1" a="1"/>
  <c r="AA256" i="1" s="1"/>
  <c r="AC256" i="1"/>
  <c r="AF256" i="1" s="1" a="1"/>
  <c r="AF256" i="1" s="1"/>
  <c r="AH256" i="1"/>
  <c r="AI256" i="1"/>
  <c r="N257" i="1"/>
  <c r="Q257" i="1" s="1" a="1"/>
  <c r="Q257" i="1" s="1"/>
  <c r="S257" i="1"/>
  <c r="V257" i="1" s="1" a="1"/>
  <c r="V257" i="1" s="1"/>
  <c r="X257" i="1"/>
  <c r="AA257" i="1" s="1" a="1"/>
  <c r="AA257" i="1" s="1"/>
  <c r="AC257" i="1"/>
  <c r="AF257" i="1" s="1" a="1"/>
  <c r="AF257" i="1" s="1"/>
  <c r="AH257" i="1"/>
  <c r="AI257" i="1"/>
  <c r="N258" i="1"/>
  <c r="Q258" i="1" s="1" a="1"/>
  <c r="Q258" i="1" s="1"/>
  <c r="S258" i="1"/>
  <c r="V258" i="1" s="1" a="1"/>
  <c r="V258" i="1" s="1"/>
  <c r="X258" i="1"/>
  <c r="AA258" i="1" s="1" a="1"/>
  <c r="AA258" i="1" s="1"/>
  <c r="AC258" i="1"/>
  <c r="AF258" i="1" s="1" a="1"/>
  <c r="AF258" i="1" s="1"/>
  <c r="AH258" i="1"/>
  <c r="AI258" i="1"/>
  <c r="N259" i="1"/>
  <c r="Q259" i="1" s="1" a="1"/>
  <c r="Q259" i="1" s="1"/>
  <c r="S259" i="1"/>
  <c r="V259" i="1" s="1" a="1"/>
  <c r="V259" i="1" s="1"/>
  <c r="X259" i="1"/>
  <c r="AA259" i="1" s="1" a="1"/>
  <c r="AA259" i="1" s="1"/>
  <c r="AC259" i="1"/>
  <c r="AF259" i="1" s="1" a="1"/>
  <c r="AF259" i="1" s="1"/>
  <c r="AH259" i="1"/>
  <c r="AI259" i="1"/>
  <c r="N260" i="1"/>
  <c r="Q260" i="1" s="1" a="1"/>
  <c r="Q260" i="1" s="1"/>
  <c r="S260" i="1"/>
  <c r="V260" i="1" s="1" a="1"/>
  <c r="V260" i="1" s="1"/>
  <c r="X260" i="1"/>
  <c r="AA260" i="1" s="1" a="1"/>
  <c r="AA260" i="1" s="1"/>
  <c r="AC260" i="1"/>
  <c r="AF260" i="1" s="1" a="1"/>
  <c r="AF260" i="1" s="1"/>
  <c r="AH260" i="1"/>
  <c r="AI260" i="1"/>
  <c r="N261" i="1"/>
  <c r="Q261" i="1" s="1" a="1"/>
  <c r="Q261" i="1" s="1"/>
  <c r="S261" i="1"/>
  <c r="V261" i="1" s="1" a="1"/>
  <c r="V261" i="1" s="1"/>
  <c r="X261" i="1"/>
  <c r="AA261" i="1" s="1" a="1"/>
  <c r="AA261" i="1" s="1"/>
  <c r="AC261" i="1"/>
  <c r="AF261" i="1" s="1" a="1"/>
  <c r="AF261" i="1" s="1"/>
  <c r="AH261" i="1"/>
  <c r="AI261" i="1"/>
  <c r="N262" i="1"/>
  <c r="Q262" i="1" s="1" a="1"/>
  <c r="Q262" i="1" s="1"/>
  <c r="S262" i="1"/>
  <c r="V262" i="1" s="1" a="1"/>
  <c r="V262" i="1" s="1"/>
  <c r="X262" i="1"/>
  <c r="AA262" i="1" s="1" a="1"/>
  <c r="AA262" i="1" s="1"/>
  <c r="AC262" i="1"/>
  <c r="AF262" i="1" s="1" a="1"/>
  <c r="AF262" i="1" s="1"/>
  <c r="AH262" i="1"/>
  <c r="AI262" i="1"/>
  <c r="N263" i="1"/>
  <c r="Q263" i="1" s="1" a="1"/>
  <c r="Q263" i="1" s="1"/>
  <c r="S263" i="1"/>
  <c r="V263" i="1" s="1" a="1"/>
  <c r="V263" i="1" s="1"/>
  <c r="X263" i="1"/>
  <c r="AA263" i="1" s="1" a="1"/>
  <c r="AA263" i="1" s="1"/>
  <c r="AC263" i="1"/>
  <c r="AF263" i="1" s="1" a="1"/>
  <c r="AF263" i="1" s="1"/>
  <c r="AH263" i="1"/>
  <c r="AI263" i="1"/>
  <c r="N264" i="1"/>
  <c r="Q264" i="1" s="1" a="1"/>
  <c r="Q264" i="1" s="1"/>
  <c r="S264" i="1"/>
  <c r="V264" i="1" s="1" a="1"/>
  <c r="V264" i="1" s="1"/>
  <c r="X264" i="1"/>
  <c r="AA264" i="1" s="1" a="1"/>
  <c r="AA264" i="1" s="1"/>
  <c r="AC264" i="1"/>
  <c r="AF264" i="1" s="1" a="1"/>
  <c r="AF264" i="1" s="1"/>
  <c r="AH264" i="1"/>
  <c r="AI264" i="1"/>
  <c r="N265" i="1"/>
  <c r="Q265" i="1" s="1" a="1"/>
  <c r="Q265" i="1" s="1"/>
  <c r="S265" i="1"/>
  <c r="V265" i="1" s="1" a="1"/>
  <c r="V265" i="1" s="1"/>
  <c r="X265" i="1"/>
  <c r="AA265" i="1" s="1" a="1"/>
  <c r="AA265" i="1" s="1"/>
  <c r="AC265" i="1"/>
  <c r="AF265" i="1" s="1" a="1"/>
  <c r="AF265" i="1" s="1"/>
  <c r="AH265" i="1"/>
  <c r="AI265" i="1"/>
  <c r="N266" i="1"/>
  <c r="Q266" i="1" s="1" a="1"/>
  <c r="Q266" i="1" s="1"/>
  <c r="S266" i="1"/>
  <c r="V266" i="1" s="1" a="1"/>
  <c r="V266" i="1" s="1"/>
  <c r="X266" i="1"/>
  <c r="AA266" i="1" s="1" a="1"/>
  <c r="AA266" i="1" s="1"/>
  <c r="AC266" i="1"/>
  <c r="AF266" i="1" s="1" a="1"/>
  <c r="AF266" i="1" s="1"/>
  <c r="AH266" i="1"/>
  <c r="AI266" i="1"/>
  <c r="N267" i="1"/>
  <c r="Q267" i="1" s="1" a="1"/>
  <c r="Q267" i="1" s="1"/>
  <c r="S267" i="1"/>
  <c r="V267" i="1" s="1" a="1"/>
  <c r="V267" i="1" s="1"/>
  <c r="X267" i="1"/>
  <c r="AA267" i="1" s="1" a="1"/>
  <c r="AA267" i="1" s="1"/>
  <c r="AC267" i="1"/>
  <c r="AF267" i="1" s="1" a="1"/>
  <c r="AF267" i="1" s="1"/>
  <c r="AH267" i="1"/>
  <c r="AI267" i="1"/>
  <c r="N268" i="1"/>
  <c r="Q268" i="1" s="1" a="1"/>
  <c r="Q268" i="1" s="1"/>
  <c r="S268" i="1"/>
  <c r="V268" i="1" s="1" a="1"/>
  <c r="V268" i="1" s="1"/>
  <c r="X268" i="1"/>
  <c r="AA268" i="1" s="1" a="1"/>
  <c r="AA268" i="1" s="1"/>
  <c r="AC268" i="1"/>
  <c r="AF268" i="1" s="1" a="1"/>
  <c r="AF268" i="1" s="1"/>
  <c r="AH268" i="1"/>
  <c r="AI268" i="1"/>
  <c r="N269" i="1"/>
  <c r="Q269" i="1" s="1" a="1"/>
  <c r="Q269" i="1" s="1"/>
  <c r="S269" i="1"/>
  <c r="V269" i="1" s="1" a="1"/>
  <c r="V269" i="1" s="1"/>
  <c r="X269" i="1"/>
  <c r="AA269" i="1" s="1" a="1"/>
  <c r="AA269" i="1" s="1"/>
  <c r="AC269" i="1"/>
  <c r="AF269" i="1" s="1" a="1"/>
  <c r="AF269" i="1" s="1"/>
  <c r="AH269" i="1"/>
  <c r="AI269" i="1"/>
  <c r="N270" i="1"/>
  <c r="Q270" i="1" s="1" a="1"/>
  <c r="Q270" i="1" s="1"/>
  <c r="S270" i="1"/>
  <c r="V270" i="1" s="1" a="1"/>
  <c r="V270" i="1" s="1"/>
  <c r="X270" i="1"/>
  <c r="AA270" i="1" s="1" a="1"/>
  <c r="AA270" i="1" s="1"/>
  <c r="AC270" i="1"/>
  <c r="AF270" i="1" s="1" a="1"/>
  <c r="AF270" i="1" s="1"/>
  <c r="AH270" i="1"/>
  <c r="AI270" i="1"/>
  <c r="N271" i="1"/>
  <c r="Q271" i="1" s="1" a="1"/>
  <c r="Q271" i="1" s="1"/>
  <c r="S271" i="1"/>
  <c r="V271" i="1" s="1" a="1"/>
  <c r="V271" i="1" s="1"/>
  <c r="X271" i="1"/>
  <c r="AA271" i="1" s="1" a="1"/>
  <c r="AA271" i="1" s="1"/>
  <c r="AC271" i="1"/>
  <c r="AF271" i="1" s="1" a="1"/>
  <c r="AF271" i="1" s="1"/>
  <c r="AH271" i="1"/>
  <c r="AI271" i="1"/>
  <c r="N272" i="1"/>
  <c r="Q272" i="1" s="1" a="1"/>
  <c r="Q272" i="1" s="1"/>
  <c r="S272" i="1"/>
  <c r="V272" i="1" s="1" a="1"/>
  <c r="V272" i="1" s="1"/>
  <c r="X272" i="1"/>
  <c r="AA272" i="1" s="1" a="1"/>
  <c r="AA272" i="1" s="1"/>
  <c r="AC272" i="1"/>
  <c r="AF272" i="1" s="1" a="1"/>
  <c r="AF272" i="1" s="1"/>
  <c r="AH272" i="1"/>
  <c r="AI272" i="1"/>
  <c r="N273" i="1"/>
  <c r="Q273" i="1" s="1" a="1"/>
  <c r="Q273" i="1" s="1"/>
  <c r="S273" i="1"/>
  <c r="V273" i="1" s="1" a="1"/>
  <c r="V273" i="1" s="1"/>
  <c r="X273" i="1"/>
  <c r="AA273" i="1" s="1" a="1"/>
  <c r="AA273" i="1" s="1"/>
  <c r="AC273" i="1"/>
  <c r="AF273" i="1" s="1" a="1"/>
  <c r="AF273" i="1" s="1"/>
  <c r="AH273" i="1"/>
  <c r="AI273" i="1"/>
  <c r="N274" i="1"/>
  <c r="Q274" i="1" s="1" a="1"/>
  <c r="Q274" i="1" s="1"/>
  <c r="S274" i="1"/>
  <c r="V274" i="1" s="1" a="1"/>
  <c r="V274" i="1" s="1"/>
  <c r="X274" i="1"/>
  <c r="AA274" i="1" s="1" a="1"/>
  <c r="AA274" i="1" s="1"/>
  <c r="AC274" i="1"/>
  <c r="AF274" i="1" s="1" a="1"/>
  <c r="AF274" i="1" s="1"/>
  <c r="AH274" i="1"/>
  <c r="AI274" i="1"/>
  <c r="N275" i="1"/>
  <c r="Q275" i="1" s="1" a="1"/>
  <c r="Q275" i="1" s="1"/>
  <c r="S275" i="1"/>
  <c r="V275" i="1" s="1" a="1"/>
  <c r="V275" i="1" s="1"/>
  <c r="X275" i="1"/>
  <c r="AA275" i="1" s="1" a="1"/>
  <c r="AA275" i="1" s="1"/>
  <c r="AC275" i="1"/>
  <c r="AF275" i="1" s="1" a="1"/>
  <c r="AF275" i="1" s="1"/>
  <c r="AH275" i="1"/>
  <c r="AI275" i="1"/>
  <c r="N276" i="1"/>
  <c r="Q276" i="1" s="1" a="1"/>
  <c r="Q276" i="1" s="1"/>
  <c r="S276" i="1"/>
  <c r="V276" i="1" s="1" a="1"/>
  <c r="V276" i="1" s="1"/>
  <c r="X276" i="1"/>
  <c r="AA276" i="1" s="1" a="1"/>
  <c r="AA276" i="1" s="1"/>
  <c r="AC276" i="1"/>
  <c r="AF276" i="1" s="1" a="1"/>
  <c r="AF276" i="1" s="1"/>
  <c r="AH276" i="1"/>
  <c r="AI276" i="1"/>
  <c r="N277" i="1"/>
  <c r="Q277" i="1" s="1" a="1"/>
  <c r="Q277" i="1" s="1"/>
  <c r="S277" i="1"/>
  <c r="V277" i="1" s="1" a="1"/>
  <c r="V277" i="1" s="1"/>
  <c r="X277" i="1"/>
  <c r="AA277" i="1" s="1" a="1"/>
  <c r="AA277" i="1" s="1"/>
  <c r="AC277" i="1"/>
  <c r="AF277" i="1" s="1" a="1"/>
  <c r="AF277" i="1" s="1"/>
  <c r="AH277" i="1"/>
  <c r="AI277" i="1"/>
  <c r="N278" i="1"/>
  <c r="Q278" i="1" s="1" a="1"/>
  <c r="Q278" i="1" s="1"/>
  <c r="S278" i="1"/>
  <c r="V278" i="1" s="1" a="1"/>
  <c r="V278" i="1" s="1"/>
  <c r="X278" i="1"/>
  <c r="AA278" i="1" s="1" a="1"/>
  <c r="AA278" i="1" s="1"/>
  <c r="AC278" i="1"/>
  <c r="AF278" i="1" s="1" a="1"/>
  <c r="AF278" i="1" s="1"/>
  <c r="AH278" i="1"/>
  <c r="AI278" i="1"/>
  <c r="N279" i="1"/>
  <c r="Q279" i="1" s="1" a="1"/>
  <c r="Q279" i="1" s="1"/>
  <c r="S279" i="1"/>
  <c r="V279" i="1" s="1" a="1"/>
  <c r="V279" i="1" s="1"/>
  <c r="X279" i="1"/>
  <c r="AA279" i="1" s="1" a="1"/>
  <c r="AA279" i="1" s="1"/>
  <c r="AC279" i="1"/>
  <c r="AF279" i="1" s="1" a="1"/>
  <c r="AF279" i="1" s="1"/>
  <c r="AH279" i="1"/>
  <c r="AI279" i="1"/>
  <c r="N280" i="1"/>
  <c r="Q280" i="1" s="1" a="1"/>
  <c r="Q280" i="1" s="1"/>
  <c r="S280" i="1"/>
  <c r="V280" i="1" s="1" a="1"/>
  <c r="V280" i="1" s="1"/>
  <c r="X280" i="1"/>
  <c r="AA280" i="1" s="1" a="1"/>
  <c r="AA280" i="1" s="1"/>
  <c r="AC280" i="1"/>
  <c r="AF280" i="1" s="1" a="1"/>
  <c r="AF280" i="1" s="1"/>
  <c r="AH280" i="1"/>
  <c r="AI280" i="1"/>
  <c r="N281" i="1"/>
  <c r="Q281" i="1" s="1" a="1"/>
  <c r="Q281" i="1" s="1"/>
  <c r="S281" i="1"/>
  <c r="V281" i="1" s="1" a="1"/>
  <c r="V281" i="1" s="1"/>
  <c r="X281" i="1"/>
  <c r="AA281" i="1" s="1" a="1"/>
  <c r="AA281" i="1" s="1"/>
  <c r="AC281" i="1"/>
  <c r="AF281" i="1" s="1" a="1"/>
  <c r="AF281" i="1" s="1"/>
  <c r="AH281" i="1"/>
  <c r="AI281" i="1"/>
  <c r="N282" i="1"/>
  <c r="Q282" i="1" s="1" a="1"/>
  <c r="Q282" i="1" s="1"/>
  <c r="S282" i="1"/>
  <c r="V282" i="1" s="1" a="1"/>
  <c r="V282" i="1" s="1"/>
  <c r="X282" i="1"/>
  <c r="AA282" i="1" s="1" a="1"/>
  <c r="AA282" i="1" s="1"/>
  <c r="AC282" i="1"/>
  <c r="AF282" i="1" s="1" a="1"/>
  <c r="AF282" i="1" s="1"/>
  <c r="AH282" i="1"/>
  <c r="AI282" i="1"/>
  <c r="N283" i="1"/>
  <c r="Q283" i="1" s="1" a="1"/>
  <c r="Q283" i="1" s="1"/>
  <c r="S283" i="1"/>
  <c r="V283" i="1" s="1" a="1"/>
  <c r="V283" i="1" s="1"/>
  <c r="X283" i="1"/>
  <c r="AA283" i="1" s="1" a="1"/>
  <c r="AA283" i="1" s="1"/>
  <c r="AC283" i="1"/>
  <c r="AF283" i="1" s="1" a="1"/>
  <c r="AF283" i="1" s="1"/>
  <c r="AH283" i="1"/>
  <c r="AI283" i="1"/>
  <c r="N284" i="1"/>
  <c r="Q284" i="1" s="1" a="1"/>
  <c r="Q284" i="1" s="1"/>
  <c r="S284" i="1"/>
  <c r="V284" i="1" s="1" a="1"/>
  <c r="V284" i="1" s="1"/>
  <c r="X284" i="1"/>
  <c r="AA284" i="1" s="1" a="1"/>
  <c r="AA284" i="1" s="1"/>
  <c r="AC284" i="1"/>
  <c r="AF284" i="1" s="1" a="1"/>
  <c r="AF284" i="1" s="1"/>
  <c r="AH284" i="1"/>
  <c r="AI284" i="1"/>
  <c r="N285" i="1"/>
  <c r="Q285" i="1" s="1" a="1"/>
  <c r="Q285" i="1" s="1"/>
  <c r="S285" i="1"/>
  <c r="V285" i="1" s="1" a="1"/>
  <c r="V285" i="1" s="1"/>
  <c r="X285" i="1"/>
  <c r="AA285" i="1" s="1" a="1"/>
  <c r="AA285" i="1" s="1"/>
  <c r="AC285" i="1"/>
  <c r="AF285" i="1" s="1" a="1"/>
  <c r="AF285" i="1" s="1"/>
  <c r="AH285" i="1"/>
  <c r="AI285" i="1"/>
  <c r="N286" i="1"/>
  <c r="Q286" i="1" s="1" a="1"/>
  <c r="Q286" i="1" s="1"/>
  <c r="S286" i="1"/>
  <c r="V286" i="1" s="1" a="1"/>
  <c r="V286" i="1" s="1"/>
  <c r="X286" i="1"/>
  <c r="AA286" i="1" s="1" a="1"/>
  <c r="AA286" i="1" s="1"/>
  <c r="AC286" i="1"/>
  <c r="AF286" i="1" s="1" a="1"/>
  <c r="AF286" i="1" s="1"/>
  <c r="AH286" i="1"/>
  <c r="AI286" i="1"/>
  <c r="N287" i="1"/>
  <c r="Q287" i="1" s="1" a="1"/>
  <c r="Q287" i="1" s="1"/>
  <c r="S287" i="1"/>
  <c r="V287" i="1" s="1" a="1"/>
  <c r="V287" i="1" s="1"/>
  <c r="X287" i="1"/>
  <c r="AA287" i="1" s="1" a="1"/>
  <c r="AA287" i="1" s="1"/>
  <c r="AC287" i="1"/>
  <c r="AF287" i="1" s="1" a="1"/>
  <c r="AF287" i="1" s="1"/>
  <c r="AH287" i="1"/>
  <c r="AI287" i="1"/>
  <c r="N288" i="1"/>
  <c r="Q288" i="1" s="1" a="1"/>
  <c r="Q288" i="1" s="1"/>
  <c r="S288" i="1"/>
  <c r="V288" i="1" s="1" a="1"/>
  <c r="V288" i="1" s="1"/>
  <c r="X288" i="1"/>
  <c r="AA288" i="1" s="1" a="1"/>
  <c r="AA288" i="1" s="1"/>
  <c r="AC288" i="1"/>
  <c r="AF288" i="1" s="1" a="1"/>
  <c r="AF288" i="1" s="1"/>
  <c r="AH288" i="1"/>
  <c r="AI288" i="1"/>
  <c r="N289" i="1"/>
  <c r="Q289" i="1" s="1" a="1"/>
  <c r="Q289" i="1" s="1"/>
  <c r="S289" i="1"/>
  <c r="V289" i="1" s="1" a="1"/>
  <c r="V289" i="1" s="1"/>
  <c r="X289" i="1"/>
  <c r="AA289" i="1" s="1" a="1"/>
  <c r="AA289" i="1" s="1"/>
  <c r="AC289" i="1"/>
  <c r="AF289" i="1" s="1" a="1"/>
  <c r="AF289" i="1" s="1"/>
  <c r="AH289" i="1"/>
  <c r="AI289" i="1"/>
  <c r="N290" i="1"/>
  <c r="Q290" i="1" s="1" a="1"/>
  <c r="Q290" i="1" s="1"/>
  <c r="S290" i="1"/>
  <c r="V290" i="1" s="1" a="1"/>
  <c r="V290" i="1" s="1"/>
  <c r="X290" i="1"/>
  <c r="AA290" i="1" s="1" a="1"/>
  <c r="AA290" i="1" s="1"/>
  <c r="AC290" i="1"/>
  <c r="AF290" i="1" s="1" a="1"/>
  <c r="AF290" i="1" s="1"/>
  <c r="AH290" i="1"/>
  <c r="AI290" i="1"/>
  <c r="N291" i="1"/>
  <c r="Q291" i="1" s="1" a="1"/>
  <c r="Q291" i="1" s="1"/>
  <c r="S291" i="1"/>
  <c r="V291" i="1" s="1" a="1"/>
  <c r="V291" i="1" s="1"/>
  <c r="X291" i="1"/>
  <c r="AA291" i="1" s="1" a="1"/>
  <c r="AA291" i="1" s="1"/>
  <c r="AC291" i="1"/>
  <c r="AF291" i="1" s="1" a="1"/>
  <c r="AF291" i="1" s="1"/>
  <c r="AH291" i="1"/>
  <c r="AI291" i="1"/>
  <c r="N292" i="1"/>
  <c r="Q292" i="1" s="1" a="1"/>
  <c r="Q292" i="1" s="1"/>
  <c r="S292" i="1"/>
  <c r="V292" i="1" s="1" a="1"/>
  <c r="V292" i="1" s="1"/>
  <c r="X292" i="1"/>
  <c r="AA292" i="1" s="1" a="1"/>
  <c r="AA292" i="1" s="1"/>
  <c r="AC292" i="1"/>
  <c r="AF292" i="1" s="1" a="1"/>
  <c r="AF292" i="1" s="1"/>
  <c r="AH292" i="1"/>
  <c r="AI292" i="1"/>
  <c r="N293" i="1"/>
  <c r="Q293" i="1" s="1" a="1"/>
  <c r="Q293" i="1" s="1"/>
  <c r="S293" i="1"/>
  <c r="V293" i="1" s="1" a="1"/>
  <c r="V293" i="1" s="1"/>
  <c r="X293" i="1"/>
  <c r="AA293" i="1" s="1" a="1"/>
  <c r="AA293" i="1" s="1"/>
  <c r="AC293" i="1"/>
  <c r="AF293" i="1" s="1" a="1"/>
  <c r="AF293" i="1" s="1"/>
  <c r="AH293" i="1"/>
  <c r="AI293" i="1"/>
  <c r="N294" i="1"/>
  <c r="Q294" i="1" s="1" a="1"/>
  <c r="Q294" i="1" s="1"/>
  <c r="S294" i="1"/>
  <c r="V294" i="1" s="1" a="1"/>
  <c r="V294" i="1" s="1"/>
  <c r="X294" i="1"/>
  <c r="AA294" i="1" s="1" a="1"/>
  <c r="AA294" i="1" s="1"/>
  <c r="AC294" i="1"/>
  <c r="AF294" i="1" s="1" a="1"/>
  <c r="AF294" i="1" s="1"/>
  <c r="AH294" i="1"/>
  <c r="AI294" i="1"/>
  <c r="N295" i="1"/>
  <c r="Q295" i="1" s="1" a="1"/>
  <c r="Q295" i="1" s="1"/>
  <c r="S295" i="1"/>
  <c r="V295" i="1" s="1" a="1"/>
  <c r="V295" i="1" s="1"/>
  <c r="X295" i="1"/>
  <c r="AA295" i="1" s="1" a="1"/>
  <c r="AA295" i="1" s="1"/>
  <c r="AC295" i="1"/>
  <c r="AF295" i="1" s="1" a="1"/>
  <c r="AF295" i="1" s="1"/>
  <c r="AH295" i="1"/>
  <c r="AI295" i="1"/>
  <c r="N296" i="1"/>
  <c r="Q296" i="1" s="1" a="1"/>
  <c r="Q296" i="1" s="1"/>
  <c r="S296" i="1"/>
  <c r="V296" i="1" s="1" a="1"/>
  <c r="V296" i="1" s="1"/>
  <c r="X296" i="1"/>
  <c r="AA296" i="1" s="1" a="1"/>
  <c r="AA296" i="1" s="1"/>
  <c r="AC296" i="1"/>
  <c r="AF296" i="1" s="1" a="1"/>
  <c r="AF296" i="1" s="1"/>
  <c r="AH296" i="1"/>
  <c r="AI296" i="1"/>
  <c r="N297" i="1"/>
  <c r="Q297" i="1" s="1" a="1"/>
  <c r="Q297" i="1" s="1"/>
  <c r="S297" i="1"/>
  <c r="V297" i="1" s="1" a="1"/>
  <c r="V297" i="1" s="1"/>
  <c r="X297" i="1"/>
  <c r="AA297" i="1" s="1" a="1"/>
  <c r="AA297" i="1" s="1"/>
  <c r="AC297" i="1"/>
  <c r="AF297" i="1" s="1" a="1"/>
  <c r="AF297" i="1" s="1"/>
  <c r="AH297" i="1"/>
  <c r="AI297" i="1"/>
  <c r="N298" i="1"/>
  <c r="Q298" i="1" s="1" a="1"/>
  <c r="Q298" i="1" s="1"/>
  <c r="S298" i="1"/>
  <c r="V298" i="1" s="1" a="1"/>
  <c r="V298" i="1" s="1"/>
  <c r="X298" i="1"/>
  <c r="AA298" i="1" s="1" a="1"/>
  <c r="AA298" i="1" s="1"/>
  <c r="AC298" i="1"/>
  <c r="AF298" i="1" s="1" a="1"/>
  <c r="AF298" i="1" s="1"/>
  <c r="AH298" i="1"/>
  <c r="AI298" i="1"/>
  <c r="N299" i="1"/>
  <c r="Q299" i="1" s="1" a="1"/>
  <c r="Q299" i="1" s="1"/>
  <c r="S299" i="1"/>
  <c r="V299" i="1" s="1" a="1"/>
  <c r="V299" i="1" s="1"/>
  <c r="X299" i="1"/>
  <c r="AA299" i="1" s="1" a="1"/>
  <c r="AA299" i="1" s="1"/>
  <c r="AC299" i="1"/>
  <c r="AF299" i="1" s="1" a="1"/>
  <c r="AF299" i="1" s="1"/>
  <c r="AH299" i="1"/>
  <c r="AI299" i="1"/>
  <c r="N300" i="1"/>
  <c r="Q300" i="1" s="1" a="1"/>
  <c r="Q300" i="1" s="1"/>
  <c r="S300" i="1"/>
  <c r="V300" i="1" s="1" a="1"/>
  <c r="V300" i="1" s="1"/>
  <c r="X300" i="1"/>
  <c r="AA300" i="1" s="1" a="1"/>
  <c r="AA300" i="1" s="1"/>
  <c r="AC300" i="1"/>
  <c r="AF300" i="1" s="1" a="1"/>
  <c r="AF300" i="1" s="1"/>
  <c r="AH300" i="1"/>
  <c r="AI300" i="1"/>
  <c r="N301" i="1"/>
  <c r="Q301" i="1" s="1" a="1"/>
  <c r="Q301" i="1" s="1"/>
  <c r="S301" i="1"/>
  <c r="V301" i="1" s="1" a="1"/>
  <c r="V301" i="1" s="1"/>
  <c r="X301" i="1"/>
  <c r="AA301" i="1" s="1" a="1"/>
  <c r="AA301" i="1" s="1"/>
  <c r="AC301" i="1"/>
  <c r="AF301" i="1" s="1" a="1"/>
  <c r="AF301" i="1" s="1"/>
  <c r="AH301" i="1"/>
  <c r="AI301" i="1"/>
  <c r="N302" i="1"/>
  <c r="Q302" i="1" s="1" a="1"/>
  <c r="Q302" i="1" s="1"/>
  <c r="S302" i="1"/>
  <c r="V302" i="1" s="1" a="1"/>
  <c r="V302" i="1" s="1"/>
  <c r="X302" i="1"/>
  <c r="AA302" i="1" s="1" a="1"/>
  <c r="AA302" i="1" s="1"/>
  <c r="AC302" i="1"/>
  <c r="AF302" i="1" s="1" a="1"/>
  <c r="AF302" i="1" s="1"/>
  <c r="AH302" i="1"/>
  <c r="AI302" i="1"/>
  <c r="N303" i="1"/>
  <c r="Q303" i="1" s="1" a="1"/>
  <c r="Q303" i="1" s="1"/>
  <c r="S303" i="1"/>
  <c r="V303" i="1" s="1" a="1"/>
  <c r="V303" i="1" s="1"/>
  <c r="X303" i="1"/>
  <c r="AA303" i="1" s="1" a="1"/>
  <c r="AA303" i="1" s="1"/>
  <c r="AC303" i="1"/>
  <c r="AF303" i="1" s="1" a="1"/>
  <c r="AF303" i="1" s="1"/>
  <c r="AH303" i="1"/>
  <c r="AI303" i="1"/>
  <c r="N304" i="1"/>
  <c r="Q304" i="1" s="1" a="1"/>
  <c r="Q304" i="1" s="1"/>
  <c r="S304" i="1"/>
  <c r="V304" i="1" s="1" a="1"/>
  <c r="V304" i="1" s="1"/>
  <c r="X304" i="1"/>
  <c r="AA304" i="1" s="1" a="1"/>
  <c r="AA304" i="1" s="1"/>
  <c r="AC304" i="1"/>
  <c r="AF304" i="1" s="1" a="1"/>
  <c r="AF304" i="1" s="1"/>
  <c r="AH304" i="1"/>
  <c r="AI304" i="1"/>
  <c r="N305" i="1"/>
  <c r="Q305" i="1" s="1" a="1"/>
  <c r="Q305" i="1" s="1"/>
  <c r="S305" i="1"/>
  <c r="V305" i="1" s="1" a="1"/>
  <c r="V305" i="1" s="1"/>
  <c r="X305" i="1"/>
  <c r="AA305" i="1" s="1" a="1"/>
  <c r="AA305" i="1" s="1"/>
  <c r="AC305" i="1"/>
  <c r="AF305" i="1" s="1" a="1"/>
  <c r="AF305" i="1" s="1"/>
  <c r="AH305" i="1"/>
  <c r="AI305" i="1"/>
  <c r="N306" i="1"/>
  <c r="Q306" i="1" s="1" a="1"/>
  <c r="Q306" i="1" s="1"/>
  <c r="S306" i="1"/>
  <c r="V306" i="1" s="1" a="1"/>
  <c r="V306" i="1" s="1"/>
  <c r="X306" i="1"/>
  <c r="AA306" i="1" s="1" a="1"/>
  <c r="AA306" i="1" s="1"/>
  <c r="AC306" i="1"/>
  <c r="AF306" i="1" s="1" a="1"/>
  <c r="AF306" i="1" s="1"/>
  <c r="AH306" i="1"/>
  <c r="AI306" i="1"/>
  <c r="N307" i="1"/>
  <c r="Q307" i="1" s="1" a="1"/>
  <c r="Q307" i="1" s="1"/>
  <c r="S307" i="1"/>
  <c r="V307" i="1" s="1" a="1"/>
  <c r="V307" i="1" s="1"/>
  <c r="X307" i="1"/>
  <c r="AA307" i="1" s="1" a="1"/>
  <c r="AA307" i="1" s="1"/>
  <c r="AC307" i="1"/>
  <c r="AF307" i="1" s="1" a="1"/>
  <c r="AF307" i="1" s="1"/>
  <c r="AH307" i="1"/>
  <c r="AI307" i="1"/>
  <c r="N308" i="1"/>
  <c r="Q308" i="1" s="1" a="1"/>
  <c r="Q308" i="1" s="1"/>
  <c r="S308" i="1"/>
  <c r="V308" i="1" s="1" a="1"/>
  <c r="V308" i="1" s="1"/>
  <c r="X308" i="1"/>
  <c r="AA308" i="1" s="1" a="1"/>
  <c r="AA308" i="1" s="1"/>
  <c r="AC308" i="1"/>
  <c r="AF308" i="1" s="1" a="1"/>
  <c r="AF308" i="1" s="1"/>
  <c r="AH308" i="1"/>
  <c r="AI308" i="1"/>
  <c r="N309" i="1"/>
  <c r="Q309" i="1" s="1" a="1"/>
  <c r="Q309" i="1" s="1"/>
  <c r="S309" i="1"/>
  <c r="V309" i="1" s="1" a="1"/>
  <c r="V309" i="1" s="1"/>
  <c r="X309" i="1"/>
  <c r="AA309" i="1" s="1" a="1"/>
  <c r="AA309" i="1" s="1"/>
  <c r="AC309" i="1"/>
  <c r="AF309" i="1" s="1" a="1"/>
  <c r="AF309" i="1" s="1"/>
  <c r="AH309" i="1"/>
  <c r="AI309" i="1"/>
  <c r="N310" i="1"/>
  <c r="Q310" i="1" s="1" a="1"/>
  <c r="Q310" i="1" s="1"/>
  <c r="S310" i="1"/>
  <c r="V310" i="1" s="1" a="1"/>
  <c r="V310" i="1" s="1"/>
  <c r="X310" i="1"/>
  <c r="AA310" i="1" s="1" a="1"/>
  <c r="AA310" i="1" s="1"/>
  <c r="AC310" i="1"/>
  <c r="AF310" i="1" s="1" a="1"/>
  <c r="AF310" i="1" s="1"/>
  <c r="AH310" i="1"/>
  <c r="AI310" i="1"/>
  <c r="N311" i="1"/>
  <c r="Q311" i="1" s="1" a="1"/>
  <c r="Q311" i="1" s="1"/>
  <c r="S311" i="1"/>
  <c r="V311" i="1" s="1" a="1"/>
  <c r="V311" i="1" s="1"/>
  <c r="X311" i="1"/>
  <c r="AA311" i="1" s="1" a="1"/>
  <c r="AA311" i="1" s="1"/>
  <c r="AC311" i="1"/>
  <c r="AF311" i="1" s="1" a="1"/>
  <c r="AF311" i="1" s="1"/>
  <c r="AH311" i="1"/>
  <c r="AI311" i="1"/>
  <c r="N312" i="1"/>
  <c r="Q312" i="1" s="1" a="1"/>
  <c r="Q312" i="1" s="1"/>
  <c r="S312" i="1"/>
  <c r="V312" i="1" s="1" a="1"/>
  <c r="V312" i="1" s="1"/>
  <c r="X312" i="1"/>
  <c r="AA312" i="1" s="1" a="1"/>
  <c r="AA312" i="1" s="1"/>
  <c r="AC312" i="1"/>
  <c r="AF312" i="1" s="1" a="1"/>
  <c r="AF312" i="1" s="1"/>
  <c r="AH312" i="1"/>
  <c r="AI312" i="1"/>
  <c r="N313" i="1"/>
  <c r="Q313" i="1" s="1" a="1"/>
  <c r="Q313" i="1" s="1"/>
  <c r="S313" i="1"/>
  <c r="V313" i="1" s="1" a="1"/>
  <c r="V313" i="1" s="1"/>
  <c r="X313" i="1"/>
  <c r="AA313" i="1" s="1" a="1"/>
  <c r="AA313" i="1" s="1"/>
  <c r="AC313" i="1"/>
  <c r="AF313" i="1" s="1" a="1"/>
  <c r="AF313" i="1" s="1"/>
  <c r="AH313" i="1"/>
  <c r="AI313" i="1"/>
  <c r="N314" i="1"/>
  <c r="Q314" i="1" s="1" a="1"/>
  <c r="Q314" i="1" s="1"/>
  <c r="S314" i="1"/>
  <c r="V314" i="1" s="1" a="1"/>
  <c r="V314" i="1" s="1"/>
  <c r="X314" i="1"/>
  <c r="AA314" i="1" s="1" a="1"/>
  <c r="AA314" i="1" s="1"/>
  <c r="AC314" i="1"/>
  <c r="AF314" i="1" s="1" a="1"/>
  <c r="AF314" i="1" s="1"/>
  <c r="AH314" i="1"/>
  <c r="AI314" i="1"/>
  <c r="N315" i="1"/>
  <c r="Q315" i="1" s="1" a="1"/>
  <c r="Q315" i="1" s="1"/>
  <c r="S315" i="1"/>
  <c r="V315" i="1" s="1" a="1"/>
  <c r="V315" i="1" s="1"/>
  <c r="X315" i="1"/>
  <c r="AA315" i="1" s="1" a="1"/>
  <c r="AA315" i="1" s="1"/>
  <c r="AC315" i="1"/>
  <c r="AF315" i="1" s="1" a="1"/>
  <c r="AF315" i="1" s="1"/>
  <c r="AH315" i="1"/>
  <c r="AI315" i="1"/>
  <c r="N316" i="1"/>
  <c r="Q316" i="1" s="1" a="1"/>
  <c r="Q316" i="1" s="1"/>
  <c r="S316" i="1"/>
  <c r="V316" i="1" s="1" a="1"/>
  <c r="V316" i="1" s="1"/>
  <c r="X316" i="1"/>
  <c r="AA316" i="1" s="1" a="1"/>
  <c r="AA316" i="1" s="1"/>
  <c r="AC316" i="1"/>
  <c r="AF316" i="1" s="1" a="1"/>
  <c r="AF316" i="1" s="1"/>
  <c r="AH316" i="1"/>
  <c r="AI316" i="1"/>
  <c r="N317" i="1"/>
  <c r="Q317" i="1" s="1" a="1"/>
  <c r="Q317" i="1" s="1"/>
  <c r="S317" i="1"/>
  <c r="V317" i="1" s="1" a="1"/>
  <c r="V317" i="1" s="1"/>
  <c r="X317" i="1"/>
  <c r="AA317" i="1" s="1" a="1"/>
  <c r="AA317" i="1" s="1"/>
  <c r="AC317" i="1"/>
  <c r="AF317" i="1" s="1" a="1"/>
  <c r="AF317" i="1" s="1"/>
  <c r="AH317" i="1"/>
  <c r="AI317" i="1"/>
  <c r="N318" i="1"/>
  <c r="Q318" i="1" s="1" a="1"/>
  <c r="Q318" i="1" s="1"/>
  <c r="S318" i="1"/>
  <c r="V318" i="1" s="1" a="1"/>
  <c r="V318" i="1" s="1"/>
  <c r="X318" i="1"/>
  <c r="AA318" i="1" s="1" a="1"/>
  <c r="AA318" i="1" s="1"/>
  <c r="AC318" i="1"/>
  <c r="AF318" i="1" s="1" a="1"/>
  <c r="AF318" i="1" s="1"/>
  <c r="AH318" i="1"/>
  <c r="AI318" i="1"/>
  <c r="N319" i="1"/>
  <c r="Q319" i="1" s="1" a="1"/>
  <c r="Q319" i="1" s="1"/>
  <c r="S319" i="1"/>
  <c r="V319" i="1" s="1" a="1"/>
  <c r="V319" i="1" s="1"/>
  <c r="X319" i="1"/>
  <c r="AA319" i="1" s="1" a="1"/>
  <c r="AA319" i="1" s="1"/>
  <c r="AC319" i="1"/>
  <c r="AF319" i="1" s="1" a="1"/>
  <c r="AF319" i="1" s="1"/>
  <c r="AH319" i="1"/>
  <c r="AI319" i="1"/>
  <c r="N320" i="1"/>
  <c r="Q320" i="1" s="1" a="1"/>
  <c r="Q320" i="1" s="1"/>
  <c r="S320" i="1"/>
  <c r="V320" i="1" s="1" a="1"/>
  <c r="V320" i="1" s="1"/>
  <c r="X320" i="1"/>
  <c r="AA320" i="1" s="1" a="1"/>
  <c r="AA320" i="1" s="1"/>
  <c r="AC320" i="1"/>
  <c r="AF320" i="1" s="1" a="1"/>
  <c r="AF320" i="1" s="1"/>
  <c r="AH320" i="1"/>
  <c r="AI320" i="1"/>
  <c r="N321" i="1"/>
  <c r="Q321" i="1" s="1" a="1"/>
  <c r="Q321" i="1" s="1"/>
  <c r="S321" i="1"/>
  <c r="V321" i="1" s="1" a="1"/>
  <c r="V321" i="1" s="1"/>
  <c r="X321" i="1"/>
  <c r="AA321" i="1" s="1" a="1"/>
  <c r="AA321" i="1" s="1"/>
  <c r="AC321" i="1"/>
  <c r="AF321" i="1" s="1" a="1"/>
  <c r="AF321" i="1" s="1"/>
  <c r="AH321" i="1"/>
  <c r="AI321" i="1"/>
  <c r="N322" i="1"/>
  <c r="Q322" i="1" s="1" a="1"/>
  <c r="Q322" i="1" s="1"/>
  <c r="S322" i="1"/>
  <c r="V322" i="1" s="1" a="1"/>
  <c r="V322" i="1" s="1"/>
  <c r="X322" i="1"/>
  <c r="AA322" i="1" s="1" a="1"/>
  <c r="AA322" i="1" s="1"/>
  <c r="AC322" i="1"/>
  <c r="AF322" i="1" s="1" a="1"/>
  <c r="AF322" i="1" s="1"/>
  <c r="AH322" i="1"/>
  <c r="AI322" i="1"/>
  <c r="N323" i="1"/>
  <c r="Q323" i="1" s="1" a="1"/>
  <c r="Q323" i="1" s="1"/>
  <c r="S323" i="1"/>
  <c r="V323" i="1" s="1" a="1"/>
  <c r="V323" i="1" s="1"/>
  <c r="X323" i="1"/>
  <c r="AA323" i="1" s="1" a="1"/>
  <c r="AA323" i="1" s="1"/>
  <c r="AC323" i="1"/>
  <c r="AF323" i="1" s="1" a="1"/>
  <c r="AF323" i="1" s="1"/>
  <c r="AH323" i="1"/>
  <c r="AI323" i="1"/>
  <c r="N324" i="1"/>
  <c r="Q324" i="1" s="1" a="1"/>
  <c r="Q324" i="1" s="1"/>
  <c r="S324" i="1"/>
  <c r="V324" i="1" s="1" a="1"/>
  <c r="V324" i="1" s="1"/>
  <c r="X324" i="1"/>
  <c r="AA324" i="1" s="1" a="1"/>
  <c r="AA324" i="1" s="1"/>
  <c r="AC324" i="1"/>
  <c r="AF324" i="1" s="1" a="1"/>
  <c r="AF324" i="1" s="1"/>
  <c r="AH324" i="1"/>
  <c r="AI324" i="1"/>
  <c r="N325" i="1"/>
  <c r="Q325" i="1" s="1" a="1"/>
  <c r="Q325" i="1" s="1"/>
  <c r="S325" i="1"/>
  <c r="V325" i="1" s="1" a="1"/>
  <c r="V325" i="1" s="1"/>
  <c r="X325" i="1"/>
  <c r="AA325" i="1" s="1" a="1"/>
  <c r="AA325" i="1" s="1"/>
  <c r="AC325" i="1"/>
  <c r="AF325" i="1" s="1" a="1"/>
  <c r="AF325" i="1" s="1"/>
  <c r="AH325" i="1"/>
  <c r="AI325" i="1"/>
  <c r="N326" i="1"/>
  <c r="Q326" i="1" s="1" a="1"/>
  <c r="Q326" i="1" s="1"/>
  <c r="S326" i="1"/>
  <c r="V326" i="1" s="1" a="1"/>
  <c r="V326" i="1" s="1"/>
  <c r="X326" i="1"/>
  <c r="AA326" i="1" s="1" a="1"/>
  <c r="AA326" i="1" s="1"/>
  <c r="AC326" i="1"/>
  <c r="AF326" i="1" s="1" a="1"/>
  <c r="AF326" i="1" s="1"/>
  <c r="AH326" i="1"/>
  <c r="AI326" i="1"/>
  <c r="N327" i="1"/>
  <c r="Q327" i="1" s="1" a="1"/>
  <c r="Q327" i="1" s="1"/>
  <c r="S327" i="1"/>
  <c r="V327" i="1" s="1" a="1"/>
  <c r="V327" i="1" s="1"/>
  <c r="X327" i="1"/>
  <c r="AA327" i="1" s="1" a="1"/>
  <c r="AA327" i="1" s="1"/>
  <c r="AC327" i="1"/>
  <c r="AF327" i="1" s="1" a="1"/>
  <c r="AF327" i="1" s="1"/>
  <c r="AH327" i="1"/>
  <c r="AI327" i="1"/>
  <c r="N328" i="1"/>
  <c r="Q328" i="1" s="1" a="1"/>
  <c r="Q328" i="1" s="1"/>
  <c r="S328" i="1"/>
  <c r="V328" i="1" s="1" a="1"/>
  <c r="V328" i="1" s="1"/>
  <c r="X328" i="1"/>
  <c r="AA328" i="1" s="1" a="1"/>
  <c r="AA328" i="1" s="1"/>
  <c r="AC328" i="1"/>
  <c r="AF328" i="1" s="1" a="1"/>
  <c r="AF328" i="1" s="1"/>
  <c r="AH328" i="1"/>
  <c r="AI328" i="1"/>
  <c r="N329" i="1"/>
  <c r="Q329" i="1" s="1" a="1"/>
  <c r="Q329" i="1" s="1"/>
  <c r="S329" i="1"/>
  <c r="V329" i="1" s="1" a="1"/>
  <c r="V329" i="1" s="1"/>
  <c r="X329" i="1"/>
  <c r="AA329" i="1" s="1" a="1"/>
  <c r="AA329" i="1" s="1"/>
  <c r="AC329" i="1"/>
  <c r="AF329" i="1" s="1" a="1"/>
  <c r="AF329" i="1" s="1"/>
  <c r="AH329" i="1"/>
  <c r="AI329" i="1"/>
  <c r="N330" i="1"/>
  <c r="Q330" i="1" s="1" a="1"/>
  <c r="Q330" i="1" s="1"/>
  <c r="S330" i="1"/>
  <c r="V330" i="1" s="1" a="1"/>
  <c r="V330" i="1" s="1"/>
  <c r="X330" i="1"/>
  <c r="AA330" i="1" s="1" a="1"/>
  <c r="AA330" i="1" s="1"/>
  <c r="AC330" i="1"/>
  <c r="AF330" i="1" s="1" a="1"/>
  <c r="AF330" i="1" s="1"/>
  <c r="AH330" i="1"/>
  <c r="AI330" i="1"/>
  <c r="N331" i="1"/>
  <c r="Q331" i="1" s="1" a="1"/>
  <c r="Q331" i="1" s="1"/>
  <c r="S331" i="1"/>
  <c r="V331" i="1" s="1" a="1"/>
  <c r="V331" i="1" s="1"/>
  <c r="X331" i="1"/>
  <c r="AA331" i="1" s="1" a="1"/>
  <c r="AA331" i="1" s="1"/>
  <c r="AC331" i="1"/>
  <c r="AF331" i="1" s="1" a="1"/>
  <c r="AF331" i="1" s="1"/>
  <c r="AH331" i="1"/>
  <c r="AI331" i="1"/>
  <c r="N332" i="1"/>
  <c r="Q332" i="1" s="1" a="1"/>
  <c r="Q332" i="1" s="1"/>
  <c r="S332" i="1"/>
  <c r="V332" i="1" s="1" a="1"/>
  <c r="V332" i="1" s="1"/>
  <c r="X332" i="1"/>
  <c r="AA332" i="1" s="1" a="1"/>
  <c r="AA332" i="1" s="1"/>
  <c r="AC332" i="1"/>
  <c r="AF332" i="1" s="1" a="1"/>
  <c r="AF332" i="1" s="1"/>
  <c r="AH332" i="1"/>
  <c r="AI332" i="1"/>
  <c r="N333" i="1"/>
  <c r="Q333" i="1" s="1" a="1"/>
  <c r="Q333" i="1" s="1"/>
  <c r="S333" i="1"/>
  <c r="V333" i="1" s="1" a="1"/>
  <c r="V333" i="1" s="1"/>
  <c r="X333" i="1"/>
  <c r="AA333" i="1" s="1" a="1"/>
  <c r="AA333" i="1" s="1"/>
  <c r="AC333" i="1"/>
  <c r="AF333" i="1" s="1" a="1"/>
  <c r="AF333" i="1" s="1"/>
  <c r="AH333" i="1"/>
  <c r="AI333" i="1"/>
  <c r="N334" i="1"/>
  <c r="Q334" i="1" s="1" a="1"/>
  <c r="Q334" i="1" s="1"/>
  <c r="S334" i="1"/>
  <c r="V334" i="1" s="1" a="1"/>
  <c r="V334" i="1" s="1"/>
  <c r="X334" i="1"/>
  <c r="AA334" i="1" s="1" a="1"/>
  <c r="AA334" i="1" s="1"/>
  <c r="AC334" i="1"/>
  <c r="AF334" i="1" s="1" a="1"/>
  <c r="AF334" i="1" s="1"/>
  <c r="AH334" i="1"/>
  <c r="AI334" i="1"/>
  <c r="N335" i="1"/>
  <c r="Q335" i="1" s="1" a="1"/>
  <c r="Q335" i="1" s="1"/>
  <c r="S335" i="1"/>
  <c r="V335" i="1" s="1" a="1"/>
  <c r="V335" i="1" s="1"/>
  <c r="X335" i="1"/>
  <c r="AA335" i="1" s="1" a="1"/>
  <c r="AA335" i="1" s="1"/>
  <c r="AC335" i="1"/>
  <c r="AF335" i="1" s="1" a="1"/>
  <c r="AF335" i="1" s="1"/>
  <c r="AH335" i="1"/>
  <c r="AI335" i="1"/>
  <c r="N336" i="1"/>
  <c r="Q336" i="1" s="1" a="1"/>
  <c r="Q336" i="1" s="1"/>
  <c r="S336" i="1"/>
  <c r="V336" i="1" s="1" a="1"/>
  <c r="V336" i="1" s="1"/>
  <c r="X336" i="1"/>
  <c r="AA336" i="1" s="1" a="1"/>
  <c r="AA336" i="1" s="1"/>
  <c r="AC336" i="1"/>
  <c r="AF336" i="1" s="1" a="1"/>
  <c r="AF336" i="1" s="1"/>
  <c r="AH336" i="1"/>
  <c r="AI336" i="1"/>
  <c r="N337" i="1"/>
  <c r="Q337" i="1" s="1" a="1"/>
  <c r="Q337" i="1" s="1"/>
  <c r="S337" i="1"/>
  <c r="V337" i="1" s="1" a="1"/>
  <c r="V337" i="1" s="1"/>
  <c r="X337" i="1"/>
  <c r="AA337" i="1" s="1" a="1"/>
  <c r="AA337" i="1" s="1"/>
  <c r="AC337" i="1"/>
  <c r="AF337" i="1" s="1" a="1"/>
  <c r="AF337" i="1" s="1"/>
  <c r="AH337" i="1"/>
  <c r="AI337" i="1"/>
  <c r="N338" i="1"/>
  <c r="Q338" i="1" s="1" a="1"/>
  <c r="Q338" i="1" s="1"/>
  <c r="S338" i="1"/>
  <c r="V338" i="1" s="1" a="1"/>
  <c r="V338" i="1" s="1"/>
  <c r="X338" i="1"/>
  <c r="AA338" i="1" s="1" a="1"/>
  <c r="AA338" i="1" s="1"/>
  <c r="AC338" i="1"/>
  <c r="AF338" i="1" s="1" a="1"/>
  <c r="AF338" i="1" s="1"/>
  <c r="AH338" i="1"/>
  <c r="AI338" i="1"/>
  <c r="N339" i="1"/>
  <c r="Q339" i="1" s="1" a="1"/>
  <c r="Q339" i="1" s="1"/>
  <c r="S339" i="1"/>
  <c r="V339" i="1" s="1" a="1"/>
  <c r="V339" i="1" s="1"/>
  <c r="X339" i="1"/>
  <c r="AA339" i="1" s="1" a="1"/>
  <c r="AA339" i="1" s="1"/>
  <c r="AC339" i="1"/>
  <c r="AF339" i="1" s="1" a="1"/>
  <c r="AF339" i="1" s="1"/>
  <c r="N340" i="1"/>
  <c r="Q340" i="1" s="1" a="1"/>
  <c r="Q340" i="1" s="1"/>
  <c r="S340" i="1"/>
  <c r="V340" i="1" s="1" a="1"/>
  <c r="V340" i="1" s="1"/>
  <c r="X340" i="1"/>
  <c r="AA340" i="1" s="1" a="1"/>
  <c r="AA340" i="1" s="1"/>
  <c r="AC340" i="1"/>
  <c r="AF340" i="1" s="1" a="1"/>
  <c r="AF340" i="1" s="1"/>
  <c r="AH340" i="1"/>
  <c r="AI340" i="1"/>
  <c r="N341" i="1"/>
  <c r="Q341" i="1" s="1" a="1"/>
  <c r="Q341" i="1" s="1"/>
  <c r="S341" i="1"/>
  <c r="V341" i="1" s="1" a="1"/>
  <c r="V341" i="1" s="1"/>
  <c r="X341" i="1"/>
  <c r="AA341" i="1" s="1" a="1"/>
  <c r="AA341" i="1" s="1"/>
  <c r="AC341" i="1"/>
  <c r="AF341" i="1" s="1" a="1"/>
  <c r="AF341" i="1" s="1"/>
  <c r="AH341" i="1"/>
  <c r="AI341" i="1"/>
  <c r="N342" i="1"/>
  <c r="Q342" i="1" s="1" a="1"/>
  <c r="Q342" i="1" s="1"/>
  <c r="S342" i="1"/>
  <c r="V342" i="1" s="1" a="1"/>
  <c r="V342" i="1" s="1"/>
  <c r="X342" i="1"/>
  <c r="AA342" i="1" s="1" a="1"/>
  <c r="AA342" i="1" s="1"/>
  <c r="AC342" i="1"/>
  <c r="AF342" i="1" s="1" a="1"/>
  <c r="AF342" i="1" s="1"/>
  <c r="AH342" i="1"/>
  <c r="AI342" i="1"/>
  <c r="N343" i="1"/>
  <c r="Q343" i="1" s="1" a="1"/>
  <c r="Q343" i="1" s="1"/>
  <c r="S343" i="1"/>
  <c r="V343" i="1" s="1" a="1"/>
  <c r="V343" i="1" s="1"/>
  <c r="X343" i="1"/>
  <c r="AA343" i="1" s="1" a="1"/>
  <c r="AA343" i="1" s="1"/>
  <c r="AC343" i="1"/>
  <c r="AF343" i="1" s="1" a="1"/>
  <c r="AF343" i="1" s="1"/>
  <c r="AH343" i="1"/>
  <c r="AI343" i="1"/>
  <c r="N344" i="1"/>
  <c r="Q344" i="1" s="1" a="1"/>
  <c r="Q344" i="1" s="1"/>
  <c r="S344" i="1"/>
  <c r="V344" i="1" s="1" a="1"/>
  <c r="V344" i="1" s="1"/>
  <c r="X344" i="1"/>
  <c r="AA344" i="1" s="1" a="1"/>
  <c r="AA344" i="1" s="1"/>
  <c r="AC344" i="1"/>
  <c r="AF344" i="1" s="1" a="1"/>
  <c r="AF344" i="1" s="1"/>
  <c r="AH344" i="1"/>
  <c r="AI344" i="1"/>
  <c r="N345" i="1"/>
  <c r="Q345" i="1" s="1" a="1"/>
  <c r="Q345" i="1" s="1"/>
  <c r="S345" i="1"/>
  <c r="V345" i="1" s="1" a="1"/>
  <c r="V345" i="1" s="1"/>
  <c r="X345" i="1"/>
  <c r="AA345" i="1" s="1" a="1"/>
  <c r="AA345" i="1" s="1"/>
  <c r="AC345" i="1"/>
  <c r="AF345" i="1" s="1" a="1"/>
  <c r="AF345" i="1" s="1"/>
  <c r="AH345" i="1"/>
  <c r="AI345" i="1"/>
  <c r="N346" i="1"/>
  <c r="Q346" i="1" s="1" a="1"/>
  <c r="Q346" i="1" s="1"/>
  <c r="S346" i="1"/>
  <c r="V346" i="1" s="1" a="1"/>
  <c r="V346" i="1" s="1"/>
  <c r="X346" i="1"/>
  <c r="AA346" i="1" s="1" a="1"/>
  <c r="AA346" i="1" s="1"/>
  <c r="AC346" i="1"/>
  <c r="AF346" i="1" s="1" a="1"/>
  <c r="AF346" i="1" s="1"/>
  <c r="AH346" i="1"/>
  <c r="AI346" i="1"/>
  <c r="N347" i="1"/>
  <c r="Q347" i="1" s="1" a="1"/>
  <c r="Q347" i="1" s="1"/>
  <c r="S347" i="1"/>
  <c r="V347" i="1" s="1" a="1"/>
  <c r="V347" i="1" s="1"/>
  <c r="X347" i="1"/>
  <c r="AA347" i="1" s="1" a="1"/>
  <c r="AA347" i="1" s="1"/>
  <c r="AC347" i="1"/>
  <c r="AF347" i="1" s="1" a="1"/>
  <c r="AF347" i="1" s="1"/>
  <c r="AH347" i="1"/>
  <c r="AI347" i="1"/>
  <c r="N348" i="1"/>
  <c r="Q348" i="1" s="1" a="1"/>
  <c r="Q348" i="1" s="1"/>
  <c r="S348" i="1"/>
  <c r="V348" i="1" s="1" a="1"/>
  <c r="V348" i="1" s="1"/>
  <c r="X348" i="1"/>
  <c r="AA348" i="1" s="1" a="1"/>
  <c r="AA348" i="1" s="1"/>
  <c r="AC348" i="1"/>
  <c r="AF348" i="1" s="1" a="1"/>
  <c r="AF348" i="1" s="1"/>
  <c r="AH348" i="1"/>
  <c r="AI348" i="1"/>
  <c r="N349" i="1"/>
  <c r="Q349" i="1" s="1" a="1"/>
  <c r="Q349" i="1" s="1"/>
  <c r="S349" i="1"/>
  <c r="V349" i="1" s="1" a="1"/>
  <c r="V349" i="1" s="1"/>
  <c r="X349" i="1"/>
  <c r="AA349" i="1" s="1" a="1"/>
  <c r="AA349" i="1" s="1"/>
  <c r="AC349" i="1"/>
  <c r="AF349" i="1" s="1" a="1"/>
  <c r="AF349" i="1" s="1"/>
  <c r="AH349" i="1"/>
  <c r="AI349" i="1"/>
  <c r="N350" i="1"/>
  <c r="Q350" i="1" s="1" a="1"/>
  <c r="Q350" i="1" s="1"/>
  <c r="S350" i="1"/>
  <c r="V350" i="1" s="1" a="1"/>
  <c r="V350" i="1" s="1"/>
  <c r="X350" i="1"/>
  <c r="AA350" i="1" s="1" a="1"/>
  <c r="AA350" i="1" s="1"/>
  <c r="AC350" i="1"/>
  <c r="AF350" i="1" s="1" a="1"/>
  <c r="AF350" i="1" s="1"/>
  <c r="AH350" i="1"/>
  <c r="AI350" i="1"/>
  <c r="N351" i="1"/>
  <c r="Q351" i="1" s="1" a="1"/>
  <c r="Q351" i="1" s="1"/>
  <c r="S351" i="1"/>
  <c r="V351" i="1" s="1" a="1"/>
  <c r="V351" i="1" s="1"/>
  <c r="X351" i="1"/>
  <c r="AA351" i="1" s="1" a="1"/>
  <c r="AA351" i="1" s="1"/>
  <c r="AC351" i="1"/>
  <c r="AF351" i="1" s="1" a="1"/>
  <c r="AF351" i="1" s="1"/>
  <c r="AH351" i="1"/>
  <c r="AI351" i="1"/>
  <c r="N352" i="1"/>
  <c r="Q352" i="1" s="1" a="1"/>
  <c r="Q352" i="1" s="1"/>
  <c r="S352" i="1"/>
  <c r="V352" i="1" s="1" a="1"/>
  <c r="V352" i="1" s="1"/>
  <c r="X352" i="1"/>
  <c r="AA352" i="1" s="1" a="1"/>
  <c r="AA352" i="1" s="1"/>
  <c r="AC352" i="1"/>
  <c r="AF352" i="1" s="1" a="1"/>
  <c r="AF352" i="1" s="1"/>
  <c r="AH352" i="1"/>
  <c r="AI352" i="1"/>
  <c r="N353" i="1"/>
  <c r="Q353" i="1" s="1" a="1"/>
  <c r="Q353" i="1" s="1"/>
  <c r="S353" i="1"/>
  <c r="V353" i="1" s="1" a="1"/>
  <c r="V353" i="1" s="1"/>
  <c r="X353" i="1"/>
  <c r="AA353" i="1" s="1" a="1"/>
  <c r="AA353" i="1" s="1"/>
  <c r="AC353" i="1"/>
  <c r="AF353" i="1" s="1" a="1"/>
  <c r="AF353" i="1" s="1"/>
  <c r="AH353" i="1"/>
  <c r="AI353" i="1"/>
  <c r="AO335" i="1" l="1"/>
  <c r="AP335" i="1"/>
  <c r="AO331" i="1"/>
  <c r="AP331" i="1"/>
  <c r="AO327" i="1"/>
  <c r="AP327" i="1"/>
  <c r="AO323" i="1"/>
  <c r="AP323" i="1"/>
  <c r="AO319" i="1"/>
  <c r="AP319" i="1"/>
  <c r="AO315" i="1"/>
  <c r="AP315" i="1"/>
  <c r="AO311" i="1"/>
  <c r="AP311" i="1"/>
  <c r="AO307" i="1"/>
  <c r="AP307" i="1"/>
  <c r="AO303" i="1"/>
  <c r="AP303" i="1"/>
  <c r="AO299" i="1"/>
  <c r="AP299" i="1"/>
  <c r="AO295" i="1"/>
  <c r="AP295" i="1"/>
  <c r="AO291" i="1"/>
  <c r="AP291" i="1"/>
  <c r="AO287" i="1"/>
  <c r="AP287" i="1"/>
  <c r="AO283" i="1"/>
  <c r="AP283" i="1"/>
  <c r="AO279" i="1"/>
  <c r="AP279" i="1"/>
  <c r="AO275" i="1"/>
  <c r="AP275" i="1"/>
  <c r="AO271" i="1"/>
  <c r="AP271" i="1"/>
  <c r="AO267" i="1"/>
  <c r="AP267" i="1"/>
  <c r="AO263" i="1"/>
  <c r="AP263" i="1"/>
  <c r="AO259" i="1"/>
  <c r="AP259" i="1"/>
  <c r="AO255" i="1"/>
  <c r="AP255" i="1"/>
  <c r="AO251" i="1"/>
  <c r="AP251" i="1"/>
  <c r="AO247" i="1"/>
  <c r="AP247" i="1"/>
  <c r="AO243" i="1"/>
  <c r="AP243" i="1"/>
  <c r="AO239" i="1"/>
  <c r="AP239" i="1"/>
  <c r="AO235" i="1"/>
  <c r="AP235" i="1"/>
  <c r="AO231" i="1"/>
  <c r="AP231" i="1"/>
  <c r="AO227" i="1"/>
  <c r="AP227" i="1"/>
  <c r="AO223" i="1"/>
  <c r="AP223" i="1"/>
  <c r="AO219" i="1"/>
  <c r="AP219" i="1"/>
  <c r="AO215" i="1"/>
  <c r="AP215" i="1"/>
  <c r="AO211" i="1"/>
  <c r="AP211" i="1"/>
  <c r="AO207" i="1"/>
  <c r="AP207" i="1"/>
  <c r="AO203" i="1"/>
  <c r="AP203" i="1"/>
  <c r="AO199" i="1"/>
  <c r="AP199" i="1"/>
  <c r="AO195" i="1"/>
  <c r="AP195" i="1"/>
  <c r="AO191" i="1"/>
  <c r="AP191" i="1"/>
  <c r="AO187" i="1"/>
  <c r="AP187" i="1"/>
  <c r="AO183" i="1"/>
  <c r="AP183" i="1"/>
  <c r="AO179" i="1"/>
  <c r="AP179" i="1"/>
  <c r="AO175" i="1"/>
  <c r="AP175" i="1"/>
  <c r="AO171" i="1"/>
  <c r="AP171" i="1"/>
  <c r="AO167" i="1"/>
  <c r="AP167" i="1"/>
  <c r="AO163" i="1"/>
  <c r="AP163" i="1"/>
  <c r="AO159" i="1"/>
  <c r="AP159" i="1"/>
  <c r="AO155" i="1"/>
  <c r="AP155" i="1"/>
  <c r="AO151" i="1"/>
  <c r="AP151" i="1"/>
  <c r="AO147" i="1"/>
  <c r="AP147" i="1"/>
  <c r="AO143" i="1"/>
  <c r="AP143" i="1"/>
  <c r="AO139" i="1"/>
  <c r="AP139" i="1"/>
  <c r="AO135" i="1"/>
  <c r="AP135" i="1"/>
  <c r="AO131" i="1"/>
  <c r="AP131" i="1"/>
  <c r="AO127" i="1"/>
  <c r="AP127" i="1"/>
  <c r="AO123" i="1"/>
  <c r="AP123" i="1"/>
  <c r="AO119" i="1"/>
  <c r="AP119" i="1"/>
  <c r="AO115" i="1"/>
  <c r="AP115" i="1"/>
  <c r="AO111" i="1"/>
  <c r="AP111" i="1"/>
  <c r="AO107" i="1"/>
  <c r="AP107" i="1"/>
  <c r="AO103" i="1"/>
  <c r="AP103" i="1"/>
  <c r="AO99" i="1"/>
  <c r="AP99" i="1"/>
  <c r="AO95" i="1"/>
  <c r="AP95" i="1"/>
  <c r="AO91" i="1"/>
  <c r="AP91" i="1"/>
  <c r="AO87" i="1"/>
  <c r="AP87" i="1"/>
  <c r="AO83" i="1"/>
  <c r="AP83" i="1"/>
  <c r="AO79" i="1"/>
  <c r="AP79" i="1"/>
  <c r="AO75" i="1"/>
  <c r="AP75" i="1"/>
  <c r="AO71" i="1"/>
  <c r="AP71" i="1"/>
  <c r="AO67" i="1"/>
  <c r="AP67" i="1"/>
  <c r="AO63" i="1"/>
  <c r="AP63" i="1"/>
  <c r="AO59" i="1"/>
  <c r="AP59" i="1"/>
  <c r="AO55" i="1"/>
  <c r="AP55" i="1"/>
  <c r="AO51" i="1"/>
  <c r="AP51" i="1"/>
  <c r="AO47" i="1"/>
  <c r="AP47" i="1"/>
  <c r="AO43" i="1"/>
  <c r="AP43" i="1"/>
  <c r="AO39" i="1"/>
  <c r="AP39" i="1"/>
  <c r="AO35" i="1"/>
  <c r="AP35" i="1"/>
  <c r="AO31" i="1"/>
  <c r="AP31" i="1"/>
  <c r="AO27" i="1"/>
  <c r="AP27" i="1"/>
  <c r="AO23" i="1"/>
  <c r="AP23" i="1"/>
  <c r="AO19" i="1"/>
  <c r="AP19" i="1"/>
  <c r="AO15" i="1"/>
  <c r="AP15" i="1"/>
  <c r="AO11" i="1"/>
  <c r="AP11" i="1"/>
  <c r="AO7" i="1"/>
  <c r="AP7" i="1"/>
  <c r="AO5" i="1"/>
  <c r="AP5" i="1"/>
  <c r="AO248" i="1"/>
  <c r="AP248" i="1"/>
  <c r="AO244" i="1"/>
  <c r="AP244" i="1"/>
  <c r="AO240" i="1"/>
  <c r="AP240" i="1"/>
  <c r="AO236" i="1"/>
  <c r="AP236" i="1"/>
  <c r="AO232" i="1"/>
  <c r="AP232" i="1"/>
  <c r="AO228" i="1"/>
  <c r="AP228" i="1"/>
  <c r="AO224" i="1"/>
  <c r="AP224" i="1"/>
  <c r="AO220" i="1"/>
  <c r="AP220" i="1"/>
  <c r="AO216" i="1"/>
  <c r="AP216" i="1"/>
  <c r="AO212" i="1"/>
  <c r="AP212" i="1"/>
  <c r="AO208" i="1"/>
  <c r="AP208" i="1"/>
  <c r="AO204" i="1"/>
  <c r="AP204" i="1"/>
  <c r="AO200" i="1"/>
  <c r="AP200" i="1"/>
  <c r="AO196" i="1"/>
  <c r="AP196" i="1"/>
  <c r="AO192" i="1"/>
  <c r="AP192" i="1"/>
  <c r="AO188" i="1"/>
  <c r="AP188" i="1"/>
  <c r="AO184" i="1"/>
  <c r="AP184" i="1"/>
  <c r="AO180" i="1"/>
  <c r="AP180" i="1"/>
  <c r="AO176" i="1"/>
  <c r="AP176" i="1"/>
  <c r="AO172" i="1"/>
  <c r="AP172" i="1"/>
  <c r="AO168" i="1"/>
  <c r="AP168" i="1"/>
  <c r="AO164" i="1"/>
  <c r="AP164" i="1"/>
  <c r="AO160" i="1"/>
  <c r="AP160" i="1"/>
  <c r="AO156" i="1"/>
  <c r="AP156" i="1"/>
  <c r="AO152" i="1"/>
  <c r="AP152" i="1"/>
  <c r="AO148" i="1"/>
  <c r="AP148" i="1"/>
  <c r="AO144" i="1"/>
  <c r="AP144" i="1"/>
  <c r="AO140" i="1"/>
  <c r="AP140" i="1"/>
  <c r="AO136" i="1"/>
  <c r="AP136" i="1"/>
  <c r="AO132" i="1"/>
  <c r="AP132" i="1"/>
  <c r="AO128" i="1"/>
  <c r="AP128" i="1"/>
  <c r="AO124" i="1"/>
  <c r="AP124" i="1"/>
  <c r="AO120" i="1"/>
  <c r="AP120" i="1"/>
  <c r="AO116" i="1"/>
  <c r="AP116" i="1"/>
  <c r="AO112" i="1"/>
  <c r="AP112" i="1"/>
  <c r="AO108" i="1"/>
  <c r="AP108" i="1"/>
  <c r="AO104" i="1"/>
  <c r="AP104" i="1"/>
  <c r="AO100" i="1"/>
  <c r="AP100" i="1"/>
  <c r="AO96" i="1"/>
  <c r="AP96" i="1"/>
  <c r="AO92" i="1"/>
  <c r="AP92" i="1"/>
  <c r="AO88" i="1"/>
  <c r="AP88" i="1"/>
  <c r="AO84" i="1"/>
  <c r="AP84" i="1"/>
  <c r="AO80" i="1"/>
  <c r="AP80" i="1"/>
  <c r="AO76" i="1"/>
  <c r="AP76" i="1"/>
  <c r="AO72" i="1"/>
  <c r="AP72" i="1"/>
  <c r="AO68" i="1"/>
  <c r="AP68" i="1"/>
  <c r="AO64" i="1"/>
  <c r="AP64" i="1"/>
  <c r="AO60" i="1"/>
  <c r="AP60" i="1"/>
  <c r="AO56" i="1"/>
  <c r="AP56" i="1"/>
  <c r="AO52" i="1"/>
  <c r="AP52" i="1"/>
  <c r="AO48" i="1"/>
  <c r="AP48" i="1"/>
  <c r="AO44" i="1"/>
  <c r="AP44" i="1"/>
  <c r="AO40" i="1"/>
  <c r="AP40" i="1"/>
  <c r="AO36" i="1"/>
  <c r="AP36" i="1"/>
  <c r="AO32" i="1"/>
  <c r="AP32" i="1"/>
  <c r="AO28" i="1"/>
  <c r="AP28" i="1"/>
  <c r="AO24" i="1"/>
  <c r="AP24" i="1"/>
  <c r="AO20" i="1"/>
  <c r="AP20" i="1"/>
  <c r="AO16" i="1"/>
  <c r="AP16" i="1"/>
  <c r="AO12" i="1"/>
  <c r="AP12" i="1"/>
  <c r="AO8" i="1"/>
  <c r="AP8" i="1"/>
  <c r="AO339" i="1"/>
  <c r="AP339" i="1"/>
  <c r="AO347" i="1"/>
  <c r="AP347" i="1"/>
  <c r="AO343" i="1"/>
  <c r="AP343" i="1"/>
  <c r="AO336" i="1"/>
  <c r="AP336" i="1"/>
  <c r="AO308" i="1"/>
  <c r="AP308" i="1"/>
  <c r="AO272" i="1"/>
  <c r="AP272" i="1"/>
  <c r="AO268" i="1"/>
  <c r="AP268" i="1"/>
  <c r="AO256" i="1"/>
  <c r="AP256" i="1"/>
  <c r="AO252" i="1"/>
  <c r="AP252" i="1"/>
  <c r="AO332" i="1"/>
  <c r="AP332" i="1"/>
  <c r="AO312" i="1"/>
  <c r="AP312" i="1"/>
  <c r="AO292" i="1"/>
  <c r="AP292" i="1"/>
  <c r="AO288" i="1"/>
  <c r="AP288" i="1"/>
  <c r="AO264" i="1"/>
  <c r="AP264" i="1"/>
  <c r="AO269" i="1"/>
  <c r="AP269" i="1"/>
  <c r="AO265" i="1"/>
  <c r="AP265" i="1"/>
  <c r="AO261" i="1"/>
  <c r="AP261" i="1"/>
  <c r="AO257" i="1"/>
  <c r="AP257" i="1"/>
  <c r="AO253" i="1"/>
  <c r="AP253" i="1"/>
  <c r="AO249" i="1"/>
  <c r="AP249" i="1"/>
  <c r="AO245" i="1"/>
  <c r="AP245" i="1"/>
  <c r="AO241" i="1"/>
  <c r="AP241" i="1"/>
  <c r="AO237" i="1"/>
  <c r="AP237" i="1"/>
  <c r="AO233" i="1"/>
  <c r="AP233" i="1"/>
  <c r="AO229" i="1"/>
  <c r="AP229" i="1"/>
  <c r="AO225" i="1"/>
  <c r="AP225" i="1"/>
  <c r="AO221" i="1"/>
  <c r="AP221" i="1"/>
  <c r="AO217" i="1"/>
  <c r="AP217" i="1"/>
  <c r="AO213" i="1"/>
  <c r="AP213" i="1"/>
  <c r="AO209" i="1"/>
  <c r="AP209" i="1"/>
  <c r="AO205" i="1"/>
  <c r="AP205" i="1"/>
  <c r="AO201" i="1"/>
  <c r="AP201" i="1"/>
  <c r="AO197" i="1"/>
  <c r="AP197" i="1"/>
  <c r="AO193" i="1"/>
  <c r="AP193" i="1"/>
  <c r="AO189" i="1"/>
  <c r="AP189" i="1"/>
  <c r="AO185" i="1"/>
  <c r="AP185" i="1"/>
  <c r="AO181" i="1"/>
  <c r="AP181" i="1"/>
  <c r="AO177" i="1"/>
  <c r="AP177" i="1"/>
  <c r="AO173" i="1"/>
  <c r="AP173" i="1"/>
  <c r="AO169" i="1"/>
  <c r="AP169" i="1"/>
  <c r="AO165" i="1"/>
  <c r="AP165" i="1"/>
  <c r="AO161" i="1"/>
  <c r="AP161" i="1"/>
  <c r="AO157" i="1"/>
  <c r="AP157" i="1"/>
  <c r="AO153" i="1"/>
  <c r="AP153" i="1"/>
  <c r="AO149" i="1"/>
  <c r="AP149" i="1"/>
  <c r="AO145" i="1"/>
  <c r="AP145" i="1"/>
  <c r="AO141" i="1"/>
  <c r="AP141" i="1"/>
  <c r="AO137" i="1"/>
  <c r="AP137" i="1"/>
  <c r="AO133" i="1"/>
  <c r="AP133" i="1"/>
  <c r="AO129" i="1"/>
  <c r="AP129" i="1"/>
  <c r="AO125" i="1"/>
  <c r="AP125" i="1"/>
  <c r="AO121" i="1"/>
  <c r="AP121" i="1"/>
  <c r="AO117" i="1"/>
  <c r="AP117" i="1"/>
  <c r="AO113" i="1"/>
  <c r="AP113" i="1"/>
  <c r="AO109" i="1"/>
  <c r="AP109" i="1"/>
  <c r="AO105" i="1"/>
  <c r="AP105" i="1"/>
  <c r="AO101" i="1"/>
  <c r="AP101" i="1"/>
  <c r="AO97" i="1"/>
  <c r="AP97" i="1"/>
  <c r="AO93" i="1"/>
  <c r="AP93" i="1"/>
  <c r="AO89" i="1"/>
  <c r="AP89" i="1"/>
  <c r="AO85" i="1"/>
  <c r="AP85" i="1"/>
  <c r="AO81" i="1"/>
  <c r="AP81" i="1"/>
  <c r="AO77" i="1"/>
  <c r="AP77" i="1"/>
  <c r="AO73" i="1"/>
  <c r="AP73" i="1"/>
  <c r="AO69" i="1"/>
  <c r="AP69" i="1"/>
  <c r="AO65" i="1"/>
  <c r="AP65" i="1"/>
  <c r="AO61" i="1"/>
  <c r="AP61" i="1"/>
  <c r="AO57" i="1"/>
  <c r="AP57" i="1"/>
  <c r="AO53" i="1"/>
  <c r="AP53" i="1"/>
  <c r="AO49" i="1"/>
  <c r="AP49" i="1"/>
  <c r="AO45" i="1"/>
  <c r="AP45" i="1"/>
  <c r="AO41" i="1"/>
  <c r="AP41" i="1"/>
  <c r="AO37" i="1"/>
  <c r="AP37" i="1"/>
  <c r="AO33" i="1"/>
  <c r="AP33" i="1"/>
  <c r="AO29" i="1"/>
  <c r="AP29" i="1"/>
  <c r="AO25" i="1"/>
  <c r="AP25" i="1"/>
  <c r="AO21" i="1"/>
  <c r="AP21" i="1"/>
  <c r="AO17" i="1"/>
  <c r="AP17" i="1"/>
  <c r="AO13" i="1"/>
  <c r="AP13" i="1"/>
  <c r="AO9" i="1"/>
  <c r="AP9" i="1"/>
  <c r="AO350" i="1"/>
  <c r="AP350" i="1"/>
  <c r="AO342" i="1"/>
  <c r="AP342" i="1"/>
  <c r="AO351" i="1"/>
  <c r="AP351" i="1"/>
  <c r="AO284" i="1"/>
  <c r="AP284" i="1"/>
  <c r="AO280" i="1"/>
  <c r="AP280" i="1"/>
  <c r="AO260" i="1"/>
  <c r="AP260" i="1"/>
  <c r="AO348" i="1"/>
  <c r="AP348" i="1"/>
  <c r="AO340" i="1"/>
  <c r="AP340" i="1"/>
  <c r="AO337" i="1"/>
  <c r="AP337" i="1"/>
  <c r="AO333" i="1"/>
  <c r="AP333" i="1"/>
  <c r="AO329" i="1"/>
  <c r="AP329" i="1"/>
  <c r="AO325" i="1"/>
  <c r="AP325" i="1"/>
  <c r="AO321" i="1"/>
  <c r="AP321" i="1"/>
  <c r="AO317" i="1"/>
  <c r="AP317" i="1"/>
  <c r="AO313" i="1"/>
  <c r="AP313" i="1"/>
  <c r="AO309" i="1"/>
  <c r="AP309" i="1"/>
  <c r="AO305" i="1"/>
  <c r="AP305" i="1"/>
  <c r="AO301" i="1"/>
  <c r="AP301" i="1"/>
  <c r="AO297" i="1"/>
  <c r="AP297" i="1"/>
  <c r="AO293" i="1"/>
  <c r="AP293" i="1"/>
  <c r="AO289" i="1"/>
  <c r="AP289" i="1"/>
  <c r="AO285" i="1"/>
  <c r="AP285" i="1"/>
  <c r="AO281" i="1"/>
  <c r="AP281" i="1"/>
  <c r="AO277" i="1"/>
  <c r="AP277" i="1"/>
  <c r="AO273" i="1"/>
  <c r="AP273" i="1"/>
  <c r="AO346" i="1"/>
  <c r="AP346" i="1"/>
  <c r="AO328" i="1"/>
  <c r="AP328" i="1"/>
  <c r="AO324" i="1"/>
  <c r="AP324" i="1"/>
  <c r="AO296" i="1"/>
  <c r="AP296" i="1"/>
  <c r="AO352" i="1"/>
  <c r="AP352" i="1"/>
  <c r="AO344" i="1"/>
  <c r="AP344" i="1"/>
  <c r="AO334" i="1"/>
  <c r="AP334" i="1"/>
  <c r="AO330" i="1"/>
  <c r="AP330" i="1"/>
  <c r="AO326" i="1"/>
  <c r="AP326" i="1"/>
  <c r="AO322" i="1"/>
  <c r="AP322" i="1"/>
  <c r="AO318" i="1"/>
  <c r="AP318" i="1"/>
  <c r="AO314" i="1"/>
  <c r="AP314" i="1"/>
  <c r="AO310" i="1"/>
  <c r="AP310" i="1"/>
  <c r="AO306" i="1"/>
  <c r="AP306" i="1"/>
  <c r="AO302" i="1"/>
  <c r="AP302" i="1"/>
  <c r="AO298" i="1"/>
  <c r="AP298" i="1"/>
  <c r="AO294" i="1"/>
  <c r="AP294" i="1"/>
  <c r="AO290" i="1"/>
  <c r="AP290" i="1"/>
  <c r="AO286" i="1"/>
  <c r="AP286" i="1"/>
  <c r="AO282" i="1"/>
  <c r="AP282" i="1"/>
  <c r="AO278" i="1"/>
  <c r="AP278" i="1"/>
  <c r="AO274" i="1"/>
  <c r="AP274" i="1"/>
  <c r="AO270" i="1"/>
  <c r="AP270" i="1"/>
  <c r="AO266" i="1"/>
  <c r="AP266" i="1"/>
  <c r="AO262" i="1"/>
  <c r="AP262" i="1"/>
  <c r="AO258" i="1"/>
  <c r="AP258" i="1"/>
  <c r="AO254" i="1"/>
  <c r="AP254" i="1"/>
  <c r="AO250" i="1"/>
  <c r="AP250" i="1"/>
  <c r="AO246" i="1"/>
  <c r="AP246" i="1"/>
  <c r="AO242" i="1"/>
  <c r="AP242" i="1"/>
  <c r="AO238" i="1"/>
  <c r="AP238" i="1"/>
  <c r="AO234" i="1"/>
  <c r="AP234" i="1"/>
  <c r="AO230" i="1"/>
  <c r="AP230" i="1"/>
  <c r="AO226" i="1"/>
  <c r="AP226" i="1"/>
  <c r="AO222" i="1"/>
  <c r="AP222" i="1"/>
  <c r="AO218" i="1"/>
  <c r="AP218" i="1"/>
  <c r="AO214" i="1"/>
  <c r="AP214" i="1"/>
  <c r="AO210" i="1"/>
  <c r="AP210" i="1"/>
  <c r="AO206" i="1"/>
  <c r="AP206" i="1"/>
  <c r="AO202" i="1"/>
  <c r="AP202" i="1"/>
  <c r="AO198" i="1"/>
  <c r="AP198" i="1"/>
  <c r="AO194" i="1"/>
  <c r="AP194" i="1"/>
  <c r="AO190" i="1"/>
  <c r="AP190" i="1"/>
  <c r="AO186" i="1"/>
  <c r="AP186" i="1"/>
  <c r="AO182" i="1"/>
  <c r="AP182" i="1"/>
  <c r="AO178" i="1"/>
  <c r="AP178" i="1"/>
  <c r="AO174" i="1"/>
  <c r="AP174" i="1"/>
  <c r="AO170" i="1"/>
  <c r="AP170" i="1"/>
  <c r="AO166" i="1"/>
  <c r="AP166" i="1"/>
  <c r="AO162" i="1"/>
  <c r="AP162" i="1"/>
  <c r="AO158" i="1"/>
  <c r="AP158" i="1"/>
  <c r="AO154" i="1"/>
  <c r="AP154" i="1"/>
  <c r="AO150" i="1"/>
  <c r="AP150" i="1"/>
  <c r="AO146" i="1"/>
  <c r="AP146" i="1"/>
  <c r="AO142" i="1"/>
  <c r="AP142" i="1"/>
  <c r="AO138" i="1"/>
  <c r="AP138" i="1"/>
  <c r="AO134" i="1"/>
  <c r="AP134" i="1"/>
  <c r="AO130" i="1"/>
  <c r="AP130" i="1"/>
  <c r="AO126" i="1"/>
  <c r="AP126" i="1"/>
  <c r="AO122" i="1"/>
  <c r="AP122" i="1"/>
  <c r="AO118" i="1"/>
  <c r="AP118" i="1"/>
  <c r="AO114" i="1"/>
  <c r="AP114" i="1"/>
  <c r="AO110" i="1"/>
  <c r="AP110" i="1"/>
  <c r="AO106" i="1"/>
  <c r="AP106" i="1"/>
  <c r="AO102" i="1"/>
  <c r="AP102" i="1"/>
  <c r="AO98" i="1"/>
  <c r="AP98" i="1"/>
  <c r="AO94" i="1"/>
  <c r="AP94" i="1"/>
  <c r="AO90" i="1"/>
  <c r="AP90" i="1"/>
  <c r="AO86" i="1"/>
  <c r="AP86" i="1"/>
  <c r="AO82" i="1"/>
  <c r="AP82" i="1"/>
  <c r="AO78" i="1"/>
  <c r="AP78" i="1"/>
  <c r="AO74" i="1"/>
  <c r="AP74" i="1"/>
  <c r="AO70" i="1"/>
  <c r="AP70" i="1"/>
  <c r="AO66" i="1"/>
  <c r="AP66" i="1"/>
  <c r="AO62" i="1"/>
  <c r="AP62" i="1"/>
  <c r="AO58" i="1"/>
  <c r="AP58" i="1"/>
  <c r="AO54" i="1"/>
  <c r="AP54" i="1"/>
  <c r="AO50" i="1"/>
  <c r="AP50" i="1"/>
  <c r="AO46" i="1"/>
  <c r="AP46" i="1"/>
  <c r="AO42" i="1"/>
  <c r="AP42" i="1"/>
  <c r="AO38" i="1"/>
  <c r="AP38" i="1"/>
  <c r="AO34" i="1"/>
  <c r="AP34" i="1"/>
  <c r="AO30" i="1"/>
  <c r="AP30" i="1"/>
  <c r="AO26" i="1"/>
  <c r="AP26" i="1"/>
  <c r="AO22" i="1"/>
  <c r="AP22" i="1"/>
  <c r="AO18" i="1"/>
  <c r="AP18" i="1"/>
  <c r="AO14" i="1"/>
  <c r="AP14" i="1"/>
  <c r="AO10" i="1"/>
  <c r="AP10" i="1"/>
  <c r="AO6" i="1"/>
  <c r="AP6" i="1"/>
  <c r="AO320" i="1"/>
  <c r="AP320" i="1"/>
  <c r="AO316" i="1"/>
  <c r="AP316" i="1"/>
  <c r="AO304" i="1"/>
  <c r="AP304" i="1"/>
  <c r="AO300" i="1"/>
  <c r="AP300" i="1"/>
  <c r="AO276" i="1"/>
  <c r="AP276" i="1"/>
  <c r="AO353" i="1"/>
  <c r="AP353" i="1"/>
  <c r="AO349" i="1"/>
  <c r="AP349" i="1"/>
  <c r="AO345" i="1"/>
  <c r="AP345" i="1"/>
  <c r="AO341" i="1"/>
  <c r="AP341" i="1"/>
  <c r="AO338" i="1"/>
  <c r="AP338" i="1"/>
  <c r="AJ232" i="1"/>
  <c r="AJ351" i="1"/>
  <c r="AJ343" i="1"/>
  <c r="AJ328" i="1"/>
  <c r="AJ308" i="1"/>
  <c r="AJ300" i="1"/>
  <c r="AJ350" i="1"/>
  <c r="AJ339" i="1"/>
  <c r="AJ335" i="1"/>
  <c r="AJ331" i="1"/>
  <c r="AJ323" i="1"/>
  <c r="AJ319" i="1"/>
  <c r="AJ311" i="1"/>
  <c r="AJ299" i="1"/>
  <c r="AJ295" i="1"/>
  <c r="AJ283" i="1"/>
  <c r="AJ275" i="1"/>
  <c r="AJ263" i="1"/>
  <c r="AJ255" i="1"/>
  <c r="AJ251" i="1"/>
  <c r="AJ247" i="1"/>
  <c r="AJ243" i="1"/>
  <c r="AJ239" i="1"/>
  <c r="AJ235" i="1"/>
  <c r="AJ231" i="1"/>
  <c r="AJ227" i="1"/>
  <c r="AJ223" i="1"/>
  <c r="AJ219" i="1"/>
  <c r="AJ215" i="1"/>
  <c r="AJ211" i="1"/>
  <c r="AJ207" i="1"/>
  <c r="AJ203" i="1"/>
  <c r="AJ199" i="1"/>
  <c r="AJ195" i="1"/>
  <c r="AJ191" i="1"/>
  <c r="AJ187" i="1"/>
  <c r="AJ183" i="1"/>
  <c r="AJ179" i="1"/>
  <c r="AJ175" i="1"/>
  <c r="AJ171" i="1"/>
  <c r="AJ167" i="1"/>
  <c r="AJ163" i="1"/>
  <c r="AJ159" i="1"/>
  <c r="AJ155" i="1"/>
  <c r="AJ151" i="1"/>
  <c r="AJ147" i="1"/>
  <c r="AJ143" i="1"/>
  <c r="AJ139" i="1"/>
  <c r="AJ135" i="1"/>
  <c r="AJ131" i="1"/>
  <c r="AJ127" i="1"/>
  <c r="AJ123" i="1"/>
  <c r="AJ119" i="1"/>
  <c r="AJ115" i="1"/>
  <c r="AJ111" i="1"/>
  <c r="AJ107" i="1"/>
  <c r="AJ103" i="1"/>
  <c r="AJ35" i="1"/>
  <c r="AJ346" i="1"/>
  <c r="AJ342" i="1"/>
  <c r="AJ327" i="1"/>
  <c r="AJ315" i="1"/>
  <c r="AJ307" i="1"/>
  <c r="AJ303" i="1"/>
  <c r="AJ291" i="1"/>
  <c r="AJ287" i="1"/>
  <c r="AJ279" i="1"/>
  <c r="AJ271" i="1"/>
  <c r="AJ267" i="1"/>
  <c r="AJ259" i="1"/>
  <c r="AJ336" i="1"/>
  <c r="AJ316" i="1"/>
  <c r="AJ292" i="1"/>
  <c r="AJ288" i="1"/>
  <c r="AJ284" i="1"/>
  <c r="AJ280" i="1"/>
  <c r="AJ276" i="1"/>
  <c r="AJ272" i="1"/>
  <c r="AJ268" i="1"/>
  <c r="AJ264" i="1"/>
  <c r="AJ260" i="1"/>
  <c r="AJ256" i="1"/>
  <c r="AJ252" i="1"/>
  <c r="AJ248" i="1"/>
  <c r="AJ244" i="1"/>
  <c r="AJ240" i="1"/>
  <c r="AJ236" i="1"/>
  <c r="AJ228" i="1"/>
  <c r="AJ224" i="1"/>
  <c r="AJ220" i="1"/>
  <c r="AJ216" i="1"/>
  <c r="AJ212" i="1"/>
  <c r="AJ208" i="1"/>
  <c r="AJ204" i="1"/>
  <c r="AJ200" i="1"/>
  <c r="AJ196" i="1"/>
  <c r="AJ192" i="1"/>
  <c r="AJ188" i="1"/>
  <c r="AJ184" i="1"/>
  <c r="AJ180" i="1"/>
  <c r="AJ176" i="1"/>
  <c r="AJ172" i="1"/>
  <c r="AJ168" i="1"/>
  <c r="AJ164" i="1"/>
  <c r="AJ160" i="1"/>
  <c r="AJ156" i="1"/>
  <c r="AJ152" i="1"/>
  <c r="AJ100" i="1"/>
  <c r="AJ96" i="1"/>
  <c r="AJ92" i="1"/>
  <c r="AJ88" i="1"/>
  <c r="AJ84" i="1"/>
  <c r="AJ80" i="1"/>
  <c r="AJ76" i="1"/>
  <c r="AJ72" i="1"/>
  <c r="AJ68" i="1"/>
  <c r="AJ64" i="1"/>
  <c r="AJ347" i="1"/>
  <c r="AJ332" i="1"/>
  <c r="AJ324" i="1"/>
  <c r="AJ320" i="1"/>
  <c r="AJ312" i="1"/>
  <c r="AJ304" i="1"/>
  <c r="AJ296" i="1"/>
  <c r="AJ148" i="1"/>
  <c r="AJ144" i="1"/>
  <c r="AJ140" i="1"/>
  <c r="AJ136" i="1"/>
  <c r="AJ132" i="1"/>
  <c r="AJ128" i="1"/>
  <c r="AJ124" i="1"/>
  <c r="AJ120" i="1"/>
  <c r="AJ116" i="1"/>
  <c r="AJ112" i="1"/>
  <c r="AJ108" i="1"/>
  <c r="AJ104" i="1"/>
  <c r="AJ32" i="1"/>
  <c r="AJ28" i="1"/>
  <c r="AJ24" i="1"/>
  <c r="AJ20" i="1"/>
  <c r="AJ16" i="1"/>
  <c r="AJ12" i="1"/>
  <c r="AJ8" i="1"/>
  <c r="AJ37" i="1"/>
  <c r="AJ5" i="1"/>
  <c r="AJ309" i="1"/>
  <c r="AJ285" i="1"/>
  <c r="AJ261" i="1"/>
  <c r="AJ245" i="1"/>
  <c r="AJ221" i="1"/>
  <c r="AJ213" i="1"/>
  <c r="AJ197" i="1"/>
  <c r="AJ189" i="1"/>
  <c r="AJ177" i="1"/>
  <c r="AJ169" i="1"/>
  <c r="AJ153" i="1"/>
  <c r="AJ149" i="1"/>
  <c r="AJ141" i="1"/>
  <c r="AJ133" i="1"/>
  <c r="AJ125" i="1"/>
  <c r="AJ117" i="1"/>
  <c r="AJ113" i="1"/>
  <c r="AJ105" i="1"/>
  <c r="AJ97" i="1"/>
  <c r="AJ93" i="1"/>
  <c r="AJ85" i="1"/>
  <c r="AJ77" i="1"/>
  <c r="AJ73" i="1"/>
  <c r="AJ69" i="1"/>
  <c r="AJ65" i="1"/>
  <c r="AJ61" i="1"/>
  <c r="AJ57" i="1"/>
  <c r="AJ53" i="1"/>
  <c r="AJ45" i="1"/>
  <c r="AJ344" i="1"/>
  <c r="AJ333" i="1"/>
  <c r="AJ313" i="1"/>
  <c r="AJ281" i="1"/>
  <c r="AJ225" i="1"/>
  <c r="AJ201" i="1"/>
  <c r="AJ185" i="1"/>
  <c r="AJ173" i="1"/>
  <c r="AJ165" i="1"/>
  <c r="AJ157" i="1"/>
  <c r="AJ145" i="1"/>
  <c r="AJ137" i="1"/>
  <c r="AJ129" i="1"/>
  <c r="AJ121" i="1"/>
  <c r="AJ109" i="1"/>
  <c r="AJ101" i="1"/>
  <c r="AJ89" i="1"/>
  <c r="AJ81" i="1"/>
  <c r="AJ49" i="1"/>
  <c r="AJ41" i="1"/>
  <c r="AJ353" i="1"/>
  <c r="AJ349" i="1"/>
  <c r="AJ345" i="1"/>
  <c r="AJ352" i="1"/>
  <c r="AJ340" i="1"/>
  <c r="AJ329" i="1"/>
  <c r="AJ317" i="1"/>
  <c r="AJ301" i="1"/>
  <c r="AJ289" i="1"/>
  <c r="AJ265" i="1"/>
  <c r="AJ249" i="1"/>
  <c r="AJ237" i="1"/>
  <c r="AJ229" i="1"/>
  <c r="AJ217" i="1"/>
  <c r="AJ209" i="1"/>
  <c r="AJ205" i="1"/>
  <c r="AJ193" i="1"/>
  <c r="AJ181" i="1"/>
  <c r="AJ161" i="1"/>
  <c r="AJ348" i="1"/>
  <c r="AJ325" i="1"/>
  <c r="AJ305" i="1"/>
  <c r="AJ297" i="1"/>
  <c r="AJ277" i="1"/>
  <c r="AJ269" i="1"/>
  <c r="AJ257" i="1"/>
  <c r="AJ241" i="1"/>
  <c r="AJ233" i="1"/>
  <c r="AJ99" i="1"/>
  <c r="AJ95" i="1"/>
  <c r="AJ91" i="1"/>
  <c r="AJ87" i="1"/>
  <c r="AJ83" i="1"/>
  <c r="AJ79" i="1"/>
  <c r="AJ75" i="1"/>
  <c r="AJ71" i="1"/>
  <c r="AJ67" i="1"/>
  <c r="AJ63" i="1"/>
  <c r="AJ59" i="1"/>
  <c r="AJ55" i="1"/>
  <c r="AJ51" i="1"/>
  <c r="AJ47" i="1"/>
  <c r="AJ43" i="1"/>
  <c r="AJ39" i="1"/>
  <c r="AJ337" i="1"/>
  <c r="AJ321" i="1"/>
  <c r="AJ293" i="1"/>
  <c r="AJ273" i="1"/>
  <c r="AJ253" i="1"/>
  <c r="AJ60" i="1"/>
  <c r="AJ56" i="1"/>
  <c r="AJ52" i="1"/>
  <c r="AJ48" i="1"/>
  <c r="AJ44" i="1"/>
  <c r="AJ40" i="1"/>
  <c r="AJ36" i="1"/>
  <c r="AJ33" i="1"/>
  <c r="AJ29" i="1"/>
  <c r="AJ25" i="1"/>
  <c r="AJ21" i="1"/>
  <c r="AJ17" i="1"/>
  <c r="AJ13" i="1"/>
  <c r="AJ9" i="1"/>
  <c r="AJ341" i="1"/>
  <c r="AJ338" i="1"/>
  <c r="AJ334" i="1"/>
  <c r="AJ330" i="1"/>
  <c r="AJ326" i="1"/>
  <c r="AJ322" i="1"/>
  <c r="AJ318" i="1"/>
  <c r="AJ314" i="1"/>
  <c r="AJ310" i="1"/>
  <c r="AJ306" i="1"/>
  <c r="AJ302" i="1"/>
  <c r="AJ298" i="1"/>
  <c r="AJ294" i="1"/>
  <c r="AJ290" i="1"/>
  <c r="AJ286" i="1"/>
  <c r="AJ282" i="1"/>
  <c r="AJ278" i="1"/>
  <c r="AJ274" i="1"/>
  <c r="AJ270" i="1"/>
  <c r="AJ266" i="1"/>
  <c r="AJ262" i="1"/>
  <c r="AJ258" i="1"/>
  <c r="AJ254" i="1"/>
  <c r="AJ250" i="1"/>
  <c r="AJ246" i="1"/>
  <c r="AJ242" i="1"/>
  <c r="AJ238" i="1"/>
  <c r="AJ234" i="1"/>
  <c r="AJ230" i="1"/>
  <c r="AJ226" i="1"/>
  <c r="AJ222" i="1"/>
  <c r="AJ218" i="1"/>
  <c r="AJ214" i="1"/>
  <c r="AJ210" i="1"/>
  <c r="AJ206" i="1"/>
  <c r="AJ202" i="1"/>
  <c r="AJ198" i="1"/>
  <c r="AJ194" i="1"/>
  <c r="AJ190" i="1"/>
  <c r="AJ186" i="1"/>
  <c r="AJ182" i="1"/>
  <c r="AJ178" i="1"/>
  <c r="AJ174" i="1"/>
  <c r="AJ170" i="1"/>
  <c r="AJ166" i="1"/>
  <c r="AJ162" i="1"/>
  <c r="AJ158" i="1"/>
  <c r="AJ154" i="1"/>
  <c r="AJ150" i="1"/>
  <c r="AJ146" i="1"/>
  <c r="AJ142" i="1"/>
  <c r="AJ138" i="1"/>
  <c r="AJ134" i="1"/>
  <c r="AJ130" i="1"/>
  <c r="AJ126" i="1"/>
  <c r="AJ122" i="1"/>
  <c r="AJ118" i="1"/>
  <c r="AJ114" i="1"/>
  <c r="AJ110" i="1"/>
  <c r="AJ106" i="1"/>
  <c r="AJ102" i="1"/>
  <c r="AJ98" i="1"/>
  <c r="AJ94" i="1"/>
  <c r="AJ90" i="1"/>
  <c r="AJ86" i="1"/>
  <c r="AJ82" i="1"/>
  <c r="AJ78" i="1"/>
  <c r="AJ74" i="1"/>
  <c r="AJ70" i="1"/>
  <c r="AJ66" i="1"/>
  <c r="AJ62" i="1"/>
  <c r="AJ58" i="1"/>
  <c r="AJ54" i="1"/>
  <c r="AJ50" i="1"/>
  <c r="AJ46" i="1"/>
  <c r="AJ42" i="1"/>
  <c r="AJ38" i="1"/>
  <c r="AJ34" i="1"/>
  <c r="AJ30" i="1"/>
  <c r="AJ26" i="1"/>
  <c r="AJ22" i="1"/>
  <c r="AJ18" i="1"/>
  <c r="AJ14" i="1"/>
  <c r="AJ10" i="1"/>
  <c r="AJ6" i="1"/>
  <c r="AJ31" i="1"/>
  <c r="AJ27" i="1"/>
  <c r="AJ23" i="1"/>
  <c r="AJ19" i="1"/>
  <c r="AJ15" i="1"/>
  <c r="AJ11" i="1"/>
  <c r="AJ7" i="1"/>
  <c r="AL6" i="1"/>
  <c r="AL211" i="1"/>
  <c r="AK119" i="1"/>
  <c r="AK150" i="1"/>
  <c r="AL209" i="1"/>
  <c r="AK97" i="1"/>
  <c r="AL30" i="1"/>
  <c r="AL8" i="1"/>
  <c r="AK144" i="1"/>
  <c r="AL34" i="1"/>
  <c r="AL291" i="1"/>
  <c r="AK327" i="1"/>
  <c r="AK103" i="1"/>
  <c r="AK86" i="1"/>
  <c r="AK300" i="1"/>
  <c r="AL20" i="1"/>
  <c r="AK302" i="1"/>
  <c r="AL12" i="1"/>
  <c r="AL321" i="1"/>
  <c r="AK349" i="1"/>
  <c r="AK134" i="1"/>
  <c r="AL102" i="1"/>
  <c r="AL353" i="1"/>
  <c r="AK84" i="1"/>
  <c r="AL332" i="1"/>
  <c r="AK319" i="1"/>
  <c r="AL283" i="1"/>
  <c r="AK340" i="1"/>
  <c r="AK335" i="1"/>
  <c r="AK342" i="1"/>
  <c r="AL335" i="1"/>
  <c r="AL316" i="1"/>
  <c r="AL351" i="1"/>
  <c r="AK350" i="1"/>
  <c r="AL337" i="1"/>
  <c r="AL329" i="1"/>
  <c r="AL324" i="1"/>
  <c r="AK320" i="1"/>
  <c r="AK284" i="1"/>
  <c r="AL216" i="1"/>
  <c r="AL136" i="1"/>
  <c r="AK136" i="1"/>
  <c r="AL342" i="1"/>
  <c r="AK316" i="1"/>
  <c r="AL311" i="1"/>
  <c r="AK255" i="1"/>
  <c r="AL319" i="1"/>
  <c r="AK332" i="1"/>
  <c r="AL81" i="1"/>
  <c r="AL64" i="1"/>
  <c r="AK324" i="1"/>
  <c r="AL349" i="1"/>
  <c r="AL287" i="1"/>
  <c r="AL140" i="1"/>
  <c r="AL49" i="1"/>
  <c r="AK338" i="1"/>
  <c r="AK346" i="1"/>
  <c r="AK334" i="1"/>
  <c r="AL296" i="1"/>
  <c r="AL260" i="1"/>
  <c r="AK254" i="1"/>
  <c r="AL88" i="1"/>
  <c r="AK310" i="1"/>
  <c r="AL289" i="1"/>
  <c r="AK149" i="1"/>
  <c r="AL327" i="1"/>
  <c r="AK348" i="1"/>
  <c r="AK336" i="1"/>
  <c r="AK328" i="1"/>
  <c r="AK308" i="1"/>
  <c r="AL305" i="1"/>
  <c r="AK326" i="1"/>
  <c r="AK318" i="1"/>
  <c r="AL298" i="1"/>
  <c r="AL297" i="1"/>
  <c r="AL214" i="1"/>
  <c r="AK185" i="1"/>
  <c r="AK80" i="1"/>
  <c r="AL41" i="1"/>
  <c r="AK38" i="1"/>
  <c r="AK304" i="1"/>
  <c r="AL299" i="1"/>
  <c r="AK293" i="1"/>
  <c r="AL245" i="1"/>
  <c r="AL224" i="1"/>
  <c r="AK221" i="1"/>
  <c r="AL212" i="1"/>
  <c r="AL196" i="1"/>
  <c r="AK142" i="1"/>
  <c r="AK140" i="1"/>
  <c r="AL96" i="1"/>
  <c r="AK82" i="1"/>
  <c r="AK277" i="1"/>
  <c r="AL269" i="1"/>
  <c r="AL247" i="1"/>
  <c r="AL218" i="1"/>
  <c r="AL205" i="1"/>
  <c r="AL149" i="1"/>
  <c r="AL101" i="1"/>
  <c r="AK73" i="1"/>
  <c r="AK290" i="1"/>
  <c r="AL265" i="1"/>
  <c r="AL253" i="1"/>
  <c r="AL251" i="1"/>
  <c r="AL249" i="1"/>
  <c r="AK227" i="1"/>
  <c r="AL210" i="1"/>
  <c r="AK196" i="1"/>
  <c r="AL156" i="1"/>
  <c r="AL144" i="1"/>
  <c r="AK138" i="1"/>
  <c r="AK102" i="1"/>
  <c r="AL97" i="1"/>
  <c r="AK32" i="1"/>
  <c r="AL256" i="1"/>
  <c r="AK235" i="1"/>
  <c r="AK233" i="1"/>
  <c r="AL221" i="1"/>
  <c r="AK209" i="1"/>
  <c r="AL164" i="1"/>
  <c r="AK148" i="1"/>
  <c r="AK106" i="1"/>
  <c r="AK105" i="1"/>
  <c r="AK67" i="1"/>
  <c r="AL309" i="1"/>
  <c r="AL273" i="1"/>
  <c r="AL201" i="1"/>
  <c r="AL176" i="1"/>
  <c r="AL32" i="1"/>
  <c r="AL286" i="1"/>
  <c r="AL215" i="1"/>
  <c r="AK90" i="1"/>
  <c r="AK75" i="1"/>
  <c r="AK35" i="1"/>
  <c r="AL24" i="1"/>
  <c r="AL17" i="1"/>
  <c r="AK12" i="1"/>
  <c r="AK29" i="1"/>
  <c r="AL10" i="1"/>
  <c r="AK17" i="1"/>
  <c r="AL26" i="1"/>
  <c r="AL23" i="1"/>
  <c r="AK241" i="1"/>
  <c r="AK219" i="1"/>
  <c r="AL217" i="1"/>
  <c r="AL188" i="1"/>
  <c r="AL95" i="1"/>
  <c r="AK94" i="1"/>
  <c r="AL72" i="1"/>
  <c r="AL18" i="1"/>
  <c r="AL14" i="1"/>
  <c r="AK352" i="1"/>
  <c r="AL348" i="1"/>
  <c r="AL334" i="1"/>
  <c r="AK333" i="1"/>
  <c r="AL326" i="1"/>
  <c r="AK325" i="1"/>
  <c r="AL318" i="1"/>
  <c r="AK317" i="1"/>
  <c r="AK306" i="1"/>
  <c r="AK281" i="1"/>
  <c r="AL281" i="1"/>
  <c r="AL331" i="1"/>
  <c r="AL323" i="1"/>
  <c r="AL315" i="1"/>
  <c r="AL345" i="1"/>
  <c r="AK345" i="1"/>
  <c r="AL336" i="1"/>
  <c r="AL328" i="1"/>
  <c r="AL320" i="1"/>
  <c r="AL303" i="1"/>
  <c r="AL341" i="1"/>
  <c r="AL352" i="1"/>
  <c r="AL347" i="1"/>
  <c r="AK347" i="1"/>
  <c r="AL333" i="1"/>
  <c r="AK330" i="1"/>
  <c r="AL325" i="1"/>
  <c r="AK322" i="1"/>
  <c r="AL317" i="1"/>
  <c r="AL339" i="1"/>
  <c r="AL350" i="1"/>
  <c r="AK353" i="1"/>
  <c r="AK351" i="1"/>
  <c r="AL338" i="1"/>
  <c r="AK337" i="1"/>
  <c r="AL330" i="1"/>
  <c r="AK329" i="1"/>
  <c r="AL322" i="1"/>
  <c r="AK321" i="1"/>
  <c r="AL343" i="1"/>
  <c r="AK343" i="1"/>
  <c r="AL344" i="1"/>
  <c r="AK344" i="1"/>
  <c r="AL340" i="1"/>
  <c r="AK314" i="1"/>
  <c r="AK313" i="1"/>
  <c r="AL346" i="1"/>
  <c r="AK341" i="1"/>
  <c r="AK339" i="1"/>
  <c r="AK331" i="1"/>
  <c r="AK323" i="1"/>
  <c r="AK315" i="1"/>
  <c r="AL313" i="1"/>
  <c r="AK307" i="1"/>
  <c r="AL307" i="1"/>
  <c r="AK298" i="1"/>
  <c r="AK291" i="1"/>
  <c r="AK280" i="1"/>
  <c r="AL280" i="1"/>
  <c r="AK278" i="1"/>
  <c r="AL278" i="1"/>
  <c r="AK270" i="1"/>
  <c r="AL270" i="1"/>
  <c r="AK265" i="1"/>
  <c r="AK264" i="1"/>
  <c r="AL264" i="1"/>
  <c r="AK258" i="1"/>
  <c r="AL258" i="1"/>
  <c r="AL252" i="1"/>
  <c r="AK252" i="1"/>
  <c r="AL250" i="1"/>
  <c r="AK250" i="1"/>
  <c r="AL248" i="1"/>
  <c r="AK248" i="1"/>
  <c r="AL246" i="1"/>
  <c r="AK246" i="1"/>
  <c r="AL244" i="1"/>
  <c r="AK244" i="1"/>
  <c r="AL225" i="1"/>
  <c r="AK122" i="1"/>
  <c r="AL122" i="1"/>
  <c r="AL308" i="1"/>
  <c r="AL304" i="1"/>
  <c r="AL301" i="1"/>
  <c r="AK296" i="1"/>
  <c r="AL294" i="1"/>
  <c r="AK289" i="1"/>
  <c r="AL285" i="1"/>
  <c r="AK276" i="1"/>
  <c r="AL276" i="1"/>
  <c r="AK257" i="1"/>
  <c r="AL257" i="1"/>
  <c r="AL242" i="1"/>
  <c r="AK242" i="1"/>
  <c r="AL312" i="1"/>
  <c r="AK15" i="1"/>
  <c r="AL15" i="1"/>
  <c r="AK301" i="1"/>
  <c r="AK294" i="1"/>
  <c r="AL292" i="1"/>
  <c r="AK287" i="1"/>
  <c r="AL279" i="1"/>
  <c r="AK275" i="1"/>
  <c r="AL275" i="1"/>
  <c r="AK274" i="1"/>
  <c r="AL274" i="1"/>
  <c r="AK269" i="1"/>
  <c r="AK268" i="1"/>
  <c r="AL268" i="1"/>
  <c r="AK263" i="1"/>
  <c r="AL263" i="1"/>
  <c r="AK238" i="1"/>
  <c r="AL238" i="1"/>
  <c r="AL314" i="1"/>
  <c r="AK309" i="1"/>
  <c r="AK292" i="1"/>
  <c r="AL290" i="1"/>
  <c r="AK285" i="1"/>
  <c r="AL277" i="1"/>
  <c r="AK236" i="1"/>
  <c r="AL236" i="1"/>
  <c r="AK234" i="1"/>
  <c r="AL234" i="1"/>
  <c r="AK303" i="1"/>
  <c r="AL37" i="1"/>
  <c r="AK37" i="1"/>
  <c r="AL310" i="1"/>
  <c r="AK305" i="1"/>
  <c r="AL302" i="1"/>
  <c r="AK299" i="1"/>
  <c r="AL295" i="1"/>
  <c r="AL288" i="1"/>
  <c r="AK283" i="1"/>
  <c r="AK273" i="1"/>
  <c r="AK272" i="1"/>
  <c r="AL272" i="1"/>
  <c r="AK267" i="1"/>
  <c r="AL267" i="1"/>
  <c r="AK262" i="1"/>
  <c r="AL262" i="1"/>
  <c r="AK261" i="1"/>
  <c r="AL261" i="1"/>
  <c r="AK253" i="1"/>
  <c r="AK230" i="1"/>
  <c r="AL230" i="1"/>
  <c r="AK312" i="1"/>
  <c r="AK297" i="1"/>
  <c r="AL293" i="1"/>
  <c r="AK288" i="1"/>
  <c r="AK282" i="1"/>
  <c r="AL282" i="1"/>
  <c r="AK228" i="1"/>
  <c r="AL228" i="1"/>
  <c r="AK226" i="1"/>
  <c r="AL226" i="1"/>
  <c r="AK311" i="1"/>
  <c r="AL306" i="1"/>
  <c r="AL300" i="1"/>
  <c r="AK295" i="1"/>
  <c r="AK286" i="1"/>
  <c r="AL284" i="1"/>
  <c r="AK279" i="1"/>
  <c r="AK271" i="1"/>
  <c r="AL271" i="1"/>
  <c r="AK266" i="1"/>
  <c r="AL266" i="1"/>
  <c r="AK259" i="1"/>
  <c r="AL259" i="1"/>
  <c r="AL254" i="1"/>
  <c r="AL241" i="1"/>
  <c r="AL233" i="1"/>
  <c r="AL223" i="1"/>
  <c r="AL180" i="1"/>
  <c r="AK256" i="1"/>
  <c r="AL255" i="1"/>
  <c r="AK249" i="1"/>
  <c r="AK245" i="1"/>
  <c r="AK225" i="1"/>
  <c r="AL219" i="1"/>
  <c r="AK180" i="1"/>
  <c r="AL239" i="1"/>
  <c r="AK217" i="1"/>
  <c r="AK201" i="1"/>
  <c r="AL166" i="1"/>
  <c r="AK239" i="1"/>
  <c r="AL168" i="1"/>
  <c r="AL243" i="1"/>
  <c r="AK240" i="1"/>
  <c r="AL240" i="1"/>
  <c r="AL237" i="1"/>
  <c r="AK232" i="1"/>
  <c r="AL232" i="1"/>
  <c r="AL229" i="1"/>
  <c r="AL213" i="1"/>
  <c r="AK188" i="1"/>
  <c r="AL170" i="1"/>
  <c r="AK260" i="1"/>
  <c r="AK251" i="1"/>
  <c r="AK247" i="1"/>
  <c r="AK243" i="1"/>
  <c r="AK237" i="1"/>
  <c r="AK231" i="1"/>
  <c r="AL231" i="1"/>
  <c r="AK229" i="1"/>
  <c r="AL222" i="1"/>
  <c r="AK205" i="1"/>
  <c r="AL172" i="1"/>
  <c r="AL235" i="1"/>
  <c r="AL227" i="1"/>
  <c r="AK223" i="1"/>
  <c r="AL220" i="1"/>
  <c r="AL174" i="1"/>
  <c r="AK215" i="1"/>
  <c r="AK214" i="1"/>
  <c r="AK197" i="1"/>
  <c r="AL197" i="1"/>
  <c r="AK189" i="1"/>
  <c r="AL189" i="1"/>
  <c r="AL181" i="1"/>
  <c r="AL157" i="1"/>
  <c r="AK152" i="1"/>
  <c r="AL152" i="1"/>
  <c r="AK224" i="1"/>
  <c r="AK208" i="1"/>
  <c r="AL208" i="1"/>
  <c r="AK204" i="1"/>
  <c r="AL204" i="1"/>
  <c r="AK200" i="1"/>
  <c r="AL200" i="1"/>
  <c r="AK194" i="1"/>
  <c r="AL194" i="1"/>
  <c r="AK186" i="1"/>
  <c r="AL186" i="1"/>
  <c r="AK183" i="1"/>
  <c r="AK176" i="1"/>
  <c r="AK174" i="1"/>
  <c r="AK172" i="1"/>
  <c r="AK170" i="1"/>
  <c r="AK168" i="1"/>
  <c r="AK166" i="1"/>
  <c r="AK164" i="1"/>
  <c r="AK162" i="1"/>
  <c r="AL153" i="1"/>
  <c r="AK153" i="1"/>
  <c r="AK211" i="1"/>
  <c r="AK210" i="1"/>
  <c r="AK195" i="1"/>
  <c r="AL195" i="1"/>
  <c r="AK187" i="1"/>
  <c r="AL187" i="1"/>
  <c r="AL179" i="1"/>
  <c r="AL178" i="1"/>
  <c r="AL177" i="1"/>
  <c r="AL175" i="1"/>
  <c r="AL173" i="1"/>
  <c r="AL171" i="1"/>
  <c r="AL169" i="1"/>
  <c r="AL167" i="1"/>
  <c r="AL165" i="1"/>
  <c r="AL163" i="1"/>
  <c r="AK160" i="1"/>
  <c r="AL160" i="1"/>
  <c r="AK157" i="1"/>
  <c r="AK104" i="1"/>
  <c r="AL104" i="1"/>
  <c r="AK216" i="1"/>
  <c r="AK207" i="1"/>
  <c r="AL207" i="1"/>
  <c r="AK203" i="1"/>
  <c r="AL203" i="1"/>
  <c r="AK199" i="1"/>
  <c r="AL199" i="1"/>
  <c r="AK192" i="1"/>
  <c r="AL192" i="1"/>
  <c r="AK184" i="1"/>
  <c r="AL184" i="1"/>
  <c r="AK181" i="1"/>
  <c r="AK155" i="1"/>
  <c r="AK146" i="1"/>
  <c r="AK222" i="1"/>
  <c r="AK218" i="1"/>
  <c r="AK193" i="1"/>
  <c r="AL193" i="1"/>
  <c r="AL185" i="1"/>
  <c r="AK161" i="1"/>
  <c r="AL161" i="1"/>
  <c r="AK158" i="1"/>
  <c r="AL158" i="1"/>
  <c r="AK156" i="1"/>
  <c r="AK154" i="1"/>
  <c r="AL154" i="1"/>
  <c r="AK110" i="1"/>
  <c r="AL110" i="1"/>
  <c r="AK107" i="1"/>
  <c r="AK220" i="1"/>
  <c r="AK213" i="1"/>
  <c r="AK212" i="1"/>
  <c r="AK206" i="1"/>
  <c r="AL206" i="1"/>
  <c r="AK202" i="1"/>
  <c r="AL202" i="1"/>
  <c r="AK198" i="1"/>
  <c r="AL198" i="1"/>
  <c r="AK190" i="1"/>
  <c r="AL190" i="1"/>
  <c r="AK182" i="1"/>
  <c r="AL182" i="1"/>
  <c r="AK179" i="1"/>
  <c r="AK178" i="1"/>
  <c r="AK177" i="1"/>
  <c r="AK175" i="1"/>
  <c r="AK173" i="1"/>
  <c r="AK171" i="1"/>
  <c r="AK169" i="1"/>
  <c r="AK167" i="1"/>
  <c r="AK165" i="1"/>
  <c r="AK163" i="1"/>
  <c r="AK191" i="1"/>
  <c r="AL191" i="1"/>
  <c r="AL183" i="1"/>
  <c r="AL162" i="1"/>
  <c r="AL159" i="1"/>
  <c r="AK159" i="1"/>
  <c r="AK132" i="1"/>
  <c r="AL132" i="1"/>
  <c r="AK129" i="1"/>
  <c r="AK117" i="1"/>
  <c r="AL105" i="1"/>
  <c r="AL98" i="1"/>
  <c r="AL94" i="1"/>
  <c r="AK93" i="1"/>
  <c r="AL93" i="1"/>
  <c r="AK89" i="1"/>
  <c r="AL89" i="1"/>
  <c r="AK70" i="1"/>
  <c r="AK126" i="1"/>
  <c r="AL126" i="1"/>
  <c r="AK123" i="1"/>
  <c r="AK115" i="1"/>
  <c r="AK108" i="1"/>
  <c r="AL108" i="1"/>
  <c r="AK100" i="1"/>
  <c r="AL44" i="1"/>
  <c r="AK44" i="1"/>
  <c r="AL155" i="1"/>
  <c r="AK145" i="1"/>
  <c r="AL145" i="1"/>
  <c r="AK141" i="1"/>
  <c r="AL141" i="1"/>
  <c r="AK137" i="1"/>
  <c r="AL137" i="1"/>
  <c r="AK133" i="1"/>
  <c r="AK120" i="1"/>
  <c r="AL120" i="1"/>
  <c r="AK113" i="1"/>
  <c r="AL100" i="1"/>
  <c r="AK98" i="1"/>
  <c r="AK92" i="1"/>
  <c r="AK79" i="1"/>
  <c r="AL79" i="1"/>
  <c r="AK51" i="1"/>
  <c r="AL51" i="1"/>
  <c r="AL146" i="1"/>
  <c r="AK130" i="1"/>
  <c r="AL130" i="1"/>
  <c r="AK127" i="1"/>
  <c r="AK118" i="1"/>
  <c r="AL118" i="1"/>
  <c r="AK111" i="1"/>
  <c r="AK101" i="1"/>
  <c r="AK87" i="1"/>
  <c r="AL87" i="1"/>
  <c r="AL150" i="1"/>
  <c r="AL148" i="1"/>
  <c r="AK147" i="1"/>
  <c r="AL147" i="1"/>
  <c r="AK124" i="1"/>
  <c r="AL124" i="1"/>
  <c r="AK121" i="1"/>
  <c r="AK116" i="1"/>
  <c r="AL116" i="1"/>
  <c r="AK109" i="1"/>
  <c r="AL109" i="1"/>
  <c r="AL106" i="1"/>
  <c r="AK99" i="1"/>
  <c r="AL99" i="1"/>
  <c r="AK85" i="1"/>
  <c r="AL85" i="1"/>
  <c r="AK58" i="1"/>
  <c r="AL58" i="1"/>
  <c r="AK151" i="1"/>
  <c r="AL151" i="1"/>
  <c r="AL142" i="1"/>
  <c r="AL138" i="1"/>
  <c r="AL134" i="1"/>
  <c r="AK131" i="1"/>
  <c r="AK114" i="1"/>
  <c r="AL114" i="1"/>
  <c r="AL107" i="1"/>
  <c r="AK91" i="1"/>
  <c r="AL91" i="1"/>
  <c r="AK52" i="1"/>
  <c r="AK143" i="1"/>
  <c r="AL143" i="1"/>
  <c r="AK139" i="1"/>
  <c r="AL139" i="1"/>
  <c r="AK135" i="1"/>
  <c r="AL135" i="1"/>
  <c r="AK128" i="1"/>
  <c r="AL128" i="1"/>
  <c r="AK125" i="1"/>
  <c r="AK112" i="1"/>
  <c r="AL112" i="1"/>
  <c r="AL103" i="1"/>
  <c r="AK96" i="1"/>
  <c r="AK83" i="1"/>
  <c r="AL83" i="1"/>
  <c r="AK69" i="1"/>
  <c r="AL69" i="1"/>
  <c r="AL84" i="1"/>
  <c r="AK76" i="1"/>
  <c r="AL76" i="1"/>
  <c r="AK66" i="1"/>
  <c r="AL66" i="1"/>
  <c r="AK55" i="1"/>
  <c r="AK53" i="1"/>
  <c r="AK56" i="1"/>
  <c r="AL56" i="1"/>
  <c r="AL47" i="1"/>
  <c r="AL45" i="1"/>
  <c r="AK42" i="1"/>
  <c r="AL39" i="1"/>
  <c r="AL28" i="1"/>
  <c r="AL16" i="1"/>
  <c r="AL80" i="1"/>
  <c r="AK77" i="1"/>
  <c r="AL77" i="1"/>
  <c r="AL70" i="1"/>
  <c r="AL67" i="1"/>
  <c r="AK64" i="1"/>
  <c r="AK57" i="1"/>
  <c r="AK54" i="1"/>
  <c r="AL54" i="1"/>
  <c r="AK95" i="1"/>
  <c r="AL92" i="1"/>
  <c r="AL90" i="1"/>
  <c r="AK88" i="1"/>
  <c r="AL86" i="1"/>
  <c r="AK81" i="1"/>
  <c r="AK74" i="1"/>
  <c r="AL74" i="1"/>
  <c r="AL65" i="1"/>
  <c r="AL62" i="1"/>
  <c r="AL61" i="1"/>
  <c r="AL52" i="1"/>
  <c r="AK50" i="1"/>
  <c r="AL50" i="1"/>
  <c r="AK39" i="1"/>
  <c r="AK71" i="1"/>
  <c r="AL71" i="1"/>
  <c r="AK62" i="1"/>
  <c r="AK59" i="1"/>
  <c r="AL59" i="1"/>
  <c r="AK47" i="1"/>
  <c r="AK45" i="1"/>
  <c r="AK43" i="1"/>
  <c r="AL43" i="1"/>
  <c r="AK41" i="1"/>
  <c r="AL133" i="1"/>
  <c r="AL131" i="1"/>
  <c r="AL129" i="1"/>
  <c r="AL127" i="1"/>
  <c r="AL125" i="1"/>
  <c r="AL123" i="1"/>
  <c r="AL121" i="1"/>
  <c r="AL119" i="1"/>
  <c r="AL117" i="1"/>
  <c r="AL115" i="1"/>
  <c r="AL113" i="1"/>
  <c r="AL111" i="1"/>
  <c r="AL82" i="1"/>
  <c r="AK78" i="1"/>
  <c r="AL75" i="1"/>
  <c r="AK68" i="1"/>
  <c r="AL68" i="1"/>
  <c r="AK63" i="1"/>
  <c r="AL63" i="1"/>
  <c r="AK61" i="1"/>
  <c r="AL60" i="1"/>
  <c r="AL57" i="1"/>
  <c r="AL55" i="1"/>
  <c r="AL53" i="1"/>
  <c r="AK48" i="1"/>
  <c r="AL48" i="1"/>
  <c r="AK40" i="1"/>
  <c r="AL40" i="1"/>
  <c r="AL38" i="1"/>
  <c r="AK36" i="1"/>
  <c r="AL36" i="1"/>
  <c r="AL22" i="1"/>
  <c r="AL73" i="1"/>
  <c r="AK72" i="1"/>
  <c r="AK65" i="1"/>
  <c r="AK60" i="1"/>
  <c r="AK49" i="1"/>
  <c r="AK46" i="1"/>
  <c r="AL46" i="1"/>
  <c r="AL33" i="1"/>
  <c r="AK26" i="1"/>
  <c r="AK23" i="1"/>
  <c r="AK13" i="1"/>
  <c r="AL13" i="1"/>
  <c r="AK10" i="1"/>
  <c r="AK33" i="1"/>
  <c r="AL27" i="1"/>
  <c r="AK20" i="1"/>
  <c r="AL11" i="1"/>
  <c r="AK8" i="1"/>
  <c r="AK6" i="1"/>
  <c r="AK30" i="1"/>
  <c r="AK27" i="1"/>
  <c r="AL21" i="1"/>
  <c r="AL9" i="1"/>
  <c r="AL7" i="1"/>
  <c r="AL5" i="1"/>
  <c r="AL31" i="1"/>
  <c r="AK24" i="1"/>
  <c r="AK21" i="1"/>
  <c r="AL42" i="1"/>
  <c r="AK34" i="1"/>
  <c r="AK31" i="1"/>
  <c r="AL25" i="1"/>
  <c r="AK18" i="1"/>
  <c r="AK11" i="1"/>
  <c r="AL78" i="1"/>
  <c r="AL35" i="1"/>
  <c r="AK28" i="1"/>
  <c r="AK25" i="1"/>
  <c r="AL19" i="1"/>
  <c r="AK16" i="1"/>
  <c r="AK9" i="1"/>
  <c r="AK7" i="1"/>
  <c r="AK5" i="1"/>
  <c r="AL29" i="1"/>
  <c r="AK22" i="1"/>
  <c r="AK19" i="1"/>
  <c r="AK1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<sst xmlns="http://schemas.openxmlformats.org/spreadsheetml/2006/main" count="3759" uniqueCount="1870">
  <si>
    <t>CRE</t>
  </si>
  <si>
    <t>BAIRRO</t>
  </si>
  <si>
    <t>Nº</t>
  </si>
  <si>
    <t>Denominação SGA</t>
  </si>
  <si>
    <t>Creche Parceira</t>
  </si>
  <si>
    <t>Mantenedora</t>
  </si>
  <si>
    <t>Endereço</t>
  </si>
  <si>
    <t>Bairro</t>
  </si>
  <si>
    <t>Meta</t>
  </si>
  <si>
    <t>Faixa Etária</t>
  </si>
  <si>
    <t>Total Alunos</t>
  </si>
  <si>
    <t>Total Incluídos</t>
  </si>
  <si>
    <t>Vagas</t>
  </si>
  <si>
    <t>Excedentes</t>
  </si>
  <si>
    <t>Obs</t>
  </si>
  <si>
    <t>CP CASA MATERNAL CORAÇÃO DE MÃE</t>
  </si>
  <si>
    <t>CP CRECHE CANTINHO FELIZ DE SANTA TERESA</t>
  </si>
  <si>
    <t>CP CRECHE DO TUIUTI</t>
  </si>
  <si>
    <t>CP EDUCANDÁRIO NOSSA SENHORA DE NAZARÉ</t>
  </si>
  <si>
    <t>CP CRECHE COMUNITÁRIA ANITA WAY</t>
  </si>
  <si>
    <t>CRECHE COMUNITÁRIA ANITA WAY</t>
  </si>
  <si>
    <t>CENTRO CULTURAL MONTESSORI</t>
  </si>
  <si>
    <t>CENTRO CULTURAL EVOLUIR</t>
  </si>
  <si>
    <t>CRECHE FRUTOS DO AMANHÃ I</t>
  </si>
  <si>
    <t>CRECHE FRUTOS DO AMANHÃ II</t>
  </si>
  <si>
    <t>CP CENTRO CULTURAL EDUCAR - UNIDADE III</t>
  </si>
  <si>
    <t>CP CRECHE VALE DO SOL NO GROTÃO</t>
  </si>
  <si>
    <t>CENTRO CULTURAL PEDACINHO DO CÉU</t>
  </si>
  <si>
    <t xml:space="preserve">CENTRO CULTURAL PEDACINHO DO CÉU </t>
  </si>
  <si>
    <t>ASSOCIAÇÃO COMUNITÁRIA EDUCACIONAL FLORESCER</t>
  </si>
  <si>
    <t>CRECHE HOUSE BABY - BONSUCESSO</t>
  </si>
  <si>
    <t>ASSOCIAÇÃO HOUSE BABY</t>
  </si>
  <si>
    <t>CRECHE CRIANÇA FELIZ EM LUCAS</t>
  </si>
  <si>
    <t>CENTRO EDUCACIONAL VALE DO SOL</t>
  </si>
  <si>
    <t>CRECHE TIA NANE III</t>
  </si>
  <si>
    <t>CENTRO CULTURAL TIA NANE</t>
  </si>
  <si>
    <t>CRECHE VALE DO SOL III</t>
  </si>
  <si>
    <t>INSTITUTO DE EDUCAÇÃO EUCLIDES DOS SANTOS II</t>
  </si>
  <si>
    <t xml:space="preserve">INSTITUTO DE EDUCAÇÃO EUCLIDES DOS SANTOS </t>
  </si>
  <si>
    <t>ASSOCIAÇÃO CRECHE ESPERANÇA</t>
  </si>
  <si>
    <t>CENTRO EDUCACIONAL SOMAR</t>
  </si>
  <si>
    <t>CENTRO EDUCACIONAL PROMESSA DE DEUS</t>
  </si>
  <si>
    <t>AEMMAC</t>
  </si>
  <si>
    <t>ASSOCIAÇÃO EDUCACIONAL MARIA M DE APOIO A CIDADANIA</t>
  </si>
  <si>
    <t>ASSOCIAÇÃO EDUCACIONAL E CULTURAL SÃO BERNARDO - CSB</t>
  </si>
  <si>
    <t>INSTITUTO EDUCACIONAL DIVA ALVES</t>
  </si>
  <si>
    <t>CRECHE MUNDO MÁGICO I</t>
  </si>
  <si>
    <t>SOCIEDADE DOS REUNIDOS PELO BEM ESTAR SOCIAL</t>
  </si>
  <si>
    <t>CRECHE COMUNITÁRIA IRMÃ MARIA DE LOURDES</t>
  </si>
  <si>
    <t>CENTRO COMUNITÁRIO IRMÃOS KENNEDY</t>
  </si>
  <si>
    <t>CEM - ESCOLA MACHADO - UNIDADE I</t>
  </si>
  <si>
    <t>ASSOCIAÇÃO RECREATIVA MUNIZ BARRETO</t>
  </si>
  <si>
    <t>ESPAÇO DE DESENVOLVIMENTO CARIOQUINHA</t>
  </si>
  <si>
    <t>ASSOC.DE MORADORES UNIÃO DAS BASES DE URUCÂNIA E ADJACÊNCIAS- POCINHOS</t>
  </si>
  <si>
    <t>INSTITUTO CRESCER &amp; APRENDER</t>
  </si>
  <si>
    <t>ESPAÇO CRIATIVO CASTELINHO RINALDI</t>
  </si>
  <si>
    <t>ESPAÇO CRIATIVO SALOMÃO</t>
  </si>
  <si>
    <t>CRECHE COMUNITÁRIA DOCE INFÂNCIA</t>
  </si>
  <si>
    <t>NINHO CARIOCA</t>
  </si>
  <si>
    <t>ASSOCIAÇÃO ESPAÇO NINHO CARIOCA</t>
  </si>
  <si>
    <t>CHECHE COMUNITÁRIA PEDACINHO DE CÉU</t>
  </si>
  <si>
    <t>CRECHE COMUNITÁRIA PEDACINHO DE CÉU</t>
  </si>
  <si>
    <t>ESPAÇO DE DESENVOLVIMENTO INFANTIL MÃE GAIA - UNIDADE I</t>
  </si>
  <si>
    <t>ESPAÇO DE DESENVOLVIMENTO INFANTIL MÃE GAIA</t>
  </si>
  <si>
    <t xml:space="preserve">CRECHE COMUNITÁRIA CANTINHO DO SABER </t>
  </si>
  <si>
    <t>INSTITUIÇÃO ASSOCIAÇÃO CIVIL CRECHE COMUNITÁRIA CRIANÇA FELIZ</t>
  </si>
  <si>
    <t>CP AMIG - ASSOCIAÇÃO DOS MORADORES DA ILHA DO GOVERNADOR</t>
  </si>
  <si>
    <t>CP CENTRO DE ATIVIDADES EDUCACIONAIS E CULTURAIS ARCA DE NOÉ - CAECAN</t>
  </si>
  <si>
    <t>CP CRECHE CASULO DO DENDÊ</t>
  </si>
  <si>
    <t>CP CRECHE COMUNITÁRIA ALEGRIA DA CRIANÇA</t>
  </si>
  <si>
    <t>CP CRECHE ESFERA KIDS</t>
  </si>
  <si>
    <t>CP FILIAL BANCÁRIOS - RJ</t>
  </si>
  <si>
    <t>INEP</t>
  </si>
  <si>
    <t> 33192774</t>
  </si>
  <si>
    <t>ASSOC.DE MORADORES UNIÃO DAS BASES DE URUCÂNIA E ADJACÊNCIAS - COSMOS</t>
  </si>
  <si>
    <t>ASSOC.DE MORADORES UNIÃO DAS BASES DE URUCÂNIA E ADJACÊNCIAS - CAMPO GRANDE</t>
  </si>
  <si>
    <t>GRUPO COMUNITÁRIO CRECHE BERÇÁRIO NOVA JERUSALÉM</t>
  </si>
  <si>
    <t>CNPJ</t>
  </si>
  <si>
    <t>CP CENTRO CULTURAL MONTESSORI - SÃO CRISTÓVÃO</t>
  </si>
  <si>
    <t>CP ABRIGO TERESA DE JESUS</t>
  </si>
  <si>
    <t>CP AÇÃO SOCIAL PADRE ANCHIETA - ASPA</t>
  </si>
  <si>
    <t>CP CASA DA CRIANÇA</t>
  </si>
  <si>
    <t>CP CASA ESPÍRITA CRISTÃ MARIA DE NAZARÉ</t>
  </si>
  <si>
    <t>CP CASA MATERNAL MELLO MATTOS</t>
  </si>
  <si>
    <t>CP CENTRO COMUNITÁRIO ALEGRIA DAS CRIANÇAS</t>
  </si>
  <si>
    <t>CP CENTRO COMUNITÁRIO DA RUA UM UNIÃO FAZ A FORÇA</t>
  </si>
  <si>
    <t>CP CENTRO DE EDUCAÇÃO INFANTIL CRISTO REDENTOR</t>
  </si>
  <si>
    <t>CP CENTRO EDUCACIONAL ESPERANÇA</t>
  </si>
  <si>
    <t>CP CENTRO SOCIAL DA MULHER UÊGA</t>
  </si>
  <si>
    <t>CP CENTRO SOCIAL E AÍ COMO É QUE FICA ?</t>
  </si>
  <si>
    <t>CP CRECHE BERÇÁRIO MARIA HELENA DA ROCINHA</t>
  </si>
  <si>
    <t>CP CRECHE BEZERRA DE MENEZES - BOTAFOGO</t>
  </si>
  <si>
    <t>CP CRECHE CASA DO POBRE DE NOSSA SENHORA DE COPACABANA</t>
  </si>
  <si>
    <t>CP CRECHE CASA SANTA MARTA</t>
  </si>
  <si>
    <t>CP CRECHE CHAPEUZINHO MARROM</t>
  </si>
  <si>
    <t>CP CRECHE COMUNITÁRIA CANTINHO DA NATUREZA</t>
  </si>
  <si>
    <t>CP CRECHE ESCADINHA DO SABER</t>
  </si>
  <si>
    <t>CP CRECHE ESCOLA MENINOS DE LUZ</t>
  </si>
  <si>
    <t>CP CRECHE ESPAÇO SEMENTE</t>
  </si>
  <si>
    <t>CP CRECHE ESPERANÇA</t>
  </si>
  <si>
    <t>CP CRECHE MARIA MARIA</t>
  </si>
  <si>
    <t>CP CRECHE MONSENHOR FRANCA</t>
  </si>
  <si>
    <t>CP CRECHE PATINHO FELIZ</t>
  </si>
  <si>
    <t>CP CRECHE E PRÉ-ESCOLA COMUNITÁRIA DO 199 PINGO DE GENTE</t>
  </si>
  <si>
    <t>CP CRECHE PRÉ-ESCOLA COMUNITÁRIA DOIS IRMÃOS</t>
  </si>
  <si>
    <t>CP CRECHE SANT ANNA</t>
  </si>
  <si>
    <t>CP CRECHE SANTA CLARA</t>
  </si>
  <si>
    <t>CP CRECHE SANTA CLARA DE ASSIS NA PROVIDÊNCIA DE DEUS</t>
  </si>
  <si>
    <t>CP CRECHE SANTA MÔNICA</t>
  </si>
  <si>
    <t>CP CRECHE SÃO COSME E SÃO DAMIÃO</t>
  </si>
  <si>
    <t>CP CREI - CENTRO DE RECUPERAÇÃO INFANTIL</t>
  </si>
  <si>
    <t>CP CRUZADA PELA INFÂNCIA DO LEME</t>
  </si>
  <si>
    <t>CP ESPAÇO SANTA TEREZINHA - EST</t>
  </si>
  <si>
    <t>CP EDUCANDÁRIO CASA DE JACIRA</t>
  </si>
  <si>
    <t>CP ESCOLA COMUNITÁRIA DO CANTAGALO</t>
  </si>
  <si>
    <t>CP FUNDAÇÃO CASA SANTA IGNEZ</t>
  </si>
  <si>
    <t>CP GRUPO COMUNITÁRIO CRECHE ESCOLA TIA MAURA</t>
  </si>
  <si>
    <t>CP GRUPO COMUNITÁRIO MORRO DA ALEGRIA</t>
  </si>
  <si>
    <t>CP LAR CANTINHO FELIZ</t>
  </si>
  <si>
    <t>CP OBRA DO BERÇO</t>
  </si>
  <si>
    <t>CP UNIDAS - OBRAS SOCIAIS UNIDAS DE SANTA MARTA</t>
  </si>
  <si>
    <t>CP OBRAS SOCIAIS PADRE ALEIXO</t>
  </si>
  <si>
    <t>CP PATRONATO OPERÁRIO DA GÁVEA</t>
  </si>
  <si>
    <t>CP SOCIEDADE CIVIL DE ASSISTÊNCIA A MENORES - CASA DA DINDA</t>
  </si>
  <si>
    <t>CP UNIÃO DE MULHERES PRO-MELHORAMENTO DA ROUPA SUJA</t>
  </si>
  <si>
    <t>CP ABRIGO MARIA IMACULADA</t>
  </si>
  <si>
    <t>CP ASSOCIAÇÃO PRESBITERIANA CUIDANDO DO AMANHÃ - APCA</t>
  </si>
  <si>
    <t>CP CASA DE LEYLÁ</t>
  </si>
  <si>
    <t>CP CASA SÃO ROQUE</t>
  </si>
  <si>
    <t>CP CENTRO COMUNITÁRIO NOSSA SENHORA APARECIDA - CRECHE</t>
  </si>
  <si>
    <t>CP CENTRO CULTURAL EDUCAR - UNIDADE II</t>
  </si>
  <si>
    <t>CP CENTRO EDUCACIONAL SÃO VICENTE DE PAULO</t>
  </si>
  <si>
    <t>CP CHALÉ SEMENTINHA</t>
  </si>
  <si>
    <t>CP COLÉGIO RUTH SANT ANNA / JARDIM DE INFÂNCIA CIRANDA CIRANDINHA</t>
  </si>
  <si>
    <t>CP CRECHE ALFA MASTER</t>
  </si>
  <si>
    <t>CP CRECHE BRINCANDO COM O JUNINHO</t>
  </si>
  <si>
    <t>CP CRECHE CASA VIVA</t>
  </si>
  <si>
    <t>CP CRECHE CHAMEGUINHO</t>
  </si>
  <si>
    <t>CP CRECHE COMUNITÁRIA ELIANA SATURNINO BRAGA</t>
  </si>
  <si>
    <t>CP CRECHE COMUNITÁRIA JOÃO FERREIRA</t>
  </si>
  <si>
    <t>CP CRECHE COMUNITÁRIA TIA ALICE</t>
  </si>
  <si>
    <t>CP CRECHE DO CENTRO PASTORAL SOCIAL PADRE JUSTINO RUSSOLILLO</t>
  </si>
  <si>
    <t>CP CRECHE JACAREZINHO</t>
  </si>
  <si>
    <t>CP CRECHE ESCOLA COMUNITÁRIA MÃE SOCIAL</t>
  </si>
  <si>
    <t>CP CRECHE MÃE DO DIVINO SALVADOR</t>
  </si>
  <si>
    <t>CP CRECHE MARIETTA NAVARRO GAIO</t>
  </si>
  <si>
    <t>CP CRECHE PLANTANDO O AMANHÃ</t>
  </si>
  <si>
    <t>CP CRECHE RISCO E RABISCO</t>
  </si>
  <si>
    <t>CP CRECHE SÃO PEDRO NOLASCO</t>
  </si>
  <si>
    <t>CP CRECHE TERNURINHA</t>
  </si>
  <si>
    <t>CP CRECHE TIO KITO</t>
  </si>
  <si>
    <t>CP ESCOLA COMUNITÁRIA JARDIM ARCO-ÍRIS - UNIDADE I</t>
  </si>
  <si>
    <t>CP ESTRELINHA DO MAR</t>
  </si>
  <si>
    <t>CP FRATERNIDADE ASSISTENCIAL CRISTÃ</t>
  </si>
  <si>
    <t>CP INSTITUTO AVANTE ELITE DO FUTURO</t>
  </si>
  <si>
    <t>CP INSTITUTO EDUCACIONAL CRESCENDO E APRENDENDO ALGODÃO DOCE</t>
  </si>
  <si>
    <t>CP INSTITUTO EDUCACIONAL T &amp; P CONQUISTA</t>
  </si>
  <si>
    <t>CP LAR DA CRIANÇA JESUS BOM PASTOR</t>
  </si>
  <si>
    <t>CP LAR DE MARIA DOLORES</t>
  </si>
  <si>
    <t>CP NÚCLEO RECREATIVO RAIOZINHO DE SOL</t>
  </si>
  <si>
    <t>CP CENTRO CULTURAL EVOLUIR</t>
  </si>
  <si>
    <t>CP CRECHE FRUTOS DO AMANHÃ I</t>
  </si>
  <si>
    <t>CP CRECHE FRUTOS DO AMANHÃ II</t>
  </si>
  <si>
    <t>CP ASSOCIAÇÃO CENTRO EDUCACIONAL REBRAL I</t>
  </si>
  <si>
    <t>CP ASSOCIAÇÃO CENTRO EDUCACIONAL REBRAL II</t>
  </si>
  <si>
    <t>CP ASSOCIAÇÃO CENTRO EDUCACIONAL REBRAL IV</t>
  </si>
  <si>
    <t>CP ASSOCIAÇÃO CENTRO EDUCACIONAL REBRAL V</t>
  </si>
  <si>
    <t>CP ASSOCIAÇÃO CIVIL CENTRO EDUCACIONAL COMUNITÁRIO ESTAÇÃO DO SABER</t>
  </si>
  <si>
    <t>CP CASA DE JOEL</t>
  </si>
  <si>
    <t>CP CASA DE JOEL II</t>
  </si>
  <si>
    <t>CP CENTRO CULTURAL EDUCAR</t>
  </si>
  <si>
    <t>CP CENTRO EDUCACIONAL APRENDIZ DA MARÉ</t>
  </si>
  <si>
    <t>CP COMUNIDADE INSTITUCIONAL ADULÃO TEMPO FELIZ</t>
  </si>
  <si>
    <t>CP CRECHE CASULO BOM JESUS DA PENHA</t>
  </si>
  <si>
    <t>CP CRECHE COMUNITÁRIA CASULO DO PARQUE PROLETÁRIO DA PENHA</t>
  </si>
  <si>
    <t>CP CRECHE COMUNITÁRIA DE MANGUINHOS</t>
  </si>
  <si>
    <t>CP CRECHE COMUNITÁRIA SAGRADO CORAÇÃO DE MARIA</t>
  </si>
  <si>
    <t>CP CRECHE DO CENTRO COMUNITÁRIO DA VILA PROLETÁRIA DA PENHA</t>
  </si>
  <si>
    <t>CP CRECHE E PRÉ-ESCOLA NOVA JERUSALÉM</t>
  </si>
  <si>
    <t>CP CRECHE E PRÉ-ESCOLA NOVA JERUSALÉM NO CORDOVIL</t>
  </si>
  <si>
    <t>CP CRECHE ESCOLA MIMI I</t>
  </si>
  <si>
    <t>CP CRECHE ESCOLA MIMI II</t>
  </si>
  <si>
    <t>CP CRECHE ESCOLA PATINHO ESTUDIOSO</t>
  </si>
  <si>
    <t>CP CRECHE GIZ COLORIDO</t>
  </si>
  <si>
    <t>CP CRECHE LAR IRMÃO FRANCISCO</t>
  </si>
  <si>
    <t>CP CRECHE SAGRADO CORAÇÃO DE MARIA E SANTO ANTÔNIO</t>
  </si>
  <si>
    <t>CP CRECHE TIA NANE I</t>
  </si>
  <si>
    <t>CP CRECHE VALE DO SOL</t>
  </si>
  <si>
    <t>CP CRECHE VALE DO SOL II</t>
  </si>
  <si>
    <t>CP ESPAÇO DE EDUCAÇÃO INFANTIL VILA DO JOÃO</t>
  </si>
  <si>
    <t>CP INSTITUTO DE EDUCAÇÃO EUCLIDES DOS SANTOS</t>
  </si>
  <si>
    <t>CP INSTITUTO EDUCACIONAL LUIZ ANTONIO - IELA</t>
  </si>
  <si>
    <t>CP RECANTO DA CRIANÇA FELIZ</t>
  </si>
  <si>
    <t>CP SOCIEDADE DE ENSINO TEREZA CRISTINA</t>
  </si>
  <si>
    <t>CP SOLZINHO</t>
  </si>
  <si>
    <t>CP ASSOCIAÇÃO CENTRO EDUCACIONAL REBRAL X</t>
  </si>
  <si>
    <t>CP ASSOCIAÇÃO CENTRO EDUCACIONAL REBRAL VIII</t>
  </si>
  <si>
    <t>CP ASSOCIAÇÃO CENTRO EDUCACIONAL REBRAL IX</t>
  </si>
  <si>
    <t>CP CRECHE ESCOLA OTACÍLIO BATISTA</t>
  </si>
  <si>
    <t>CP CENTRO CULTURAL PEDACINHO DO CÉU</t>
  </si>
  <si>
    <t>CP ASSOCIAÇÃO COMUNITÁRIA EDUCACIONAL FLORESCER</t>
  </si>
  <si>
    <t>CP ASSOCIAÇÃO HOUSE BABY - BONSUCESSO</t>
  </si>
  <si>
    <t>CP CRECHE CRIANÇA FELIZ EM LUCAS</t>
  </si>
  <si>
    <t>CP CRECHE TIA NANE III</t>
  </si>
  <si>
    <t>CP CRECHE VALE DO SOL III</t>
  </si>
  <si>
    <t>CP INSTITUTO DE EDUCAÇÃO EUCLIDES DOS SANTOS II</t>
  </si>
  <si>
    <t>CP ASSOCIAÇÃO AMIGOS DA CRIANÇA - CRECHE ROCHA MIRANDA</t>
  </si>
  <si>
    <t>CP ASSOCIAÇÃO CENTRO EDUCACIONAL REBRAL VII</t>
  </si>
  <si>
    <t>CP ASSOCIAÇÃO CRECHE ESPERANÇA - IRAJÁ</t>
  </si>
  <si>
    <t>CP ASSOCIAÇÃO HOUSE BABY - VILA KOSMOS</t>
  </si>
  <si>
    <t>CP CRECHE APÓSTOLO SÃO PEDRO</t>
  </si>
  <si>
    <t>CP CRECHE CARDEAL CÂMARA</t>
  </si>
  <si>
    <t>CP CRECHE CASULO SÃO RAFAEL ARCANJO</t>
  </si>
  <si>
    <t>CP CENTRO COMUNITÁRIO FLOR DO AMANHÃ</t>
  </si>
  <si>
    <t>CP CRECHE EFFATÁ</t>
  </si>
  <si>
    <t>CP CRECHE PINTINHO DOURADO</t>
  </si>
  <si>
    <t>CP ASSOCIAÇÃO CENTRO EDUCACIONAL REBRAL XI</t>
  </si>
  <si>
    <t>CP CENTRO EDUCACIONAL SOMAR</t>
  </si>
  <si>
    <t>CP AEMMAC - ROCHA MIRANDA</t>
  </si>
  <si>
    <t>CP AEMMAC - MARECHAL HERMES</t>
  </si>
  <si>
    <t>CP ASSOCIAÇÃO EDUCACIONAL E CULTURAL SÃO BERNARDO - CSB</t>
  </si>
  <si>
    <t>CP ASSOCIAÇÃO CRESCÊNCIO</t>
  </si>
  <si>
    <t>CP CENTRO COMUNITÁRIO PARQUE UNIDOS DE ACARI</t>
  </si>
  <si>
    <t>CP CENTRO EDUCACIONAL NOSSA SENHORA APARECIDA</t>
  </si>
  <si>
    <t>CP CRECHE ABRINDO PORTAS</t>
  </si>
  <si>
    <t>CP CRECHE COMUNITÁRIA AQUARELA</t>
  </si>
  <si>
    <t>CP CRECHE DON GUANELLA</t>
  </si>
  <si>
    <t>CP CRECHE ESCOLA COMUNITÁRIA TIO PATINHAS</t>
  </si>
  <si>
    <t>CP ESCOLA PATRONATO NOSSA SENHORA DE NAZARÉ</t>
  </si>
  <si>
    <t>CP CRECHE GUADALUPE</t>
  </si>
  <si>
    <t>CP CRECHE NOSSO LAR</t>
  </si>
  <si>
    <t>CP AEMMAC - PAVUNA</t>
  </si>
  <si>
    <t>CP CASA EMILIEN LACAY</t>
  </si>
  <si>
    <t>CP CENTRO INTEGRADO SÃO JOSÉ</t>
  </si>
  <si>
    <t>CP CRECHE CANTINHO FELIZ</t>
  </si>
  <si>
    <t>CP CRECHE CANTINHO FELIZ II</t>
  </si>
  <si>
    <t>CP CRECHE ESCOLA MÃE ASTÉRIA</t>
  </si>
  <si>
    <t>CP CRECHE NOVA ESPERANÇA</t>
  </si>
  <si>
    <t>CP CRECHE NOVO PALMARES</t>
  </si>
  <si>
    <t>CP CRECHE RAIMUNDA NONATA DA SILVA</t>
  </si>
  <si>
    <t>CP CRECHE RITA ALEXANDRINA FERREIRA</t>
  </si>
  <si>
    <t>CP CRECHE SANT ANA IRMÃ ANCILA</t>
  </si>
  <si>
    <t>CP CRECHE SÃO PAULO APÓSTOLO</t>
  </si>
  <si>
    <t>CP ESPAÇO DE EDUCAÇÃO INFANTIL CIDADE DE DEUS</t>
  </si>
  <si>
    <t>CP JARDIM ESCOLA CRESCENDO E APRENDENDO</t>
  </si>
  <si>
    <t>CP JARDIM ESCOLA TURMINHA DA ARCA - JETA</t>
  </si>
  <si>
    <t>CP SEMENTE DE AMOR</t>
  </si>
  <si>
    <t>CP INSTITUTO CONSUELO PINHEIRO</t>
  </si>
  <si>
    <t>CP INSTITUTO EDUCACIONAL DIVA ALVES</t>
  </si>
  <si>
    <t>CP CRECHE MUNDO MÁGICO I</t>
  </si>
  <si>
    <t>CP AEMMAC - ANIL</t>
  </si>
  <si>
    <t>CP ASSOCIAÇÃO CENTRO EDUCACIONAL REBRAL III</t>
  </si>
  <si>
    <t>CP ASSOCIAÇÃO CENTRO EDUCACIONAL REBRAL VI</t>
  </si>
  <si>
    <t>CP ASSOCIAÇÃO CRECHE ESPERANÇA - REALENGO</t>
  </si>
  <si>
    <t>CP ASSOCIAÇÃO DE MORADORES DO CONJUNTO PEDRO I E ADJACÊNCIAS</t>
  </si>
  <si>
    <t>CP ASSOCIAÇÃO RECREATIVA PINGUINHO DE GENTE</t>
  </si>
  <si>
    <t>CP CEM CRECHE ESCOLA MACHADO</t>
  </si>
  <si>
    <t>CP CENTRO EDUCACIONAL LUIZA</t>
  </si>
  <si>
    <t>CP CRECHE COMUNITÁRIA ESTRELINHA</t>
  </si>
  <si>
    <t>CP CRECHE COMUNITÁRIA NINO</t>
  </si>
  <si>
    <t>CP CRECHE CRIANÇA JABOUR</t>
  </si>
  <si>
    <t>CP CRECHE E ESCOLA COMUNITÁRIA GENTE INOCENTE - REALENGO</t>
  </si>
  <si>
    <t>CP CRECHE E ESCOLA COMUNITÁRIA GENTE INOCENTE - BANGU</t>
  </si>
  <si>
    <t>CP CRECHE ESPÍRITA FRANCISCO DE ASSIS</t>
  </si>
  <si>
    <t>CP DO.RA., A AVENTUREIRA</t>
  </si>
  <si>
    <t>CP ESCOLA COMUNITÁRIA JARDIM ARCO-ÍRIS - UNIDADE II</t>
  </si>
  <si>
    <t>CP ESPAÇO DE EDUCAÇÃO INFANTIL BATAN</t>
  </si>
  <si>
    <t>CP FUNDAÇÃO CASA DA JOANINHA - CRECHE</t>
  </si>
  <si>
    <t>CP ASSOCIAÇÃO RECREATIVA MUNDO MÁGICO DA TIA NATY</t>
  </si>
  <si>
    <t>CP ASSOCIAÇÃO CRECHE ESPERANÇA - MAGALHÃES BASTOS</t>
  </si>
  <si>
    <t>CP CRECHE COMUNITÁRIA IRMÃ MARIA DE LOURDES</t>
  </si>
  <si>
    <t>CP CEM CRECHE ESCOLA MACHADO - UNIDADE I</t>
  </si>
  <si>
    <t>CP ASSOCIAÇÃO RECREATIVA MONIZ BARRETO</t>
  </si>
  <si>
    <t>CP CRECHE COMUNITÁRIA ANA &amp; LU</t>
  </si>
  <si>
    <t>CP CRECHE COMUNITÁRIA CRIANÇAS DE OURO</t>
  </si>
  <si>
    <t>CP CRECHE COMUNITÁRIA SANTA RITA</t>
  </si>
  <si>
    <t>CP CRECHE COMUNITÁRIA SOL DO SABER</t>
  </si>
  <si>
    <t>CP CRECHE COMUNITÁRIA TIA NEIDE - CAMPO GRANDE</t>
  </si>
  <si>
    <t>CP CRECHE E PRÉ-ESCOLA CANTINHO DO SABER</t>
  </si>
  <si>
    <t>CP CRECHE JARDIM ESCOLA RIO DA PRATA</t>
  </si>
  <si>
    <t>CP CRECHE NOVA JERUSALÉM EM CAMPO GRANDE</t>
  </si>
  <si>
    <t>CP CRECHE SAGRADA FAMÍLIA</t>
  </si>
  <si>
    <t>CP CRECHE SÃO JORGE</t>
  </si>
  <si>
    <t>CP INSTITUTO AVELINO - CAMPO GRANDE</t>
  </si>
  <si>
    <t>CP INSTITUTO DE ENSINO AVANÇADO</t>
  </si>
  <si>
    <t>CP ESPAÇO CRESCER</t>
  </si>
  <si>
    <t>CP ESPAÇO DE DESENVOLVIMENTO CARIOQUINHA</t>
  </si>
  <si>
    <t>CP ASSOCIAÇÃO DE MORADORES UNIÃO DAS BASES DE URUCÂNIA E ADJACÊNCIAS - COSMOS</t>
  </si>
  <si>
    <t>CP ASSOCIAÇÃO DE MORADORES UNIÃO DAS BASES DE URUCÂNIA E ADJACÊNCIAS - CAMPO GRANDE</t>
  </si>
  <si>
    <t>CP INSTITUTO CRESCER &amp; APRENDER</t>
  </si>
  <si>
    <t>CP ESPAÇO CRIATIVO CASTELINHO RINALDI</t>
  </si>
  <si>
    <t>CP ESPAÇO CRIATIVO SALOMÃO</t>
  </si>
  <si>
    <t>CP CRECHE COMUNITÁRIA DOCE INFÂNCIA</t>
  </si>
  <si>
    <t>CP ASSOCIAÇÃO DE MORADORES DAS MORADAS DO IMPÉRIO</t>
  </si>
  <si>
    <t>CP ASSOCIAÇÃO DE MORADORES E AMIGOS DO PARQUE ESTORIL - AMAPE</t>
  </si>
  <si>
    <t>CP CAAD - COMITÊ DE ATENDIMENTO À CRIANÇA E AO ADOLESCENTE - CJ ROLAS</t>
  </si>
  <si>
    <t>CP CASA MATERNAL NOSSA SENHORA DE NAZARÉ</t>
  </si>
  <si>
    <t>CP CENTRO CULTURAL DE DESENVOLVIMENTO INFANTIL JOÃO BATISTA</t>
  </si>
  <si>
    <t>CP CENTRO CULTURAL MONTESSORI - SANTA CRUZ</t>
  </si>
  <si>
    <t>CP CENTRO CULTURAL MONTESSORI - PACIÊNCIA</t>
  </si>
  <si>
    <t>CP CICIM I</t>
  </si>
  <si>
    <t>CP CICIM II</t>
  </si>
  <si>
    <t>CP CRECHE BEZERRA DE MENEZES - SANTA CRUZ</t>
  </si>
  <si>
    <t>CP CRECHE CANTINHO CASLU</t>
  </si>
  <si>
    <t>CP CRECHE CASULO AGOSTINHO - VERIDIANA</t>
  </si>
  <si>
    <t>CP CRECHE CASULO AGOSTINHO - SANTA CRUZ</t>
  </si>
  <si>
    <t>CP CRECHE COMUNITÁRIA AQUARELA DO SABER</t>
  </si>
  <si>
    <t>CP CRECHE COMUNITÁRIA ARCA DE NOÉ</t>
  </si>
  <si>
    <t>CP CRECHE COMUNITÁRIA ARTE &amp; CULTURA</t>
  </si>
  <si>
    <t>CP CRECHE COMUNITÁRIA CORAÇÃO DE MÃE</t>
  </si>
  <si>
    <t>CP CRECHE COMUNITÁRIA DEUS É FIEL - CCDF</t>
  </si>
  <si>
    <t>CP CRECHE COMUNITÁRIA DEUS É FIEL - UNIDADE VIII</t>
  </si>
  <si>
    <t>CP CRECHE COMUNITÁRIA DEUS É FIEL - UNIDADE VI</t>
  </si>
  <si>
    <t>CP CRECHE COMUNITÁRIA DEUS É FIEL - UNIDADE VII</t>
  </si>
  <si>
    <t>CP CRECHE COMUNITÁRIA ESTRELA DO AMANHÃ</t>
  </si>
  <si>
    <t>CP CRECHE COMUNITÁRIA GÊNIO DO FUTURO</t>
  </si>
  <si>
    <t>CP CRECHE COMUNITÁRIA JARDIM DO CONHECIMENTO</t>
  </si>
  <si>
    <t>CP CRECHE COMUNITÁRIA JARDIM ESPERANÇA</t>
  </si>
  <si>
    <t>CP CRECHE COMUNITÁRIA JARDIM PEDRA AZUL</t>
  </si>
  <si>
    <t>CP CRECHE COMUNITÁRIA MAGIA DA CRIANÇA</t>
  </si>
  <si>
    <t>CP CRECHE COMUNITÁRIA MUNDO ENCANTADO DA CRIANÇA</t>
  </si>
  <si>
    <t>CP CRECHE COMUNITÁRIA MUNDO MÁGICO</t>
  </si>
  <si>
    <t>CP CRECHE COMUNITÁRIA PLANETA BEBÊ</t>
  </si>
  <si>
    <t>CP CRECHE COMUNITÁRIA SÃO JOÃO BATISTA</t>
  </si>
  <si>
    <t>CP CRECHE COMUNITÁRIA TIA NEIDE - GUARATIBA</t>
  </si>
  <si>
    <t>CP CRECHE COMUNITÁRIA UNIVERSO INFANTIL</t>
  </si>
  <si>
    <t>CP CRECHE E ESCOLA COMUNITÁRIA GENTE BAIXINHA I</t>
  </si>
  <si>
    <t>CP CRECHE E ESCOLA COMUNITÁRIA GENTE BAIXINHA II</t>
  </si>
  <si>
    <t>CP CRECHE ESCOLA COMUNITÁRIA ISMÊNIA RIBEIRO</t>
  </si>
  <si>
    <t>CP CRECHE ESCOLA COMUNITÁRIA MALLETZINHO</t>
  </si>
  <si>
    <t>CP CRECHE ESCOLA COMUNITÁRIA SÍTIO ALEGRE</t>
  </si>
  <si>
    <t>CP CRECHE ESCOLA SOSSEGO DA MAMÃE</t>
  </si>
  <si>
    <t>CP CRECHE MAGIA DA CRIANÇA II</t>
  </si>
  <si>
    <t>CP CRECHE MUNDO DA BIBI</t>
  </si>
  <si>
    <t>CP ESCOLA COMUNITÁRIA ENCANTO DE MARIA</t>
  </si>
  <si>
    <t>CP ESCOLA COMUNITÁRIA JARDIM ALEXANDRINO</t>
  </si>
  <si>
    <t>CP ESCOLA COMUNITÁRIA JARDIM ARCO-ÍRIS</t>
  </si>
  <si>
    <t>CP ESCOLA COMUNITÁRIA JARDIM BALÃO MÁGICO</t>
  </si>
  <si>
    <t>CP ESCOLA COMUNITÁRIA JARDIM DE INFÂNCIA CHAVE DO TAMANHO</t>
  </si>
  <si>
    <t>CP ESCOLA COMUNITÁRIA JARDIM DE INFÂNCIA TIA ANASTÁCIA</t>
  </si>
  <si>
    <t>CP ESPAÇO CRIATIVO ERA UMA VEZ</t>
  </si>
  <si>
    <t>CP ESPAÇO DE DESENVOLVIMENTO MÃE GAIA</t>
  </si>
  <si>
    <t>CP FUNDAÇÃO KLINGNER PARA O DESENVOLVIMENTO SOCIAL</t>
  </si>
  <si>
    <t>CP INSTITUTO AVELINO - GUARATIBA</t>
  </si>
  <si>
    <t>CP JARDIM ESCOLA ERNESTO FAGUNDES VARELA</t>
  </si>
  <si>
    <t>CP OS BENEDITINHOS</t>
  </si>
  <si>
    <t>CP PEDACINHO DO CÉU</t>
  </si>
  <si>
    <t>CP PROJETO QUEBRA CABEÇA</t>
  </si>
  <si>
    <t>CP SEMPRE VIDA</t>
  </si>
  <si>
    <t>CP CRECHE COMUNITÁRIA ARTE &amp; CULTURA - UNIDADE I</t>
  </si>
  <si>
    <t>CP CRECHE COMUNITÁRIA DEUS É FIEL - UNIDADE X</t>
  </si>
  <si>
    <t>CP CRECHE COMUNITÁRIA MUNDO MÁGICO II</t>
  </si>
  <si>
    <t>CP NINHO CARIOCA</t>
  </si>
  <si>
    <t>CP CRECHE COMUNITÁRIA PEDACINHO DE CÉU</t>
  </si>
  <si>
    <t>CP ESPAÇO DE DESENVOLVIMENTO INFANTIL MÃE GAIA - UNIDADE I</t>
  </si>
  <si>
    <t>CP CRECHE COMUNITÁRIA CANTINHO DO SABER</t>
  </si>
  <si>
    <t>CP CRECHE COMUNITÁRIA CRIANÇA FELIZ</t>
  </si>
  <si>
    <t>68696962000160</t>
  </si>
  <si>
    <t>02287214000116</t>
  </si>
  <si>
    <t>02717198000154</t>
  </si>
  <si>
    <t>34100438000163</t>
  </si>
  <si>
    <t>19701694000112</t>
  </si>
  <si>
    <t>35455216000126</t>
  </si>
  <si>
    <t>33892738000160</t>
  </si>
  <si>
    <t>42564773000140</t>
  </si>
  <si>
    <t>33904020000146</t>
  </si>
  <si>
    <t>34036194000105</t>
  </si>
  <si>
    <t>33727009000158</t>
  </si>
  <si>
    <t>28019248000113</t>
  </si>
  <si>
    <t>27052182000109</t>
  </si>
  <si>
    <t>74032871000123</t>
  </si>
  <si>
    <t>01097940000103</t>
  </si>
  <si>
    <t>04697185000196</t>
  </si>
  <si>
    <t>30127625000180</t>
  </si>
  <si>
    <t>34031807000103</t>
  </si>
  <si>
    <t>34054148000120</t>
  </si>
  <si>
    <t>34114470000106</t>
  </si>
  <si>
    <t>33593575027314</t>
  </si>
  <si>
    <t>34064808000154</t>
  </si>
  <si>
    <t>31660004000120</t>
  </si>
  <si>
    <t>29274131000149</t>
  </si>
  <si>
    <t>17433591000193</t>
  </si>
  <si>
    <t>42185041000140</t>
  </si>
  <si>
    <t>29270428000136</t>
  </si>
  <si>
    <t>29014008000199</t>
  </si>
  <si>
    <t>30126791000161</t>
  </si>
  <si>
    <t>32154197000100</t>
  </si>
  <si>
    <t>34030585000104</t>
  </si>
  <si>
    <t>30022057000152</t>
  </si>
  <si>
    <t>04447582000100</t>
  </si>
  <si>
    <t>33593575023599</t>
  </si>
  <si>
    <t>42136531000156</t>
  </si>
  <si>
    <t>34056630000108</t>
  </si>
  <si>
    <t>42144998000148</t>
  </si>
  <si>
    <t>33784406000161</t>
  </si>
  <si>
    <t>00148879000113</t>
  </si>
  <si>
    <t>34125450000122</t>
  </si>
  <si>
    <t>73791337000138</t>
  </si>
  <si>
    <t>30119770000119</t>
  </si>
  <si>
    <t>42106799000145</t>
  </si>
  <si>
    <t>33522079000170</t>
  </si>
  <si>
    <t>29259850000190</t>
  </si>
  <si>
    <t>34021568000100</t>
  </si>
  <si>
    <t>34068528000114</t>
  </si>
  <si>
    <t>33585407000187</t>
  </si>
  <si>
    <t>05683369000160</t>
  </si>
  <si>
    <t>33638388000100</t>
  </si>
  <si>
    <t>06893183000106</t>
  </si>
  <si>
    <t>33709171000143</t>
  </si>
  <si>
    <t>42103333000196</t>
  </si>
  <si>
    <t>33593575012805</t>
  </si>
  <si>
    <t>27459612000101</t>
  </si>
  <si>
    <t>42028428000192</t>
  </si>
  <si>
    <t>26095792000119</t>
  </si>
  <si>
    <t>34088559000137</t>
  </si>
  <si>
    <t>10747292000184</t>
  </si>
  <si>
    <t>03817270000188</t>
  </si>
  <si>
    <t>29187747000182</t>
  </si>
  <si>
    <t>30716187000195</t>
  </si>
  <si>
    <t>30717177000174</t>
  </si>
  <si>
    <t>02529871000122</t>
  </si>
  <si>
    <t>06926654000127</t>
  </si>
  <si>
    <t>33593575012201</t>
  </si>
  <si>
    <t>33311291000198</t>
  </si>
  <si>
    <t>05492399000199</t>
  </si>
  <si>
    <t>00549660000126</t>
  </si>
  <si>
    <t>31421019000135</t>
  </si>
  <si>
    <t>40172026000131</t>
  </si>
  <si>
    <t>30478267000150</t>
  </si>
  <si>
    <t>27518963000138</t>
  </si>
  <si>
    <t>16670716000136</t>
  </si>
  <si>
    <t>35353173000178</t>
  </si>
  <si>
    <t>33593575036739</t>
  </si>
  <si>
    <t>28018521000195</t>
  </si>
  <si>
    <t>42313700000186</t>
  </si>
  <si>
    <t>46927499000188</t>
  </si>
  <si>
    <t>31601644000169</t>
  </si>
  <si>
    <t>03465953000113</t>
  </si>
  <si>
    <t>08681265000104</t>
  </si>
  <si>
    <t>04396217000113</t>
  </si>
  <si>
    <t>05858555000192</t>
  </si>
  <si>
    <t>33593575011310</t>
  </si>
  <si>
    <t>10158048000186</t>
  </si>
  <si>
    <t>29061900000120</t>
  </si>
  <si>
    <t>31157092000141</t>
  </si>
  <si>
    <t>72084122000114</t>
  </si>
  <si>
    <t>22212251000172</t>
  </si>
  <si>
    <t>01149568000131</t>
  </si>
  <si>
    <t>34703994000124</t>
  </si>
  <si>
    <t>35717309000181</t>
  </si>
  <si>
    <t>33701004000156</t>
  </si>
  <si>
    <t>33593575020140</t>
  </si>
  <si>
    <t>26544349000188</t>
  </si>
  <si>
    <t>34704019000130</t>
  </si>
  <si>
    <t>00517666000111</t>
  </si>
  <si>
    <t>35636284000191</t>
  </si>
  <si>
    <t>14954939000108</t>
  </si>
  <si>
    <t>34074252000187</t>
  </si>
  <si>
    <t>33766999000133</t>
  </si>
  <si>
    <t>39629136000109</t>
  </si>
  <si>
    <t>46015027000159</t>
  </si>
  <si>
    <t>46018442000166</t>
  </si>
  <si>
    <t>28663722000145</t>
  </si>
  <si>
    <t>17271547000124</t>
  </si>
  <si>
    <t>35857698000140</t>
  </si>
  <si>
    <t>33593575000114</t>
  </si>
  <si>
    <t>33952136000150</t>
  </si>
  <si>
    <t>33593575032075</t>
  </si>
  <si>
    <t>36266202000127</t>
  </si>
  <si>
    <t>40265613000175</t>
  </si>
  <si>
    <t>00407096000107</t>
  </si>
  <si>
    <t>28483476000140</t>
  </si>
  <si>
    <t>46572804000166</t>
  </si>
  <si>
    <t>05967792000191</t>
  </si>
  <si>
    <t>35955208000149</t>
  </si>
  <si>
    <t>28668879000163</t>
  </si>
  <si>
    <t>92873413000441</t>
  </si>
  <si>
    <t>03881480000135</t>
  </si>
  <si>
    <t>13922630000165</t>
  </si>
  <si>
    <t>33593575016894</t>
  </si>
  <si>
    <t>05331629000138</t>
  </si>
  <si>
    <t>92874775000104</t>
  </si>
  <si>
    <t>30871404000111</t>
  </si>
  <si>
    <t>73563637000160</t>
  </si>
  <si>
    <t>30476543000140</t>
  </si>
  <si>
    <t>97405997000100</t>
  </si>
  <si>
    <t>33760398000113</t>
  </si>
  <si>
    <t>05925069000140</t>
  </si>
  <si>
    <t>72386535000153</t>
  </si>
  <si>
    <t>33593575035848</t>
  </si>
  <si>
    <t>34066639000191</t>
  </si>
  <si>
    <t>33593575018242</t>
  </si>
  <si>
    <t>29295718000134</t>
  </si>
  <si>
    <t>02981143000157</t>
  </si>
  <si>
    <t>33906702000198</t>
  </si>
  <si>
    <t>33912577000129</t>
  </si>
  <si>
    <t>46496997000113</t>
  </si>
  <si>
    <t>04421158000196</t>
  </si>
  <si>
    <t>27797166000137</t>
  </si>
  <si>
    <t>11301349000108</t>
  </si>
  <si>
    <t>08892409000171</t>
  </si>
  <si>
    <t>07735398000153</t>
  </si>
  <si>
    <t>42224585000173</t>
  </si>
  <si>
    <t>27796630000170</t>
  </si>
  <si>
    <t>02849510000163</t>
  </si>
  <si>
    <t>07501534000140</t>
  </si>
  <si>
    <t>30484877000166</t>
  </si>
  <si>
    <t>34625826000168</t>
  </si>
  <si>
    <t>08103421000150</t>
  </si>
  <si>
    <t>35551148000107</t>
  </si>
  <si>
    <t>34113035000159</t>
  </si>
  <si>
    <t>43677983000108</t>
  </si>
  <si>
    <t>39748083000137</t>
  </si>
  <si>
    <t>39960193000168</t>
  </si>
  <si>
    <t>42602108000102</t>
  </si>
  <si>
    <t>35585479000150</t>
  </si>
  <si>
    <t>04711987000103</t>
  </si>
  <si>
    <t>29762411000104</t>
  </si>
  <si>
    <t>33593575029104</t>
  </si>
  <si>
    <t>31415680000138</t>
  </si>
  <si>
    <t>03537568000134</t>
  </si>
  <si>
    <t>40698331000161</t>
  </si>
  <si>
    <t>45792325000192</t>
  </si>
  <si>
    <t>68789585000104</t>
  </si>
  <si>
    <t>46760464000105</t>
  </si>
  <si>
    <t>46940959000108</t>
  </si>
  <si>
    <t>46979104000190</t>
  </si>
  <si>
    <t>28126142000119</t>
  </si>
  <si>
    <t>29240041000137</t>
  </si>
  <si>
    <t>02034629000188</t>
  </si>
  <si>
    <t>37289427000161</t>
  </si>
  <si>
    <t>06080771000112</t>
  </si>
  <si>
    <t>73306300000177</t>
  </si>
  <si>
    <t>32980919000185</t>
  </si>
  <si>
    <t>39489761000194</t>
  </si>
  <si>
    <t>68563808000110</t>
  </si>
  <si>
    <t>39748014000123</t>
  </si>
  <si>
    <t>38543956000102</t>
  </si>
  <si>
    <t>11429080000111</t>
  </si>
  <si>
    <t>40083026000165</t>
  </si>
  <si>
    <t>39489776000152</t>
  </si>
  <si>
    <t>40099366000184</t>
  </si>
  <si>
    <t>04673783000125</t>
  </si>
  <si>
    <t>68824150000153</t>
  </si>
  <si>
    <t>39374114000137</t>
  </si>
  <si>
    <t>40125642000131</t>
  </si>
  <si>
    <t>29240504000160</t>
  </si>
  <si>
    <t>34045021000145</t>
  </si>
  <si>
    <t>40130229000165</t>
  </si>
  <si>
    <t>00981263000129</t>
  </si>
  <si>
    <t>01151423000175</t>
  </si>
  <si>
    <t>39523831000183</t>
  </si>
  <si>
    <t>31420227000110</t>
  </si>
  <si>
    <t>29241148000108</t>
  </si>
  <si>
    <t>31421258000195</t>
  </si>
  <si>
    <t>31421191000199</t>
  </si>
  <si>
    <t>29240884000133</t>
  </si>
  <si>
    <t>33966199000166</t>
  </si>
  <si>
    <t>42370860000167</t>
  </si>
  <si>
    <t>31417678000106</t>
  </si>
  <si>
    <t>31415839000114</t>
  </si>
  <si>
    <t>31415219000185</t>
  </si>
  <si>
    <t>42418930000100</t>
  </si>
  <si>
    <t>10945138000117</t>
  </si>
  <si>
    <t>03952446000104</t>
  </si>
  <si>
    <t>46537303000149</t>
  </si>
  <si>
    <t>46162571000123</t>
  </si>
  <si>
    <t>46263063000131</t>
  </si>
  <si>
    <t>45509172000123</t>
  </si>
  <si>
    <t>42209775000111</t>
  </si>
  <si>
    <t>31157746000137</t>
  </si>
  <si>
    <t>29226750000168</t>
  </si>
  <si>
    <t>09654350000146</t>
  </si>
  <si>
    <t>010134</t>
  </si>
  <si>
    <t>010055</t>
  </si>
  <si>
    <t>010005</t>
  </si>
  <si>
    <t>010023</t>
  </si>
  <si>
    <t>010037</t>
  </si>
  <si>
    <t>010135</t>
  </si>
  <si>
    <t>020441</t>
  </si>
  <si>
    <t>021138</t>
  </si>
  <si>
    <t>020456</t>
  </si>
  <si>
    <t>020457</t>
  </si>
  <si>
    <t>020187</t>
  </si>
  <si>
    <t>020435</t>
  </si>
  <si>
    <t>020480</t>
  </si>
  <si>
    <t>020114</t>
  </si>
  <si>
    <t>020071</t>
  </si>
  <si>
    <t>020445</t>
  </si>
  <si>
    <t>020438</t>
  </si>
  <si>
    <t>020458</t>
  </si>
  <si>
    <t>020487</t>
  </si>
  <si>
    <t>020149</t>
  </si>
  <si>
    <t>020477</t>
  </si>
  <si>
    <t>020459</t>
  </si>
  <si>
    <t>020444</t>
  </si>
  <si>
    <t>020341</t>
  </si>
  <si>
    <t>021365</t>
  </si>
  <si>
    <t>020481</t>
  </si>
  <si>
    <t>020460</t>
  </si>
  <si>
    <t>020436</t>
  </si>
  <si>
    <t>020430</t>
  </si>
  <si>
    <t>020553</t>
  </si>
  <si>
    <t>020451</t>
  </si>
  <si>
    <t>020087</t>
  </si>
  <si>
    <t>021235</t>
  </si>
  <si>
    <t>021436</t>
  </si>
  <si>
    <t>020207</t>
  </si>
  <si>
    <t>020311</t>
  </si>
  <si>
    <t>020448</t>
  </si>
  <si>
    <t>020461</t>
  </si>
  <si>
    <t>020462</t>
  </si>
  <si>
    <t>020240</t>
  </si>
  <si>
    <t>020268</t>
  </si>
  <si>
    <t>020453</t>
  </si>
  <si>
    <t>020454</t>
  </si>
  <si>
    <t>020463</t>
  </si>
  <si>
    <t>020096</t>
  </si>
  <si>
    <t>022195</t>
  </si>
  <si>
    <t>020467</t>
  </si>
  <si>
    <t>020464</t>
  </si>
  <si>
    <t>020465</t>
  </si>
  <si>
    <t>020373</t>
  </si>
  <si>
    <t>022205</t>
  </si>
  <si>
    <t>030129</t>
  </si>
  <si>
    <t>030514</t>
  </si>
  <si>
    <t>031254</t>
  </si>
  <si>
    <t>030239</t>
  </si>
  <si>
    <t>030243</t>
  </si>
  <si>
    <t>031052</t>
  </si>
  <si>
    <t>030172</t>
  </si>
  <si>
    <t>030016</t>
  </si>
  <si>
    <t>030072</t>
  </si>
  <si>
    <t>032052</t>
  </si>
  <si>
    <t>031233</t>
  </si>
  <si>
    <t>030234</t>
  </si>
  <si>
    <t>030250</t>
  </si>
  <si>
    <t>030197</t>
  </si>
  <si>
    <t>030259</t>
  </si>
  <si>
    <t>039233</t>
  </si>
  <si>
    <t>030471</t>
  </si>
  <si>
    <t>030265</t>
  </si>
  <si>
    <t>030508</t>
  </si>
  <si>
    <t>030249</t>
  </si>
  <si>
    <t>030253</t>
  </si>
  <si>
    <t>030254</t>
  </si>
  <si>
    <t>030469</t>
  </si>
  <si>
    <t>030288</t>
  </si>
  <si>
    <t>031250</t>
  </si>
  <si>
    <t>039238</t>
  </si>
  <si>
    <t>039239</t>
  </si>
  <si>
    <t>030146</t>
  </si>
  <si>
    <t>030255</t>
  </si>
  <si>
    <t>030076</t>
  </si>
  <si>
    <t>030035</t>
  </si>
  <si>
    <t>030133</t>
  </si>
  <si>
    <t>030256</t>
  </si>
  <si>
    <t>030055</t>
  </si>
  <si>
    <t>031061</t>
  </si>
  <si>
    <t>039241</t>
  </si>
  <si>
    <t>030171</t>
  </si>
  <si>
    <t>031171</t>
  </si>
  <si>
    <t>040260</t>
  </si>
  <si>
    <t>042260</t>
  </si>
  <si>
    <t>041260</t>
  </si>
  <si>
    <t>043260</t>
  </si>
  <si>
    <t>049020</t>
  </si>
  <si>
    <t>040268</t>
  </si>
  <si>
    <t>041268</t>
  </si>
  <si>
    <t>040041</t>
  </si>
  <si>
    <t>042041</t>
  </si>
  <si>
    <t>049017</t>
  </si>
  <si>
    <t>040345</t>
  </si>
  <si>
    <t>040310</t>
  </si>
  <si>
    <t>040405</t>
  </si>
  <si>
    <t>040318</t>
  </si>
  <si>
    <t>040312</t>
  </si>
  <si>
    <t>040309</t>
  </si>
  <si>
    <t>040271</t>
  </si>
  <si>
    <t>042271</t>
  </si>
  <si>
    <t>040341</t>
  </si>
  <si>
    <t>041341</t>
  </si>
  <si>
    <t>040918</t>
  </si>
  <si>
    <t>040238</t>
  </si>
  <si>
    <t>040321</t>
  </si>
  <si>
    <t>040316</t>
  </si>
  <si>
    <t>040021</t>
  </si>
  <si>
    <t>040043</t>
  </si>
  <si>
    <t>042043</t>
  </si>
  <si>
    <t>043043</t>
  </si>
  <si>
    <t>040401</t>
  </si>
  <si>
    <t>040059</t>
  </si>
  <si>
    <t>040012</t>
  </si>
  <si>
    <t>040130</t>
  </si>
  <si>
    <t>040328</t>
  </si>
  <si>
    <t>041043</t>
  </si>
  <si>
    <t>045260</t>
  </si>
  <si>
    <t>044260</t>
  </si>
  <si>
    <t>046260</t>
  </si>
  <si>
    <t>040080</t>
  </si>
  <si>
    <t>040180</t>
  </si>
  <si>
    <t>040044</t>
  </si>
  <si>
    <t>044043</t>
  </si>
  <si>
    <t>041059</t>
  </si>
  <si>
    <t>050367</t>
  </si>
  <si>
    <t>050087</t>
  </si>
  <si>
    <t>050056</t>
  </si>
  <si>
    <t>050421</t>
  </si>
  <si>
    <t>050369</t>
  </si>
  <si>
    <t>050387</t>
  </si>
  <si>
    <t>050328</t>
  </si>
  <si>
    <t>050422</t>
  </si>
  <si>
    <t>050362</t>
  </si>
  <si>
    <t>050374</t>
  </si>
  <si>
    <t>051087</t>
  </si>
  <si>
    <t>050070</t>
  </si>
  <si>
    <t>050194</t>
  </si>
  <si>
    <t>051194</t>
  </si>
  <si>
    <t>050372</t>
  </si>
  <si>
    <t>060152</t>
  </si>
  <si>
    <t>060095</t>
  </si>
  <si>
    <t>060002</t>
  </si>
  <si>
    <t>060133</t>
  </si>
  <si>
    <t>060150</t>
  </si>
  <si>
    <t>060090</t>
  </si>
  <si>
    <t>060138</t>
  </si>
  <si>
    <t>060016</t>
  </si>
  <si>
    <t>060094</t>
  </si>
  <si>
    <t>060056</t>
  </si>
  <si>
    <t>060155</t>
  </si>
  <si>
    <t>070064</t>
  </si>
  <si>
    <t>071078</t>
  </si>
  <si>
    <t>070275</t>
  </si>
  <si>
    <t>071275</t>
  </si>
  <si>
    <t>070274</t>
  </si>
  <si>
    <t>070163</t>
  </si>
  <si>
    <t>079982</t>
  </si>
  <si>
    <t>070572</t>
  </si>
  <si>
    <t>071001</t>
  </si>
  <si>
    <t>070152</t>
  </si>
  <si>
    <t>070180</t>
  </si>
  <si>
    <t>079140</t>
  </si>
  <si>
    <t>079998</t>
  </si>
  <si>
    <t>070800</t>
  </si>
  <si>
    <t>070281</t>
  </si>
  <si>
    <t>079975</t>
  </si>
  <si>
    <t>079067</t>
  </si>
  <si>
    <t>079970</t>
  </si>
  <si>
    <t>079971</t>
  </si>
  <si>
    <t>080235</t>
  </si>
  <si>
    <t>081235</t>
  </si>
  <si>
    <t>080284</t>
  </si>
  <si>
    <t>080674</t>
  </si>
  <si>
    <t>080220</t>
  </si>
  <si>
    <t>089973</t>
  </si>
  <si>
    <t>089999</t>
  </si>
  <si>
    <t>089062</t>
  </si>
  <si>
    <t>080655</t>
  </si>
  <si>
    <t>080195</t>
  </si>
  <si>
    <t>080241</t>
  </si>
  <si>
    <t>081241</t>
  </si>
  <si>
    <t>080240</t>
  </si>
  <si>
    <t>080204</t>
  </si>
  <si>
    <t>080265</t>
  </si>
  <si>
    <t>080244</t>
  </si>
  <si>
    <t>080703</t>
  </si>
  <si>
    <t>089989</t>
  </si>
  <si>
    <t>081284</t>
  </si>
  <si>
    <t>080175</t>
  </si>
  <si>
    <t>088973</t>
  </si>
  <si>
    <t>080057</t>
  </si>
  <si>
    <t>090947</t>
  </si>
  <si>
    <t>091112</t>
  </si>
  <si>
    <t>090022</t>
  </si>
  <si>
    <t>091122</t>
  </si>
  <si>
    <t>091117</t>
  </si>
  <si>
    <t>090195</t>
  </si>
  <si>
    <t>090942</t>
  </si>
  <si>
    <t>091115</t>
  </si>
  <si>
    <t>090910</t>
  </si>
  <si>
    <t>090150</t>
  </si>
  <si>
    <t>090158</t>
  </si>
  <si>
    <t>090941</t>
  </si>
  <si>
    <t>091120</t>
  </si>
  <si>
    <t>091128</t>
  </si>
  <si>
    <t>091129</t>
  </si>
  <si>
    <t>092129</t>
  </si>
  <si>
    <t>091130</t>
  </si>
  <si>
    <t>091142</t>
  </si>
  <si>
    <t>091134</t>
  </si>
  <si>
    <t>100096</t>
  </si>
  <si>
    <t>100143</t>
  </si>
  <si>
    <t>100002</t>
  </si>
  <si>
    <t>101002</t>
  </si>
  <si>
    <t>100099</t>
  </si>
  <si>
    <t>100208</t>
  </si>
  <si>
    <t>100200</t>
  </si>
  <si>
    <t>101200</t>
  </si>
  <si>
    <t>100183</t>
  </si>
  <si>
    <t>101183</t>
  </si>
  <si>
    <t>102103</t>
  </si>
  <si>
    <t>100090</t>
  </si>
  <si>
    <t>101103</t>
  </si>
  <si>
    <t>100103</t>
  </si>
  <si>
    <t>100203</t>
  </si>
  <si>
    <t>100201</t>
  </si>
  <si>
    <t>100202</t>
  </si>
  <si>
    <t>100206</t>
  </si>
  <si>
    <t>100193</t>
  </si>
  <si>
    <t>106193</t>
  </si>
  <si>
    <t>103193</t>
  </si>
  <si>
    <t>104193</t>
  </si>
  <si>
    <t>100212</t>
  </si>
  <si>
    <t>100204</t>
  </si>
  <si>
    <t>100213</t>
  </si>
  <si>
    <t>100107</t>
  </si>
  <si>
    <t>100108</t>
  </si>
  <si>
    <t>100142</t>
  </si>
  <si>
    <t>100150</t>
  </si>
  <si>
    <t>100158</t>
  </si>
  <si>
    <t>100209</t>
  </si>
  <si>
    <t>101108</t>
  </si>
  <si>
    <t>100215</t>
  </si>
  <si>
    <t>100210</t>
  </si>
  <si>
    <t>100130</t>
  </si>
  <si>
    <t>101130</t>
  </si>
  <si>
    <t>100137</t>
  </si>
  <si>
    <t>100211</t>
  </si>
  <si>
    <t>100129</t>
  </si>
  <si>
    <t>100112</t>
  </si>
  <si>
    <t>101142</t>
  </si>
  <si>
    <t>100207</t>
  </si>
  <si>
    <t>100116</t>
  </si>
  <si>
    <t>100110</t>
  </si>
  <si>
    <t>100113</t>
  </si>
  <si>
    <t>100127</t>
  </si>
  <si>
    <t>100064</t>
  </si>
  <si>
    <t>100106</t>
  </si>
  <si>
    <t>100192</t>
  </si>
  <si>
    <t>100218</t>
  </si>
  <si>
    <t>100121</t>
  </si>
  <si>
    <t>100145</t>
  </si>
  <si>
    <t>100111</t>
  </si>
  <si>
    <t>100114</t>
  </si>
  <si>
    <t>100220</t>
  </si>
  <si>
    <t>100181</t>
  </si>
  <si>
    <t>100123</t>
  </si>
  <si>
    <t>101202</t>
  </si>
  <si>
    <t>105193</t>
  </si>
  <si>
    <t>101158</t>
  </si>
  <si>
    <t>100223</t>
  </si>
  <si>
    <t>100227</t>
  </si>
  <si>
    <t>101218</t>
  </si>
  <si>
    <t>100222</t>
  </si>
  <si>
    <t>100225</t>
  </si>
  <si>
    <t>110316</t>
  </si>
  <si>
    <t>110324</t>
  </si>
  <si>
    <t>110403</t>
  </si>
  <si>
    <t>110317</t>
  </si>
  <si>
    <t>110393</t>
  </si>
  <si>
    <t>111403</t>
  </si>
  <si>
    <t>SISEP</t>
  </si>
  <si>
    <t>CP NASCEER - NÚCLEO DE ASSIST. SOCIAL CULTURAL EDUC. ECOLÓGICO DA ROCINHA</t>
  </si>
  <si>
    <t>CP CRECHE NOSSO LAR II</t>
  </si>
  <si>
    <t>CRECHE NOSSO LAR II - RICARDO DE ALBUQUERQUE</t>
  </si>
  <si>
    <t>ASSOCIAÇÃO CENTRO EDUCACIONAL REBRAL VII</t>
  </si>
  <si>
    <t>AEMMAC - ROCHA MIRANDA</t>
  </si>
  <si>
    <t>AEMMAC - MARECHAL HERMES</t>
  </si>
  <si>
    <t>AEMMAC - JACAREPAGUÁ</t>
  </si>
  <si>
    <t>CRECHE MUNDO MÁGICO II</t>
  </si>
  <si>
    <t>CÓDIGO SGA</t>
  </si>
  <si>
    <t>CASA MATERNAL CORAÇÃO DE MÃE</t>
  </si>
  <si>
    <t>CRECHE CANTINHO FELIZ DE SANTA TERESA</t>
  </si>
  <si>
    <t>CRECHE DO TUIUTI</t>
  </si>
  <si>
    <t>EDUCANDÁRIO NOSSA SENHORA DE NAZARÉ</t>
  </si>
  <si>
    <t>CENTRO CULTURAL MONTESSORI (SÃO CRISTÓVÃO)</t>
  </si>
  <si>
    <t>ABRIGO TERESA DE JESUS</t>
  </si>
  <si>
    <t>AÇÃO SOCIAL PADRE ANCHIETA ASPA</t>
  </si>
  <si>
    <t>CASA DA CRIANÇA</t>
  </si>
  <si>
    <t>CASA ESPÍRITA CRISTÃ MARIA DE NAZARÉ</t>
  </si>
  <si>
    <t>CASA MATERNAL MELLO MATTOS</t>
  </si>
  <si>
    <t>CENTRO COMUNITÁRIO ALEGRIA DAS CRIANÇAS</t>
  </si>
  <si>
    <t>CENTRO COMUNITÁRIO DA RUA UM - UNIÃO FAZ A FORÇA</t>
  </si>
  <si>
    <t>CENTRO DE EDUCAÇÃO INFANTIL CRISTO REDENTOR</t>
  </si>
  <si>
    <t>CENTRO EDUCACIONAL ESPERANÇA</t>
  </si>
  <si>
    <t>CENTRO SOCIAL DA MULHER UÊGA</t>
  </si>
  <si>
    <t>CENTRO SOCIAL E AÍ COMO É QUE FICA?</t>
  </si>
  <si>
    <t>CRECHE BERÇÁRIO MARIA HELENA DA ROCINHA</t>
  </si>
  <si>
    <t>CRECHE BEZERRA DE MENEZES (BOTAFOGO)</t>
  </si>
  <si>
    <t>CRECHE CASA DO POBRE DE NOSSA SENHORA DE COPACABANA</t>
  </si>
  <si>
    <t>CRECHE CHAPEUZINHO MARROM</t>
  </si>
  <si>
    <t>CRECHE COMUNITÁRIA CANTINHO DA NATUREZA</t>
  </si>
  <si>
    <t>CRECHE ESCADINHA DO SABER</t>
  </si>
  <si>
    <t>CRECHE ESCOLA MENINOS DE LUZ</t>
  </si>
  <si>
    <t>CRECHE ESPAÇO SEMENTE</t>
  </si>
  <si>
    <t>CRECHE ESPERANÇA</t>
  </si>
  <si>
    <t>CRECHE MARIA MARIA</t>
  </si>
  <si>
    <t>CRECHE MONSENHOR FRANCA</t>
  </si>
  <si>
    <t>CRECHE PATINHO FELIZ</t>
  </si>
  <si>
    <t>CRECHE PRÉ-ESCOLA COMUNITÁRIA DO 199 PINGO DE GENTE</t>
  </si>
  <si>
    <t>CRECHE PRÉ-ESCOLA COMUNITÁRIA DOIS IRMÃOS</t>
  </si>
  <si>
    <t>CRECHE SANT’ANNA</t>
  </si>
  <si>
    <t>CRECHE SANTA CLARA</t>
  </si>
  <si>
    <t>CRECHE SANTA CLARA DE ASSIS NA PROVIDÊNCIA DE DEUS</t>
  </si>
  <si>
    <t>CRECHE SANTA MÔNICA</t>
  </si>
  <si>
    <t>CRECHE SÃO COSME E SÃO DAMIÃO</t>
  </si>
  <si>
    <t>CREI - CENTRO DE RECUPERAÇÃO INFANTIL</t>
  </si>
  <si>
    <t>CRUZADA PELA INFÂNCIA DO LEME</t>
  </si>
  <si>
    <t>ESPAÇO SANTA TEREZINHA - EST</t>
  </si>
  <si>
    <t>EDUCANDÁRIO CASA DE JACIRA</t>
  </si>
  <si>
    <t>ESCOLA COMUNITÁRIA DO CANTAGALO</t>
  </si>
  <si>
    <t>FUNDAÇÃO CASA SANTA IGNEZ</t>
  </si>
  <si>
    <t>GRUPO COMUNITÁRIO CRECHE ESCOLA TIA MAURA</t>
  </si>
  <si>
    <t>GRUPO COMUNITÁRIO MORRO DA ALEGRIA</t>
  </si>
  <si>
    <t>LAR CANTINHO FELIZ</t>
  </si>
  <si>
    <t>OBRA DO BERÇO</t>
  </si>
  <si>
    <t>UNIDAS - OBRAS SOCIAIS UNIDAS DE SANTA MARTA</t>
  </si>
  <si>
    <t>OBRAS SOCIAIS PADRE ALEIXO</t>
  </si>
  <si>
    <t>PATRONATO OPERÁRIO DA GÁVEA</t>
  </si>
  <si>
    <t>SOCIEDADE CIVIL DE ASSISTÊNCIA A MENORES - CASA DA DINDA</t>
  </si>
  <si>
    <t>UNIÃO DE MULHERES PRÓ-MELHORAMENTO DA ROUPA SUJA</t>
  </si>
  <si>
    <t>ABRIGO MARIA IMACULADA</t>
  </si>
  <si>
    <t>ASSOCIAÇÃO PRESBITERIANA CUIDANDO DO AMANHÃ - APCA</t>
  </si>
  <si>
    <t>CASA DE LEYLÁ</t>
  </si>
  <si>
    <t>CASA SÃO ROQUE</t>
  </si>
  <si>
    <t>CENTRO COMUNITÁRIO NOSSA SENHORA APARECIDA - CRECHE</t>
  </si>
  <si>
    <t>CENTRO CULTURAL EDUCAR - UNIDADE II</t>
  </si>
  <si>
    <t>CENTRO EDUCACIONAL SÃO VICENTE DE PAULO</t>
  </si>
  <si>
    <t>CHALÉ SEMENTINHA</t>
  </si>
  <si>
    <t>COLÉGIO RUTH SANT’ANNA/JARDIM DE INFÂNCIA CIRANDA CIRANDINHA</t>
  </si>
  <si>
    <t>CRECHE BRINCANDO COM JUNINHO</t>
  </si>
  <si>
    <t>CRECHE CASA VIVA</t>
  </si>
  <si>
    <t>CRECHE CHAMEGUINHO</t>
  </si>
  <si>
    <t>CRECHE COMUNITÁRIA ELIANA SATURNINO BRAGA</t>
  </si>
  <si>
    <t>CRECHE COMUNITÁRIA JOÃO FERREIRA</t>
  </si>
  <si>
    <t>CRECHE COMUNITÁRIA TIA ALICE</t>
  </si>
  <si>
    <t xml:space="preserve">CRECHE DO CENTRO PASTORAL SOCIAL PADRE JUSTINO RUSSOLILLO </t>
  </si>
  <si>
    <t>CRECHE DO JACAREZINHO</t>
  </si>
  <si>
    <t>CRECHE ESCOLA COMUNITÁRIA MÃE SOCIAL</t>
  </si>
  <si>
    <t>CRECHE MÃE DO DIVINO SALVADOR</t>
  </si>
  <si>
    <t>CRECHE MARIETTA NAVARRO GAIO</t>
  </si>
  <si>
    <t>CRECHE PLANTANDO O AMANHÃ</t>
  </si>
  <si>
    <t>CRECHE RISCO E RABISCO</t>
  </si>
  <si>
    <t>CRECHE SÃO PEDRO NOLASCO</t>
  </si>
  <si>
    <t>CRECHE TERNURINHA</t>
  </si>
  <si>
    <t>CRECHE TIO KITO</t>
  </si>
  <si>
    <t>ESCOLA COMUNITÁRIA JARDIM ARCO-ÍRIS - UNIDADE I</t>
  </si>
  <si>
    <t>ESTRELINHA DO MAR</t>
  </si>
  <si>
    <t>FRATERNIDADE ASSISTENCIAL CRISTÃ</t>
  </si>
  <si>
    <t>INSTITUTO AVANTE ELITE DO FUTURO</t>
  </si>
  <si>
    <t>INSTITUTO EDUCACIONAL CRESCENDO E APRENDENDO ALGODÃO DOCE</t>
  </si>
  <si>
    <t>INSTITUTO EDUCACIONAL T &amp; P CONQUISTA</t>
  </si>
  <si>
    <t>LAR DA CRIANÇA JESUS BOM PASTOR</t>
  </si>
  <si>
    <t>LAR DE MARIA DOLORES</t>
  </si>
  <si>
    <t>NÚCLEO RECREATIVO RAIOZINHO DE SOL</t>
  </si>
  <si>
    <t>ASSOCIAÇÃO CENTRO EDUCACIONAL REBRAL I</t>
  </si>
  <si>
    <t>ASSOCIAÇÃO CENTRO EDUCACIONAL REBRAL II</t>
  </si>
  <si>
    <t>ASSOCIAÇÃO CENTRO EDUCACIONAL REBRAL IV</t>
  </si>
  <si>
    <t>ASSOCIAÇÃO CENTRO EDUCACIONAL REBRAL V</t>
  </si>
  <si>
    <t>ASSOCIAÇÃO CIVIL CENTRO EDUCACIONAL COMUNITÁRIO ESTAÇÃO DO SABER</t>
  </si>
  <si>
    <t>CASA DE JOEL</t>
  </si>
  <si>
    <t>CASA DE JOEL II</t>
  </si>
  <si>
    <t>CENTRO CULTURAL EDUCAR I</t>
  </si>
  <si>
    <t>CENTRO CULTURAL EDUCAR - UNIDADE III</t>
  </si>
  <si>
    <t>CENTRO EDUCACIONAL APRENDIZ DA MARÉ</t>
  </si>
  <si>
    <t>COMUNIDADE INSTITUCIONAL ADULÃO TEMPO FELIZ</t>
  </si>
  <si>
    <t>CRECHE CASULO BOM JESUS DA PENHA</t>
  </si>
  <si>
    <t>CRECHE COMUNITÁRIA CASULO DO PARQUE PROLETÁRIO DA PENHA</t>
  </si>
  <si>
    <t>CRECHE COMUNITÁRIA DE MANGUINHOS</t>
  </si>
  <si>
    <t>CRECHE COMUNITÁRIA SAGRADO CORAÇÃO DE MARIA</t>
  </si>
  <si>
    <t>CRECHE DO CENTRO COMUNITÁRIO DA VILA PROLETÁRIA DA PENHA</t>
  </si>
  <si>
    <t>CRECHE E PRÉ-ESCOLA NOVA JERUSALÉM</t>
  </si>
  <si>
    <t>CRECHE E PRÉ-ESCOLA NOVA JERUSALÉM NO CORDOVIL</t>
  </si>
  <si>
    <t>CRECHE ESCOLA MIMI</t>
  </si>
  <si>
    <t>CRECHE ESCOLA MIMI II</t>
  </si>
  <si>
    <t>CRECHE ESCOLA PATINHO ESTUDIOSO</t>
  </si>
  <si>
    <t>CRECHE GIZ COLORIDO</t>
  </si>
  <si>
    <t>CRECHE LAR IRMÃO FRANCISCO</t>
  </si>
  <si>
    <t>CRECHE SAGRADO CORAÇÃO DE MARIA E SANTO ANTÔNIO</t>
  </si>
  <si>
    <t>CRECHE TIA NANE</t>
  </si>
  <si>
    <t>CRECHE VALE DO SOL</t>
  </si>
  <si>
    <t>CRECHE VALE DO SOL II</t>
  </si>
  <si>
    <t>CRECHE VALE DO SOL NO GROTÃO</t>
  </si>
  <si>
    <t>ESPAÇO DE EDUCAÇÃO INFANTIL VILA DO JOÃO</t>
  </si>
  <si>
    <t>INSTITUTO DE EDUCAÇÃO EUCLIDES DOS SANTOS</t>
  </si>
  <si>
    <t>INSTITUTO EDUCACIONAL LUIZ ANTÔNIO - IELA</t>
  </si>
  <si>
    <t>RECANTO DA CRIANÇA FELIZ</t>
  </si>
  <si>
    <t>SOCIEDADE DE ENSINO TEREZA CRISTINA</t>
  </si>
  <si>
    <t>SOLZINHO</t>
  </si>
  <si>
    <t>ASSOCIAÇÃO CENTRO EDUCACIONAL REBRAL X</t>
  </si>
  <si>
    <t>ASSOCIAÇÃO CENTRO EDUCACIONAL REBRAL VIII</t>
  </si>
  <si>
    <t>ASSOCIAÇÃO CENTRO EDUCACIONAL REBRAL IX</t>
  </si>
  <si>
    <t>CRECHE ESCOLA OTACÍLIO BATISTA</t>
  </si>
  <si>
    <t>ASSOCIAÇÃO AMIGOS DA CRIANÇA - CRECHE ROCHA MIRANDA</t>
  </si>
  <si>
    <t>ASSOCIAÇÃO CRECHE ESPERANÇA (IRAJÁ)</t>
  </si>
  <si>
    <t>CRECHE APÓSTOLO SÃO PEDRO</t>
  </si>
  <si>
    <t>CRECHE CARDEAL CÂMARA</t>
  </si>
  <si>
    <t>CRECHE CASULO SÃO RAFAEL ARCANJO</t>
  </si>
  <si>
    <t>CENTRO COMUNITÁRIO FLOR DO AMANHÃ</t>
  </si>
  <si>
    <t>CRECHE PINTINHO DOURADO</t>
  </si>
  <si>
    <t>ASSOCIAÇÃO CENTRO EDUCACIONAL REBRAL XI</t>
  </si>
  <si>
    <t>ASSOCIAÇÃO CRESCÊNCIO</t>
  </si>
  <si>
    <t>CENTRO COMUNITÁRIO PARQUE UNIDOS DE ACARI</t>
  </si>
  <si>
    <t>CENTRO EDUCACIONAL NOSSA SENHORA APARECIDA</t>
  </si>
  <si>
    <t>CRECHE ABRINDO PORTAS</t>
  </si>
  <si>
    <t>CRECHE COMUNITÁRIA AQUARELA</t>
  </si>
  <si>
    <t>CRECHE DON GUANELLA</t>
  </si>
  <si>
    <t>CRECHE ESCOLA COMUNITÁRIA TIO PATINHAS</t>
  </si>
  <si>
    <t>ESCOLA PATRONATO NOSSA SENHORA DE NAZARÉ</t>
  </si>
  <si>
    <t>CRECHE GUADALUPE</t>
  </si>
  <si>
    <t>CRECHE NOSSO LAR I - ANCHIETA</t>
  </si>
  <si>
    <t>CASA EMILIEN LACAY</t>
  </si>
  <si>
    <t>CENTRO INTEGRADO SÃO JOSÉ</t>
  </si>
  <si>
    <t>CRECHE CANTINHO FELIZ</t>
  </si>
  <si>
    <t>CRECHE ESCOLA MÃE ASTÉRIA</t>
  </si>
  <si>
    <t>CRECHE NOVA ESPERANÇA</t>
  </si>
  <si>
    <t>CRECHE NOVO PALMARES</t>
  </si>
  <si>
    <t>CRECHE RAIMUNDA NONATA DA SILVA</t>
  </si>
  <si>
    <t>CRECHE RITA ALEXANDRINA FERREIRA</t>
  </si>
  <si>
    <t>CRECHE SANT’ANA IRMÃ ANCILA</t>
  </si>
  <si>
    <t>CRECHE SÃO PAULO APÓSTOLO</t>
  </si>
  <si>
    <t>ESPAÇO DE EDUCAÇÃO INFANTIL CIDADE DE DEUS</t>
  </si>
  <si>
    <t>JARDIM ESCOLA CRESCENDO E APRENDENDO</t>
  </si>
  <si>
    <t>JARDIM ESCOLA TURMINHA DA ARCA - JETA</t>
  </si>
  <si>
    <t>SEMENTE DE AMOR</t>
  </si>
  <si>
    <t>INSTITUTO CONSUELO PINHEIRO</t>
  </si>
  <si>
    <t>ASSOCIAÇÃO CENTRO EDUCACIONAL REBRAL III</t>
  </si>
  <si>
    <t>ASSOCIAÇÃO CENTRO EDUCACIONAL REBRAL VI</t>
  </si>
  <si>
    <t>ASSOCIAÇÃO CRECHE ESPERANÇA III</t>
  </si>
  <si>
    <t>ASSOCIAÇÃO DE MORADORES DO CONJUNTO PEDRO I E ADJACÊNCIAS</t>
  </si>
  <si>
    <t>ASSOCIAÇÃO RECREATIVA PINGUINHO DE GENTE</t>
  </si>
  <si>
    <t>CEM CRECHE ESCOLA MACHADO</t>
  </si>
  <si>
    <t>CENTRO EDUCACIONAL LUIZA</t>
  </si>
  <si>
    <t>CRECHE COMUNITÁRIA ESTRELINHA</t>
  </si>
  <si>
    <t>CRECHE COMUNITÁRIA NINO</t>
  </si>
  <si>
    <t>CRECHE CRIANÇA JABOUR</t>
  </si>
  <si>
    <t>CRECHE E ESCOLA COMUNITÁRIA GENTE INOCENTE</t>
  </si>
  <si>
    <t>CRECHE E ESCOLA COMUNITÁRIA GENTE INOCENTE II</t>
  </si>
  <si>
    <t>CRECHE ESPÍRITA FRANCISCO DE ASSIS</t>
  </si>
  <si>
    <t>DO.RA., A AVENTUREIRA</t>
  </si>
  <si>
    <t>ESCOLA COMUNITÁRIA JARDIM ARCO-ÍRIS - UNIDADE II</t>
  </si>
  <si>
    <t>ESPAÇO DE EDUCAÇÃO INFANTIL BATAN</t>
  </si>
  <si>
    <t>FUNDAÇÃO CASA DA JOANINHA - CRECHE</t>
  </si>
  <si>
    <t>ASSOCIAÇÃO RECREATIVA MUNDO MÁGICO DA TIA NATY</t>
  </si>
  <si>
    <t>ASSOCIAÇÃO CRECHE ESPERANÇA (MAGALHÃES BASTOS)</t>
  </si>
  <si>
    <t>CRECHE COMUNITÁRIA ANA &amp; LU</t>
  </si>
  <si>
    <t>CRECHE COMUNITÁRIA CRIANÇAS DE OURO</t>
  </si>
  <si>
    <t>CRECHE COMUNITÁRIA SANTA RITA</t>
  </si>
  <si>
    <t>CRECHE COMUNITÁRIA SOL DO SABER</t>
  </si>
  <si>
    <t>CRECHE COMUNITÁRIA TIA NEIDE (CAMPO GRANDE)</t>
  </si>
  <si>
    <t>CRECHE E PRÉ-ESCOLA CANTINHO DO SABER</t>
  </si>
  <si>
    <t>CRECHE JARDIM ESCOLA RIO DA PRATA</t>
  </si>
  <si>
    <t>CRECHE NOVA JERUSALÉM EM CAMPO GRANDE</t>
  </si>
  <si>
    <t>CRECHE SAGRADA FAMÍLIA</t>
  </si>
  <si>
    <t>CRECHE SÃO JORGE</t>
  </si>
  <si>
    <t>INSTITUTO AVELINO II</t>
  </si>
  <si>
    <t>INSTITUTO DE ENSINO AVANÇADO</t>
  </si>
  <si>
    <t>ESPAÇO CRESCER</t>
  </si>
  <si>
    <t>ASSOCIAÇÃO DE MORADORES DAS MORADAS DO IMPÉRIO</t>
  </si>
  <si>
    <t>ASSOCIAÇÃO DE MORADORES E AMIGOS DO PARQUE ESTORIL AMAPE</t>
  </si>
  <si>
    <t>CAAD DONA ZULMIRA TELLES</t>
  </si>
  <si>
    <t>CAAD - COMITÊ DE ATENDIMENTO À CRIANÇA E AO ADOLESCENTE</t>
  </si>
  <si>
    <t>CASA MATERNAL NOSSA SENHORA DE NAZARÉ</t>
  </si>
  <si>
    <t>CENTRO CULTURAL DE DESENVOLVIMENTO INFANTIL JOÃO BATISTA</t>
  </si>
  <si>
    <t>CENTRO CULTURAL MONTESSORI (SANTA CRUZ)</t>
  </si>
  <si>
    <t>CENTRO CULTURAL MONTESSORI II (PACIÊNCIA)</t>
  </si>
  <si>
    <t>CICIM (ISABEL MARIA)</t>
  </si>
  <si>
    <t>CICIM II (ISABEL MARIA II)</t>
  </si>
  <si>
    <t>CRECHE BEZERRA DE MENEZES (SANTA CRUZ)</t>
  </si>
  <si>
    <t>CRECHE CANTINHO CASLU</t>
  </si>
  <si>
    <t>CRECHE CASULO AGOSTINHO (VERIDIANA)</t>
  </si>
  <si>
    <t>CRECHE CASULO AGOSTINHO (MORRO DO CHÁ)</t>
  </si>
  <si>
    <t>CRECHE COMUNITÁRIA AQUARELA DO SABER</t>
  </si>
  <si>
    <t>CRECHE COMUNITÁRIA ARCA DE NOÉ</t>
  </si>
  <si>
    <t>CRECHE COMUNITÁRIA ARTE &amp; CULTURA</t>
  </si>
  <si>
    <t>CRECHE COMUNITÁRIA CORAÇÃO DE MÃE</t>
  </si>
  <si>
    <t>CRECHE COMUNITÁRIA DEUS É FIEL - CCDF</t>
  </si>
  <si>
    <t>CRECHE COMUNITÁRIA DEUS É FIEL - UNIDADE VIII</t>
  </si>
  <si>
    <t>CRECHE COMUNITÁRIA DEUS É FIEL - UNIDADE VI</t>
  </si>
  <si>
    <t>CRECHE COMUNITÁRIA DEUS É FIEL - UNIDADE VII</t>
  </si>
  <si>
    <t>CRECHE COMUNITÁRIA ESTRELA DO AMANHÃ</t>
  </si>
  <si>
    <t>CRECHE COMUNITÁRIA GÊNIO DO FUTURO</t>
  </si>
  <si>
    <t>CRECHE COMUNITÁRIA JARDIM DO CONHECIMENTO</t>
  </si>
  <si>
    <t>CRECHE COMUNITÁRIA JARDIM ESPERANÇA</t>
  </si>
  <si>
    <t>CRECHE COMUNITÁRIA JARDIM PEDRA AZUL</t>
  </si>
  <si>
    <t>CRECHE COMUNITÁRIA MAGIA DA CRIANÇA</t>
  </si>
  <si>
    <t>CRECHE COMUNITÁRIA MUNDO ENCANTADO DA CRIANÇA</t>
  </si>
  <si>
    <t>CRECHE COMUNITÁRIA MUNDO MÁGICO</t>
  </si>
  <si>
    <t>CRECHE COMUNITÁRIA PLANETA BEBÊ</t>
  </si>
  <si>
    <t>CRECHE COMUNITÁRIA SÃO JOÃO BATISTA</t>
  </si>
  <si>
    <t>CRECHE COMUNITÁRIA TIA NEIDE (GUARATIBA)</t>
  </si>
  <si>
    <t>CRECHE COMUNITÁRIA UNIVERSO INFANTIL</t>
  </si>
  <si>
    <t>CRECHE E ESCOLA COMUNITÁRIA GENTE BAIXINHA</t>
  </si>
  <si>
    <t>CRECHE E ESCOLA COMUNITÁRIA GENTE BAIXINHA II</t>
  </si>
  <si>
    <t>CRECHE ESCOLA COMUNITÁRIA ISMÊNIA RIBEIRO</t>
  </si>
  <si>
    <t>CRECHE ESCOLA COMUNITÁRIA MALLETZINHO</t>
  </si>
  <si>
    <t>CRECHE ESCOLA COMUNITÁRIA SÍTIO ALEGRE</t>
  </si>
  <si>
    <t>CRECHE ESCOLA SOSSEGO DA MAMÃE</t>
  </si>
  <si>
    <t>CRECHE MAGIA DA CRIANÇA II</t>
  </si>
  <si>
    <t>CRECHE MUNDO DA BIBI</t>
  </si>
  <si>
    <t>ESCOLA COMUNITÁRIA ENCANTO DE MARIA</t>
  </si>
  <si>
    <t>ESCOLA COMUNITÁRIA JARDIM ALEXANDRINO</t>
  </si>
  <si>
    <t>ESCOLA COMUNITÁRIA JARDIM ARCO IRIS</t>
  </si>
  <si>
    <t>ESCOLA COMUNITÁRIA JARDIM BALÃO MÁGICO</t>
  </si>
  <si>
    <t>ESCOLA COMUNITÁRIA JARDIM DE INFÂNCIA CHAVE DO TAMANHO</t>
  </si>
  <si>
    <t>ESCOLA COMUNITÁRIA JARDIM DE INFÂNCIA TIA ANASTÁCIA</t>
  </si>
  <si>
    <t>ESPAÇO CRIATIVO ERA UMA VEZ</t>
  </si>
  <si>
    <t>ESPAÇO DE DESENVOLVIMENTO MÃE GAIA</t>
  </si>
  <si>
    <t>FUNDAÇÃO KLINGNER PARA O DESENVOLVIMENTO SOCIAL</t>
  </si>
  <si>
    <t>INSTITUTO AVELINO</t>
  </si>
  <si>
    <t>JARDIM ESCOLA ERNESTO FAGUNDES VARELA</t>
  </si>
  <si>
    <t>OS BENEDITINHOS</t>
  </si>
  <si>
    <t>PEDACINHO DO CÉU</t>
  </si>
  <si>
    <t>PROJETO QUEBRA CABEÇA</t>
  </si>
  <si>
    <t>SEMPRE VIDA</t>
  </si>
  <si>
    <t>CRECHE COMUNITÁRIA ARTE &amp; CULTURA - UNIDADE I</t>
  </si>
  <si>
    <t>CRECHE COMUNITÁRIA DEUS É FIEL - UNIDADE X</t>
  </si>
  <si>
    <t>CRECHE COMUNITÁRIA CRIANÇA FELIZ</t>
  </si>
  <si>
    <t>AMIG - ASSOCIAÇÃO DOS MORADORES DA ILHA DO GOVERNADOR</t>
  </si>
  <si>
    <t>CENTRO DE ATIVIDADES EDUCACIONAIS E CULTURAIS ARCA DE NOÉ - CAECAN</t>
  </si>
  <si>
    <t>CRECHE CASULO DO DENDÊ</t>
  </si>
  <si>
    <t>CRECHE COMUNITÁRIA ALEGRIA DA CRIANÇA</t>
  </si>
  <si>
    <t>CRECHE ESFERA KIDS</t>
  </si>
  <si>
    <t>FILIAL BANCÁRIOS/RJ</t>
  </si>
  <si>
    <t>INSTITUTO MISSIONÁRIO COMUNHÃO E PARTICIPAÇÃO</t>
  </si>
  <si>
    <t>INSTITUTO TRILHO</t>
  </si>
  <si>
    <t xml:space="preserve">NÚCLEO DE AÇÃO COMUNITÁRIA E DESENVOLVIMENTO SOCIAL - NACODES </t>
  </si>
  <si>
    <t>CONGREGAÇÃO DAS PEQUENAS IRMÃS DA DIVINA PROVIDÊNCIA</t>
  </si>
  <si>
    <t>PROVIDENCIANDO A FAVOR DA VIDA</t>
  </si>
  <si>
    <t>AÇÃO SOCIAL PADRE ANCHIETA - ASPA</t>
  </si>
  <si>
    <t xml:space="preserve">CASA DA CRIANÇA </t>
  </si>
  <si>
    <t>ASSOCIAÇÃO TUTELAR DE MENORES</t>
  </si>
  <si>
    <t>ASSOCIAÇÃO PALOTINA</t>
  </si>
  <si>
    <t>PRIMEIRA IGREJA BATISTA DO ALTO DA BOA VISTA</t>
  </si>
  <si>
    <t>CENTRO ESPÍRITA CRISTÓFILOS</t>
  </si>
  <si>
    <t>ASSOCIAÇÃO DOS ANTIGOS ALUNOS DOS PADRES JESUÍTAS (ASIA)</t>
  </si>
  <si>
    <t>MITRA ARQUIEPISCOPAL DO RIO DE JANEIRO</t>
  </si>
  <si>
    <t>OBRA SOCIAL DA PARÓQUIA SANTA CRUZ DE COPACABANA</t>
  </si>
  <si>
    <t>ASSOCIAÇÃO DE MORADORES DO TIJUAÇU - AMOTI</t>
  </si>
  <si>
    <t>LAR PAULO DE TARSO</t>
  </si>
  <si>
    <t>JOVENS COM UMA MISSÃO - JOCUM BOREL</t>
  </si>
  <si>
    <t>SASP - SERVIÇO DE ASSISTÊNCIA SOCIAL PENTECOSTAL</t>
  </si>
  <si>
    <t>GRUPO COMUNITÁRIO MARIA MARIA DA ROCINHA</t>
  </si>
  <si>
    <t>INATOS - INSTITUTO NACIONAL DE ASSIS. TRABALHO, OPORTUNIDADES E SAÚDE</t>
  </si>
  <si>
    <t>OBRA SOCIAL CRISTO REDENTOR</t>
  </si>
  <si>
    <t>CASA DE SÃO FRANCISCO DE ASSIS</t>
  </si>
  <si>
    <t>AÇÃO COMUNITÁRIA PRÓ-FAVELA DR. MARCELLO CÂNDIA</t>
  </si>
  <si>
    <t>DISPENSÁRIO SANTA TEREZINHA DO MENINO JESUS DA GÁVEA</t>
  </si>
  <si>
    <t>CASA DE JACIRA AUXÍLIO À INFÂNCIA</t>
  </si>
  <si>
    <t>OBRAS SOCIAIS UNIDAS DE SANTA MARTA</t>
  </si>
  <si>
    <t>NASCEER - NÚCLEO DE ASSISTÊNCIA SOCIAL CULTURAL EDUCACIONAL ECOLÓGICO DA ROCINHA</t>
  </si>
  <si>
    <t>INSTITUTO PROTETOR DOS POBRES E CRIANÇAS ABRIGO MARIA IMACULADA</t>
  </si>
  <si>
    <t>CRUZADA DO MENOR</t>
  </si>
  <si>
    <t>CENTRO CULTURAL EDUCAR</t>
  </si>
  <si>
    <t>CASA CARITATIVA SÃO VICENTE DE PAULO</t>
  </si>
  <si>
    <t xml:space="preserve">ASSOCIAÇÃO CHALÉ SEMENTINHAS </t>
  </si>
  <si>
    <t>CASA DE LÁZARO EDUCANDÁRIO SOCIAL DE ASSISTÊNCIA E AMPARO À CRIANÇA</t>
  </si>
  <si>
    <t>CENTRO CULTURAL EDUCAR (EDUCAR IV)</t>
  </si>
  <si>
    <t>ASSOCIAÇÃO DE PAIS DA CRECHE TIA ALICE</t>
  </si>
  <si>
    <t xml:space="preserve">SOCIEDADE ESPÍRITA CABOCLO SETE FLECHAS </t>
  </si>
  <si>
    <t>AÇÃO COMUNITÁRIA SAL DA TERRA</t>
  </si>
  <si>
    <t>ASSOCIAÇÃO DE MORADORES DO MORRO DA BAIANA</t>
  </si>
  <si>
    <t>ASSOCIAÇÃO DOS MORADORES DO MORRO DO ALEMÃO</t>
  </si>
  <si>
    <t>ASSOCIAÇÃO DE PAIS DA CRECHE COMUNITÁRIA TIA ALICE</t>
  </si>
  <si>
    <t>NÚCLEO DE AÇÃO COMUNITÁRIA E DESENVOLVIMENTO SOCIAL - NACODES</t>
  </si>
  <si>
    <t>INSTITUIÇÃO MARIA DE NAZARETH - CASA DA MÃE POBRE</t>
  </si>
  <si>
    <t>CENTRO CULTURAL RISCO E RABISCO</t>
  </si>
  <si>
    <t>ASSOCIAÇÃO BENEFICENTE NOSSA SENHORA DAS MERCÊS</t>
  </si>
  <si>
    <t>ESCOLA COMUNITÁRIA JARDIM ARCO-ÍRIS</t>
  </si>
  <si>
    <t>CENTRO CULTURAL ESTRELINHA DO MAR</t>
  </si>
  <si>
    <t>INSTITUTO EDUCACIONAL CRESCENDO E APRENDENDO - IECA</t>
  </si>
  <si>
    <t>INSTITUTO EDUCACIONAL T&amp;P CONQUISTA</t>
  </si>
  <si>
    <t>VENERÁVEL IRMANDADE DE PILARES</t>
  </si>
  <si>
    <t>INTITUTO CULTURAL E SOCIAL</t>
  </si>
  <si>
    <t>ASSOCIAÇÃO CENTRO EDUCACIONAL REBRAL</t>
  </si>
  <si>
    <t>CENTRO EDUCACIONAL JOEL MÁRIO</t>
  </si>
  <si>
    <t>CEJM - CENTRO EDUCACIONAL JOEL MARIO</t>
  </si>
  <si>
    <t>INSTITUTO BRASILEIRO DE AÇÕES, PESQUISAS E ESTUDOS SOCIAIS - IBRAPES</t>
  </si>
  <si>
    <t>ASSOCIAÇÃO COMUNITÁRIA DO PARQUE PROLETÁRIO DA PENHA</t>
  </si>
  <si>
    <t>SOCIEDADE INDEPENDENTE DE CULTURA E APRENDIZAGEM DE MANGUINHOS - SICAM</t>
  </si>
  <si>
    <t>SOCIEDADE BENEFICENTE SAGRADO CORAÇÃO DE MARIA</t>
  </si>
  <si>
    <t>CENTRO COMUNITÁRIO DA VILA PROLETÁRIA DA PENHA</t>
  </si>
  <si>
    <t>ASSOCIAÇÃO EDUCACIONAL PATINHO ESTUDIOSO</t>
  </si>
  <si>
    <t>LAR IRMÃO FRANCISCO</t>
  </si>
  <si>
    <t>CENTRO EDUCACIONAL VALE DO SOL II</t>
  </si>
  <si>
    <t>RIOSOLIDÁRIO - OBRA SOCIAL DO RIO DE JANEIRO</t>
  </si>
  <si>
    <t xml:space="preserve">ASSOCIAÇÃO PEDAGÓGICA TERAPÊUTICA LUIZ ANTONIO </t>
  </si>
  <si>
    <t>INSTITUTO DAS MISSIONÁRIAS DE NOSSA SENHORA DE FÁTIMA DO BRASIL</t>
  </si>
  <si>
    <t>CRECHE ESCOLA OTACILIO BATISTA</t>
  </si>
  <si>
    <t>ASSOCIAÇÃO AMIGOS DA CRIANÇA</t>
  </si>
  <si>
    <t>ASSOCIAÇÃO SERVAS DOS POBRES</t>
  </si>
  <si>
    <t>ASSOCIAÇÃO METODISTA DE AÇÃO SOCIAL DE IRAJÁ</t>
  </si>
  <si>
    <t>CENTRO COMUNITÁRIO LAUREANO TOLEDO</t>
  </si>
  <si>
    <t>ASSOCIAÇÃO CRESCENCIO</t>
  </si>
  <si>
    <t>ASSOCIAÇÃO FILHAS DE SANTA MARIA DA PROVIDÊNCIA - AFISMAP</t>
  </si>
  <si>
    <t>ABRINDO PORTAS SOCIEDADE CIVIL</t>
  </si>
  <si>
    <t>OSCIP - ORGANIZAÇÃO SOCIAL CIVIL DE INTERESSSE PÚBLICO CENTRO SOCIAL BRASIL</t>
  </si>
  <si>
    <t>ASSOCIAÇÃO SERVOS DA CARIDADE</t>
  </si>
  <si>
    <t>CRECHE NOSSO LAR</t>
  </si>
  <si>
    <t>MOVIMENTO EDUCACIONAL JOSEFA DE ALCANTARA GOULART</t>
  </si>
  <si>
    <t>OBRA SOCIAL DA CRECHE CANTINHO FELIZ</t>
  </si>
  <si>
    <t>EDUCANDÁRIO SOCIAL LAR FREI LUIZ</t>
  </si>
  <si>
    <t>OASE-OBRAS DE ASSISTÊNCIA SOCIAL ESPERANÇA</t>
  </si>
  <si>
    <t>OBRAS SOCIAIS NOVOS PALMARES</t>
  </si>
  <si>
    <t>MITRA/PARÓQUIA DE SÃO MARCOS</t>
  </si>
  <si>
    <t>CONGREGAÇÃO MARIANA DO HOSPITAL COLÔNIA DE CURUPAITI</t>
  </si>
  <si>
    <t>MITRA/PARÓQUIA NOSSA SENHORA DO SAGRADO CORAÇÃO</t>
  </si>
  <si>
    <t>RIOSOLIDÁRIO OBRA SOCIAL DO RIO DE JANEIRO</t>
  </si>
  <si>
    <t>CENTRO EDUCACIONAL CRESCENDO E APRENDENDO</t>
  </si>
  <si>
    <t>ASSOCIAÇÃO DO CENTRO EDUCACIONAL EVANGÉLICO MELO COSTA</t>
  </si>
  <si>
    <t>INPAR - INSTITUTO PRESBITERIANO ÁLVARO REIS DE ASSISTÊNCIA À CRIANÇA E AO ADOLESCENTE</t>
  </si>
  <si>
    <t>ASSOCIAÇÃO DE MORADORES DO CONJUNTO PEDRO I E ADJACÊNCIAS - AMCOPA</t>
  </si>
  <si>
    <t>ASSOCIAÇÃO CENTRO EDUCACIONAL LUÍZA</t>
  </si>
  <si>
    <t>CONSELHO DE MORADORES DA VILA KENNEDY</t>
  </si>
  <si>
    <t>CENTRO SOCIAL GOTA DE ESPERANÇA</t>
  </si>
  <si>
    <t>CRECHE ESCOLA COMUNITÁRIA GENTE INOCENTE</t>
  </si>
  <si>
    <t>GRUPO ESPÍRITA OBREIROS DA VIDA ETERNA</t>
  </si>
  <si>
    <t>CRECHE COMUNITÁRIA DONA RAPOSA</t>
  </si>
  <si>
    <t>FUNDAÇÃO CASA DA JOANINHA</t>
  </si>
  <si>
    <t>CENTRO SOCIAL DE DESENVOLVIMENTO INFANTIL TIA NEIDE</t>
  </si>
  <si>
    <t>COLÉGIO FERREIRA MOTTA</t>
  </si>
  <si>
    <t>CENTRO EDUCACIONAL COMUNITÁRIO GIARDINIERI CAMPOS</t>
  </si>
  <si>
    <t>ASSOCIAÇÃO DAS DONAS DE CASA DA ESTRADA DA PEDRA</t>
  </si>
  <si>
    <t>CENTRO COMUNITÁRIO DE ENSINO AVANÇADO</t>
  </si>
  <si>
    <t>CRECHE COMUNITÁRIA ESPAÇO CRESCER</t>
  </si>
  <si>
    <t>CENTRO DE INTEGRAÇÃO SOCIAL ISABEL MARIA DE NOVA SEPETIBA</t>
  </si>
  <si>
    <t>CRECHE CASULO AGOSTINHO</t>
  </si>
  <si>
    <t>ASSOCIAÇÃO DE MORADORES E UNIÃO DAS BASES DE URUCÂNIA E ADJACÊNCIAS</t>
  </si>
  <si>
    <t>FIOS DA TERRA-EDUCAÇÃO E CULTURA, AMBIENTE E ENERGIA, TRABALHO E PARTICIPAÇÃO</t>
  </si>
  <si>
    <t>CENTRO SOCIAL DE DES. INFANTIL TIA NEIDE</t>
  </si>
  <si>
    <t>ASSOCIAÇÃO FILANTRÓPICA CRISTÃ ESPÍRITA ISMÊNIA RIBEIRO</t>
  </si>
  <si>
    <t>CRECHE MARQUES</t>
  </si>
  <si>
    <t>ESCOLA COMUNITÁRIA SEMENTES DO AMANHÃ</t>
  </si>
  <si>
    <t>CRECHE COMUNITÁRIA JARDIM SANTA CRUZ - OS BENEDITINHOS</t>
  </si>
  <si>
    <t>CRECHE COMUNITÁRIA ASSOCIAÇÃO SILVANA SILVA</t>
  </si>
  <si>
    <t>ESCOLA COMUNITÁRIA SOUZA PINTO</t>
  </si>
  <si>
    <t>CRECHE PINGUINHO DE GENTE</t>
  </si>
  <si>
    <t xml:space="preserve">CRECHE COMUNITÁRIA ARTE &amp; CULTURA </t>
  </si>
  <si>
    <t xml:space="preserve">CRECHE COMUNITÁRIA DEUS É FIEL </t>
  </si>
  <si>
    <t>OBRA SOCIAL DO PARQUE ROYAL</t>
  </si>
  <si>
    <t>ASSOCIAÇÃO RESGATE DOS VALORES HUMANOS - AREVAH</t>
  </si>
  <si>
    <t>RUA CONCEIÇÃO, Nº 01 - COMPLEXO DO TURANO</t>
  </si>
  <si>
    <t>RUA ALMIRANTE ALEXANDRINA, 2495</t>
  </si>
  <si>
    <t>RUA SÃO LUIZ GONZAGA, Nº 1612-FUNDOS</t>
  </si>
  <si>
    <t>RUA DOUTOR AGRA, Nº 115</t>
  </si>
  <si>
    <t>RUA DA AMÉRICA, 81</t>
  </si>
  <si>
    <t>R. SÃO LUIZ GONZAGA, 1720</t>
  </si>
  <si>
    <t>RUA IBITURUNA, 53</t>
  </si>
  <si>
    <t>TRAVESSA LUZ, 13</t>
  </si>
  <si>
    <t>RUA FERNANDES GUIMARÃES, 85</t>
  </si>
  <si>
    <t>ESTR. DA GÁVEA, 262, QUARTEIRÃO 21, R. UM S/Nº</t>
  </si>
  <si>
    <t>RUA FARO, 80</t>
  </si>
  <si>
    <t>RUA DOIS, 431</t>
  </si>
  <si>
    <t>ESTR. DA GÁVEA, 259 - PARTE</t>
  </si>
  <si>
    <t>RUA INDIANA, 59</t>
  </si>
  <si>
    <t>ESTRADA DO BIGUÁ, 336</t>
  </si>
  <si>
    <t>RUA ESPERANÇA, 37 - 2º ANDAR</t>
  </si>
  <si>
    <t>ESTR. DA GÁVEA, 229 - CASA 1 - RUA UM</t>
  </si>
  <si>
    <t>TRAV. ESPERANÇA, 12</t>
  </si>
  <si>
    <t>RUA MARTINS FERREIRA, 57</t>
  </si>
  <si>
    <t>RUA HILÁRIO DE GOUVÊIA, 36 - 4º ANDAR</t>
  </si>
  <si>
    <t>RUA MARECHAL FRANCISCO DE MOURA, 234</t>
  </si>
  <si>
    <t>RUA JOAQUIM PIZARRO,63</t>
  </si>
  <si>
    <t>RUA EUCLIDES DA ROCHA, 370</t>
  </si>
  <si>
    <t>ESTR. DO TIJUAÇU, 32</t>
  </si>
  <si>
    <t>RUA SAINT ROMAIN, 142</t>
  </si>
  <si>
    <t>TRAVESSA SÃO LUIZ, 99</t>
  </si>
  <si>
    <t>RUA ADALBERTO FERREIRA, 35</t>
  </si>
  <si>
    <t>ESTR. DA GÁVEA, 259, R. UM CASA 52</t>
  </si>
  <si>
    <t>RUA TAVARES BASTOS, 296</t>
  </si>
  <si>
    <t>RUA ARMANDO DE ALBUQUERQUE, 168</t>
  </si>
  <si>
    <t>ESTR. DA GÁVEA, 199-BECO 1/5/65 CASA 34</t>
  </si>
  <si>
    <t>EST. DA GÁVEA, 325 - BECO 1-CASA 30</t>
  </si>
  <si>
    <t>RUA PROFESSOR LUIZ CANTANHEDE, 25</t>
  </si>
  <si>
    <t>RUA ALICE, 308</t>
  </si>
  <si>
    <t>RUA BENEDITO CALIXTO, 92/94</t>
  </si>
  <si>
    <t>ESTR. DA INDEPENDÊNCIA, 56</t>
  </si>
  <si>
    <t>RUA LEOPOLDO, 434</t>
  </si>
  <si>
    <t>RUA JOANA ANGÉLICA, 203</t>
  </si>
  <si>
    <t>RUA COELHO CINTRA, 380</t>
  </si>
  <si>
    <t>RUA GENERAL RABELO, 09</t>
  </si>
  <si>
    <t>RUA AGUIAR, 72</t>
  </si>
  <si>
    <t>RUA SAINT ROMAIN, 200/RUA CÂNDIDO PORTINARI, 05</t>
  </si>
  <si>
    <t>RUA MERY  PESSOA,91</t>
  </si>
  <si>
    <t>ESTR. DAS CANOAS, 720</t>
  </si>
  <si>
    <t>RUA UM, 159</t>
  </si>
  <si>
    <t>RUA TORRES HOMEM, 1024</t>
  </si>
  <si>
    <t>RUA CÍCERO DE GÓIS MONTEIRO, 19</t>
  </si>
  <si>
    <t>BECO DO JABUTI, 09  - MORRO SANTA MARTA</t>
  </si>
  <si>
    <t>RUA PAULO VI, 62</t>
  </si>
  <si>
    <t>AV. LINEU DE PAULA MACHADO, 795</t>
  </si>
  <si>
    <t>RUA PETROCOCHINO, 74</t>
  </si>
  <si>
    <t>RUA UM, 325</t>
  </si>
  <si>
    <t>ESTRADA DA GÁVEA, 436 - FUNDOS</t>
  </si>
  <si>
    <t>RUA ANA NÉRI, 1422</t>
  </si>
  <si>
    <t>RUA VEREADOR IGLESIAS, 25</t>
  </si>
  <si>
    <t>RUA ANA NERI, 2400</t>
  </si>
  <si>
    <t>RUA VISCONDE DE TOCANTINS, 34</t>
  </si>
  <si>
    <t>RUA ARISTIDES CAIRE, 349</t>
  </si>
  <si>
    <t>AV. DOM HÉLDER CÂMARA, 7622</t>
  </si>
  <si>
    <t>RUA ANTÔNIO AUSTREGÉSILO, 90</t>
  </si>
  <si>
    <t>RUA JOSÉ RUBINO, 82 E 88</t>
  </si>
  <si>
    <t>RUA TORRES SOBRINHO, 57</t>
  </si>
  <si>
    <t>RUA MOSSORÓ, 107</t>
  </si>
  <si>
    <t>RUA CAMARISTA MÉIER, 972</t>
  </si>
  <si>
    <t>AV. AMARO CAVALCANTI, 2171</t>
  </si>
  <si>
    <t>RUA SÃO FRANCISCO DE ASSIS, 15</t>
  </si>
  <si>
    <t>RUA VISTA ALEGRE, 17</t>
  </si>
  <si>
    <t>RUA CAMBORIÚ, 205 - FUNDOS</t>
  </si>
  <si>
    <t>RUA VALMIR, S/Nº</t>
  </si>
  <si>
    <t>RUA MIGUEL ANGELO, 541</t>
  </si>
  <si>
    <t>RUA CANITAR, 749</t>
  </si>
  <si>
    <t>RUA DIVINO SALVADOR, 223</t>
  </si>
  <si>
    <t>RUA FREI PINTO, 75</t>
  </si>
  <si>
    <t>AV. PASTOR MARTIN LUTHER KING JR., 126</t>
  </si>
  <si>
    <t>RUA MARIA BENJAMIN, Nº 485</t>
  </si>
  <si>
    <t>RUA ITAQUIRI, 248</t>
  </si>
  <si>
    <t>RUA DA COLHER, 01</t>
  </si>
  <si>
    <t>AV. MARECHAL RONDON, 2649</t>
  </si>
  <si>
    <t>RUA VILELA TAVARES, 62</t>
  </si>
  <si>
    <t>RUA DIVINO SALVADOR, 349</t>
  </si>
  <si>
    <t>RUA PROPÍCIA, 245</t>
  </si>
  <si>
    <t>RUA EDMUNDO, 97</t>
  </si>
  <si>
    <t>ESTRADA DE ITARARÉ,  480- COMPLEMENTO RUA NOVA, 66</t>
  </si>
  <si>
    <t>RUA VILELA TAVARES, 356</t>
  </si>
  <si>
    <t>RUA BOA VISTA, 20 - A</t>
  </si>
  <si>
    <t>RUA NAZÁRIO, 42</t>
  </si>
  <si>
    <t>AV. DOM HELDER CÂMARA, 6653</t>
  </si>
  <si>
    <t>RUA SILVA ROSA, 286</t>
  </si>
  <si>
    <t>RUA PADRE JANUÁRIO, 161</t>
  </si>
  <si>
    <t>ESTRADA ADHEMAR BEBIANO, Nº 3805</t>
  </si>
  <si>
    <t>RUA OURIQUE, 73</t>
  </si>
  <si>
    <t>RUA FLORA LOBO, 64</t>
  </si>
  <si>
    <t>RUA XAVIER PINHEIRO, 486</t>
  </si>
  <si>
    <t>AV. BRÁS DE PINA, 1558</t>
  </si>
  <si>
    <t>RUA DA DEMOCRACIA, 31- FDS</t>
  </si>
  <si>
    <t>RUA ANTÔNIO JOÃO, 1381</t>
  </si>
  <si>
    <t>AVENIDA OLIVEIRA BELO, 754</t>
  </si>
  <si>
    <t>RUA URANOS, 529</t>
  </si>
  <si>
    <t>RUA NIOAC, 06</t>
  </si>
  <si>
    <t>RUA NILTON CORDEIRO, 19</t>
  </si>
  <si>
    <t>RUA CABO REIS, 15</t>
  </si>
  <si>
    <t>AV. BRÁS DE PINA, 181</t>
  </si>
  <si>
    <t>PRAÇA SÃO LUCAS, 01- B</t>
  </si>
  <si>
    <t>RUA DR. LUIZ GREGÓRIO DE SÁ, 33</t>
  </si>
  <si>
    <t>RUA CARMELA DUTRA, 24</t>
  </si>
  <si>
    <t>RUA SÃO VICENTE DE PAULA, S/Nº</t>
  </si>
  <si>
    <t>RUA OURIQUE, 1111</t>
  </si>
  <si>
    <t>RUA OTINGA, 186 E 186 A</t>
  </si>
  <si>
    <t>RUA JOÃO ARAÚJO, 237</t>
  </si>
  <si>
    <t>RUA ROBERTO DA SILVEIRA, 81</t>
  </si>
  <si>
    <t>TRAVESSA SÃO BENTO - RUA BULHÕES MARCIAL, 19</t>
  </si>
  <si>
    <t>RUA ITABIRA, 297</t>
  </si>
  <si>
    <t>RUA SIZENANDO NABUCO, 111</t>
  </si>
  <si>
    <t>RUA VICENTE CANECO, 03</t>
  </si>
  <si>
    <t>RUA FELISBERTO FREIRE, 135</t>
  </si>
  <si>
    <t>RUA MAJOR REGO, 300</t>
  </si>
  <si>
    <t>RUA DOUTOR MIGUEL VIEIRA FERREIRA, 646</t>
  </si>
  <si>
    <t>RUA IPOJUCA, 392</t>
  </si>
  <si>
    <t>AV. BRASIL, 4040</t>
  </si>
  <si>
    <t>AVENIDA BRIGADEIRO TROMPOWISKI, 220</t>
  </si>
  <si>
    <t>RUA CABO ROCHA, 230</t>
  </si>
  <si>
    <t>RUA ISMAEL ROCHA, LOTE 124</t>
  </si>
  <si>
    <t>RUA NEGRÃO DE LIMA, 21 E 21A</t>
  </si>
  <si>
    <t>RUA MAJOR REGO, 46</t>
  </si>
  <si>
    <t>R. CHARLES GOUNOUD, 671</t>
  </si>
  <si>
    <t>R. GENERAL CARVALHO, 711</t>
  </si>
  <si>
    <t>R. DO ALPISTE, 933</t>
  </si>
  <si>
    <t>RUA JOAQUIM NABUCO, 75 - NOVA HOLANDA - MARÉ</t>
  </si>
  <si>
    <t xml:space="preserve">RUA PIRICUMA, 12 </t>
  </si>
  <si>
    <t>RUA DR NUNES, 577</t>
  </si>
  <si>
    <t>RUA CARDOSO DE MORAES, 339 / 341</t>
  </si>
  <si>
    <t>RUA DEMOCRACIA, 27</t>
  </si>
  <si>
    <t>RUA MARQUES DE OLIVEIRA, 130</t>
  </si>
  <si>
    <t>RUA ANDRÉ AZEVEDO, 113</t>
  </si>
  <si>
    <t>RUA BARREIROS, 618</t>
  </si>
  <si>
    <t>RUA DOS DIAMANTES, 113 - FUNDOS</t>
  </si>
  <si>
    <t>RUA FERNANDES GUSMÃO, 340, LOTE 1, QUADRA Y</t>
  </si>
  <si>
    <t>RUA CORONEL SOARES, 285/295</t>
  </si>
  <si>
    <t>RUA CARAJÁS, 262</t>
  </si>
  <si>
    <t>RUA ANTÔNIO SARAIVA, 23</t>
  </si>
  <si>
    <t>RUA CÂNDIDO BENÍCIO, 546</t>
  </si>
  <si>
    <t>RUA PROJETADA B, 100</t>
  </si>
  <si>
    <t>RUA LOURENÇO MARQUES, 70</t>
  </si>
  <si>
    <t>RUA CAROLINA AMADO, 1325</t>
  </si>
  <si>
    <t>RUA URUPEMA, 205</t>
  </si>
  <si>
    <t>RUA ENGENHEIRO LAFAIETE STOOCKLER, 781</t>
  </si>
  <si>
    <t>RUA CAROLINA MACHADO,1670</t>
  </si>
  <si>
    <t>AVENIDA DOS ITALIANOS, 1005</t>
  </si>
  <si>
    <t>RUA CAROLINA MACHADO, 1882</t>
  </si>
  <si>
    <t>RUA TACARATU, 26</t>
  </si>
  <si>
    <t>RUA LEOCÁDIO FIGUEIREDO, 835</t>
  </si>
  <si>
    <t>RUA PADRE LIMA, 482</t>
  </si>
  <si>
    <t>RUA FAUSTINO LINS, 898</t>
  </si>
  <si>
    <t>RUA IPUERA, 331</t>
  </si>
  <si>
    <t>RUA ELZO FERREIRA, 129</t>
  </si>
  <si>
    <t>RUA CAÇAREMA, 63</t>
  </si>
  <si>
    <t>PRAÇA ROBERTO CARLOS, 19</t>
  </si>
  <si>
    <t>RUA JOSÉ LOURENÇO, 181 E 183</t>
  </si>
  <si>
    <t>RUA DELEGADO SILVIO TERRA, 202</t>
  </si>
  <si>
    <t>RUA JOSÉ LOURENÇO, 32</t>
  </si>
  <si>
    <t>PRAÇA NOSSA SENHORA DAS DORES, 14</t>
  </si>
  <si>
    <t>AV. NAZARÉ, 340</t>
  </si>
  <si>
    <t>RUA EDGARD WERNECK, 420</t>
  </si>
  <si>
    <t>RUA EDGARD WERNECK, 1615</t>
  </si>
  <si>
    <t>ESTR. VEREADOR ALCEU DE CARVALHO, 461</t>
  </si>
  <si>
    <t>PRAÇA VARGEM GRANDE, LOTE 52</t>
  </si>
  <si>
    <t>ESTR. DA BOIÚNA, 1367</t>
  </si>
  <si>
    <t>RUA TIROL, 1571</t>
  </si>
  <si>
    <t>RUA IPÊ, 10</t>
  </si>
  <si>
    <t>AV. CÉLIA RIBEIRO DA SILVA MENDES, 92</t>
  </si>
  <si>
    <t>RUA SERVIDÃO, 46</t>
  </si>
  <si>
    <t>RUA GODOFREDO VIANA, 64 - PARTE</t>
  </si>
  <si>
    <t>RUA 1, Nº 02 (ACESSO CÂNDIDO BENÍCIO, 2935</t>
  </si>
  <si>
    <t>AV. CIDADE DE DEUS, S/Nº, VILA NOVA CRUZADA, LOTE 6</t>
  </si>
  <si>
    <t>AV. DAS ALAGOAS, 755, CANAL ESPERANÇA, 23</t>
  </si>
  <si>
    <t>AV. ISABEL DOMINGUES, 78</t>
  </si>
  <si>
    <t>RUA EDGARD WERNECK, 846</t>
  </si>
  <si>
    <t>RUA MOISÉS, 33</t>
  </si>
  <si>
    <t xml:space="preserve">RUA DO CASTOR, 295 </t>
  </si>
  <si>
    <t>RUA Mª ALICE, 85</t>
  </si>
  <si>
    <t>AV. TENENTE CORONEL MUNIZ DE ARAGÃO, 219</t>
  </si>
  <si>
    <t>RUA IMPERADOR, 894</t>
  </si>
  <si>
    <t>RUA SANTA ODÍLIA, 602</t>
  </si>
  <si>
    <t>AVENIDA FREDERICO FAULHABER, 688</t>
  </si>
  <si>
    <t>RUA CÍTARA, 138</t>
  </si>
  <si>
    <t>RUA DR. AUGUSTO FIGUEIREDO, 2002</t>
  </si>
  <si>
    <t>RUA SÃO DAGOBERTO, 153</t>
  </si>
  <si>
    <t>RUA DO IMPERADOR, 521, APT. 101- FUNDOS</t>
  </si>
  <si>
    <t>RUA DOUTOR AUGUSTO FIGUEIREDO, 93</t>
  </si>
  <si>
    <t>RUA FORT LAMY, S/Nº, LOTE 01, QUADRA 32</t>
  </si>
  <si>
    <t>RUA CROÁCIA, 05 C. 16</t>
  </si>
  <si>
    <t>ESTR. DA ÁGUA BRANCA, 4090</t>
  </si>
  <si>
    <t>ESTR. DA ÁGUA BRANCA, 4296</t>
  </si>
  <si>
    <t>ESTR. DO ENGENHO NOVO, 235</t>
  </si>
  <si>
    <t>RUA DOS ESTAMPADORES, 306</t>
  </si>
  <si>
    <t>AVENIDA PIRPIRITUBA, 292</t>
  </si>
  <si>
    <t>RUA RAUL AZEDO NETO, S/Nº</t>
  </si>
  <si>
    <t>ESTR. DA ÁGUA BRANCA, 640</t>
  </si>
  <si>
    <t>TRAV. BELIZÁRIA DE SOUZA, Nº36</t>
  </si>
  <si>
    <t>RUA CORREA SEARA, 97</t>
  </si>
  <si>
    <t xml:space="preserve">ESTR. SARGENTO MIGUEL FILHO, 371 </t>
  </si>
  <si>
    <t>RUA SÃO DAGOBERTO, 215</t>
  </si>
  <si>
    <t>RUA MARIA GRAHAM, 118</t>
  </si>
  <si>
    <t>RUA SOLON BOTELHO, 15, LOTE 15, QUADRA C</t>
  </si>
  <si>
    <t>RUA SOLDADO ERNEZITO CHAGAS, 38</t>
  </si>
  <si>
    <t>RUA ORLANDO RICCI, LOTE 02, QUADRA B</t>
  </si>
  <si>
    <t>RUA ARCEBURGO, LOTE 5</t>
  </si>
  <si>
    <t>RUA TOLEDO, 180 - CONJUNTO CAMPINHO</t>
  </si>
  <si>
    <t>RUA ITAMBARAÇA, Nº 670, LOTE 23, QUADRA 82</t>
  </si>
  <si>
    <t>AV. GLICÍNIA, 195, LOTE 1, QUADRA 5</t>
  </si>
  <si>
    <t>CAMINHO DA TUTÓIA, 520</t>
  </si>
  <si>
    <t>RUA CAMPOS ALTOS, LOTE 16, QUADRA G</t>
  </si>
  <si>
    <t>RUA VIRGÍLIO BAHIA, 15</t>
  </si>
  <si>
    <t>RUA ARCÍLIO PAPINI, 17</t>
  </si>
  <si>
    <t>RUA FLORENTINO ÁVIDOS, 195</t>
  </si>
  <si>
    <t xml:space="preserve">RUA JOSÉ FRANCISCO DE SOUZA PORTO, Nº 222 </t>
  </si>
  <si>
    <t>RUA ICURANA S/Nº  R. PROJETADA A Q.01</t>
  </si>
  <si>
    <t xml:space="preserve">RUA POCINHOS, 368 </t>
  </si>
  <si>
    <t xml:space="preserve">RUA PROF RAMIRO DE MATOS </t>
  </si>
  <si>
    <t xml:space="preserve">RUA SEARA FILHO, 377 </t>
  </si>
  <si>
    <t>RUA DEZOITO, LOTE 11 - VILAR CARIOCA</t>
  </si>
  <si>
    <t>RUA ICURANA, 03</t>
  </si>
  <si>
    <t>RUA OITO, CASA 12  QD1</t>
  </si>
  <si>
    <t>RUA MINISTRO ADALBERTO BARRETO, 473</t>
  </si>
  <si>
    <t>PRAÇA CELINA,  S/Nº - PARQUE ESTORIL</t>
  </si>
  <si>
    <t>RUA DO IMPÉRIO, 1637</t>
  </si>
  <si>
    <t>RUA PROJETADA MATTOS, 1</t>
  </si>
  <si>
    <t>RUA SÃO GOMÁRIO, 422</t>
  </si>
  <si>
    <t>RUA  MARICOABO, 130, LOTE 24, QUADRA 63</t>
  </si>
  <si>
    <t>AV. JOÃO XXIII, 1388</t>
  </si>
  <si>
    <t>AV. CESÁRIO DE MELO, 10.056</t>
  </si>
  <si>
    <t>RUA 39, S/Nº - CONJ. NOVA SEPETIBA</t>
  </si>
  <si>
    <t>ESTRADA DE SEPETIBA, S/Nº,  AVENIDA 2, Nº 400 - CONJ. NOVA SEPETIBA</t>
  </si>
  <si>
    <t>AVENIDA ANTARES, 2991</t>
  </si>
  <si>
    <t>RUA SERROLANDIA, 480, QD. 41, LOTE 26</t>
  </si>
  <si>
    <t>ESTRADA SANTA VERIDIANA, 936 A</t>
  </si>
  <si>
    <t>RUA BATISTA, 51</t>
  </si>
  <si>
    <t>RUA PRIMEIRA, 423 - C. 4</t>
  </si>
  <si>
    <t>ESTRADA TASSO BLASO, 1</t>
  </si>
  <si>
    <t>ESTRADA ATERRADO DO LEME, 426</t>
  </si>
  <si>
    <t>RUA SOLDADO VALTER DE SOUZA, 133 B</t>
  </si>
  <si>
    <t>ESTRADA DE SEPETIBA, 5974</t>
  </si>
  <si>
    <t>RUA GOULART DE ALMEIDA, 77</t>
  </si>
  <si>
    <t>RUA SOLDADO PRIM CANES, S/Nº, LT. 22, QD. 195</t>
  </si>
  <si>
    <t>RUA BURITI BRAVO, 255</t>
  </si>
  <si>
    <t>AV. CESÁRIO DE MELO, 13.855 - FUNDOS</t>
  </si>
  <si>
    <t>RUA PRIMEIRA, 26 - C. 1</t>
  </si>
  <si>
    <t>RUA NESTOR, 822</t>
  </si>
  <si>
    <t>ESTRADA BOA ESPERANÇA, 1173</t>
  </si>
  <si>
    <t>RUA SÃO DOMINGOS, 15</t>
  </si>
  <si>
    <t>ESTRADA VITOR DUMAS, 1268</t>
  </si>
  <si>
    <t>AVENIDA JOÃO XXIII, 267 - RUA 20 - CONJUNTO NOVO MUNDO</t>
  </si>
  <si>
    <t>RUA ELIZEU GOUVEIA, 12</t>
  </si>
  <si>
    <t>RUA CONCEIÇÃO DE IPANEMA, S/Nº, LOTE 17, QUADRA 4</t>
  </si>
  <si>
    <t>ESTRADA DOS CABUIS, 15</t>
  </si>
  <si>
    <t>RUA JOSÉ MARTINS BRITO, 165</t>
  </si>
  <si>
    <t>ESTRADA DA PEDRA, 4680</t>
  </si>
  <si>
    <t>RUA OUROANA, 18</t>
  </si>
  <si>
    <t>RUA OUROANA, 46, LOTE 14, QUADRA F</t>
  </si>
  <si>
    <t>TRAVESSA AURORA, 52</t>
  </si>
  <si>
    <t>PRAIA DE SEPETIBA, 1656</t>
  </si>
  <si>
    <t>ESTRADA DE SEPETIBA, 144</t>
  </si>
  <si>
    <t>RUA PROJETADA SALLES, 23, CASA 15</t>
  </si>
  <si>
    <t>RUA SANTA BÁRBARA, 18</t>
  </si>
  <si>
    <t>RUA DA CONCILIAÇÃO, 497</t>
  </si>
  <si>
    <t>RUA SAPUCAÍ, TRAVESSA PROJETADA, 55</t>
  </si>
  <si>
    <t>RUA PROJETADA ISABEL, 20</t>
  </si>
  <si>
    <t>RUA FERNANDA, 2562</t>
  </si>
  <si>
    <t>RUA ALEXANDRE DA SILVA FAGUNDES, 104</t>
  </si>
  <si>
    <t>RUA JUSTO DE MORAES, 90</t>
  </si>
  <si>
    <t>RUA ALMADINA, LOTE 10, QUADRA A</t>
  </si>
  <si>
    <t>RUA CÓRREGO NOVO, 17, QUADRA 14, LOTE 17</t>
  </si>
  <si>
    <t>AV. SANTA URSULINA, 333</t>
  </si>
  <si>
    <t>AVENIDA AREIA BRANCA, 2283</t>
  </si>
  <si>
    <t>RUA PROFESSOR CHARLEY LACHMUND, 290</t>
  </si>
  <si>
    <t>ESTRADA DE SEPETIBA, 172</t>
  </si>
  <si>
    <t>RUA DOS RODOVIÁRIOS, 01</t>
  </si>
  <si>
    <t>RUA 22, AVENIDA CESÁRIO DE MELO, 258</t>
  </si>
  <si>
    <t>RUA RIO GRANDE DO SUL, 136</t>
  </si>
  <si>
    <t>RUA ARNALDO BASTOS, 22</t>
  </si>
  <si>
    <t>EST. DO CATRUZ, 317</t>
  </si>
  <si>
    <t>R. SOLDADO ELIZEU HIPÓLITO, S/N LOTE 2 - QD 22</t>
  </si>
  <si>
    <t xml:space="preserve">RUA SOLDADO RAMIS  MENDES, L 12 QD 19 </t>
  </si>
  <si>
    <t>ESTRADA DO MAGARÇA, 2829</t>
  </si>
  <si>
    <t>RUA JOSÉ FELIPE DE SOUZA, 60</t>
  </si>
  <si>
    <t>BECO DO CAMARÃO, 68 - EST VITOR DUMAS</t>
  </si>
  <si>
    <t>TRAVESSA AURORA,19 - EST VITOR DUMAS</t>
  </si>
  <si>
    <t>RUA CARVALHO SANTOS, 11</t>
  </si>
  <si>
    <t>PRAIA DAS PITANGUEIRAS, 243</t>
  </si>
  <si>
    <t>RUA MITÁ, 115</t>
  </si>
  <si>
    <t>ESTRADA DO DENDÊ, 205</t>
  </si>
  <si>
    <t>RUA JORNALISTA ALAÍDE PIRES, 35</t>
  </si>
  <si>
    <t>RUA DR. BERNARDINO GOMES, 280</t>
  </si>
  <si>
    <t>RUA DR. MANUEL MARREIROS, 2255</t>
  </si>
  <si>
    <t>RIO COMPRIDO</t>
  </si>
  <si>
    <t>SANTA TERESA</t>
  </si>
  <si>
    <t>BENFICA</t>
  </si>
  <si>
    <t>CATUMBI</t>
  </si>
  <si>
    <t>SANTO CRISTO</t>
  </si>
  <si>
    <t>SÃO CRISTÓVÃO</t>
  </si>
  <si>
    <t>TIJUCA</t>
  </si>
  <si>
    <t>ROCINHA</t>
  </si>
  <si>
    <t>BOTAFOGO</t>
  </si>
  <si>
    <t>JARDIM BOTÂNICO</t>
  </si>
  <si>
    <t>COSME VELHO</t>
  </si>
  <si>
    <t>ALTO DA BOA VISTA</t>
  </si>
  <si>
    <t>COPACABANA</t>
  </si>
  <si>
    <t>TURANO / RIO COMPRIDO</t>
  </si>
  <si>
    <t>BOREL / TIJUCA</t>
  </si>
  <si>
    <t>LEBLON</t>
  </si>
  <si>
    <t>CATETE</t>
  </si>
  <si>
    <t>VILA ISABEL</t>
  </si>
  <si>
    <t>LARANJEIRAS</t>
  </si>
  <si>
    <t>VIDIGAL</t>
  </si>
  <si>
    <t>ANDARAÍ</t>
  </si>
  <si>
    <t>IPANEMA</t>
  </si>
  <si>
    <t>GÁVEA</t>
  </si>
  <si>
    <t>SÃO CONRADO</t>
  </si>
  <si>
    <t>LAGOA</t>
  </si>
  <si>
    <t>FLAMENGO</t>
  </si>
  <si>
    <t>ROCHA</t>
  </si>
  <si>
    <t>ENGENHO DE DENTRO</t>
  </si>
  <si>
    <t>SAMPAIO</t>
  </si>
  <si>
    <t>CACHAMBI</t>
  </si>
  <si>
    <t>ABOLIÇÃO</t>
  </si>
  <si>
    <t>INHAÚMA</t>
  </si>
  <si>
    <t>HIGIENÓPOLIS</t>
  </si>
  <si>
    <t>MÉIER</t>
  </si>
  <si>
    <t>LINS DE VASCONCELOS</t>
  </si>
  <si>
    <t>RAMOS</t>
  </si>
  <si>
    <t>JACARÉ</t>
  </si>
  <si>
    <t>PIEDADE</t>
  </si>
  <si>
    <t>DEL CASTILHO</t>
  </si>
  <si>
    <t>PILARES</t>
  </si>
  <si>
    <t>SÃO FRANCISCO XAVIER</t>
  </si>
  <si>
    <t>ENGENHO NOVO</t>
  </si>
  <si>
    <t>MARÉ</t>
  </si>
  <si>
    <t>ENGENHO DA RAINHA</t>
  </si>
  <si>
    <t>PENHA</t>
  </si>
  <si>
    <t>PENHA CIRCULAR</t>
  </si>
  <si>
    <t>VIGÁRIO GERAL</t>
  </si>
  <si>
    <t>VILA DA PENHA</t>
  </si>
  <si>
    <t>PARADA DE LUCAS</t>
  </si>
  <si>
    <t>CORDOVIL</t>
  </si>
  <si>
    <t>BONSUCESSO</t>
  </si>
  <si>
    <t>MANGUINHOS</t>
  </si>
  <si>
    <t>BRÁS DE PINA</t>
  </si>
  <si>
    <t>OLARIA</t>
  </si>
  <si>
    <t>JARDIM AMÉRICA</t>
  </si>
  <si>
    <t>ROCHA MIRANDA</t>
  </si>
  <si>
    <t>IRAJÁ</t>
  </si>
  <si>
    <t>VILA COSMOS</t>
  </si>
  <si>
    <t>CAVALCANTI</t>
  </si>
  <si>
    <t>CAMPINHO</t>
  </si>
  <si>
    <t>VISTA ALEGRE</t>
  </si>
  <si>
    <t>MARECHAL HERMES</t>
  </si>
  <si>
    <t>QUINTINO BOCAIÚVA</t>
  </si>
  <si>
    <t>BENTO RIBEIRO</t>
  </si>
  <si>
    <t>GUADALUPE</t>
  </si>
  <si>
    <t>ACARI</t>
  </si>
  <si>
    <t>ANCHIETA</t>
  </si>
  <si>
    <t>PARQUE ANCHIETA</t>
  </si>
  <si>
    <t>PAVUNA</t>
  </si>
  <si>
    <t>RICARDO DE ALBUQUERQUE</t>
  </si>
  <si>
    <t>FREGUESIA</t>
  </si>
  <si>
    <t>CIDADE DE DEUS / JACAREPAGUÁ</t>
  </si>
  <si>
    <t>VARGEM GRANDE</t>
  </si>
  <si>
    <t>TAQUARA / JACAREPAGUÁ</t>
  </si>
  <si>
    <t>VARGEM PEQUENA</t>
  </si>
  <si>
    <t>RECREIO DOS BANDEIRANTES</t>
  </si>
  <si>
    <t>JACAREPAGUÁ</t>
  </si>
  <si>
    <t>MATO ALTO / JACAREPAGUÁ</t>
  </si>
  <si>
    <t>ITANHANGÁ</t>
  </si>
  <si>
    <t>REALENGO</t>
  </si>
  <si>
    <t>SENADOR CAMARÁ</t>
  </si>
  <si>
    <t>VILA KENNEDY</t>
  </si>
  <si>
    <t>JABOUR</t>
  </si>
  <si>
    <t>BANGU</t>
  </si>
  <si>
    <t>MAGALHÃES BASTOS</t>
  </si>
  <si>
    <t>PADRE MIGUEL</t>
  </si>
  <si>
    <t>SULACAP</t>
  </si>
  <si>
    <t>CAMPO GRANDE</t>
  </si>
  <si>
    <t>SANTÍSSIMO</t>
  </si>
  <si>
    <t>COSMOS</t>
  </si>
  <si>
    <t>INHOAÍBA</t>
  </si>
  <si>
    <t>SANTA CRUZ</t>
  </si>
  <si>
    <t>PACIÊNCIA</t>
  </si>
  <si>
    <t>GUARATIBA</t>
  </si>
  <si>
    <t>SEPETIBA</t>
  </si>
  <si>
    <t>PEDRA DE GUARATIBA</t>
  </si>
  <si>
    <t>ILHA DO GOVERNADOR / PITANGUEIRAS</t>
  </si>
  <si>
    <t>ILHA DO GOVERNADOR / GUARABU</t>
  </si>
  <si>
    <t>ILHA DO GOVERNADOR / TAUÁ</t>
  </si>
  <si>
    <t>ILHA DO GOVERNADOR / PARQUE ROYAL</t>
  </si>
  <si>
    <t>ILHA DO GOVERNADOR</t>
  </si>
  <si>
    <t>CRECHE COMUNITÁRIA LEÃOZINHO FELIZ</t>
  </si>
  <si>
    <t>INSTITUTO Ô LUAR</t>
  </si>
  <si>
    <t>ESTRADA DA PENA, Nº 773</t>
  </si>
  <si>
    <t>CENTRO EDUCACIONAL YESHUA</t>
  </si>
  <si>
    <t>RUA CASA NOVA, Nº 165</t>
  </si>
  <si>
    <t>INSTITUTO FRUTIFICAR</t>
  </si>
  <si>
    <t>CRECHE COMUNITARIA ALEM DO ARCO-ÍRIS</t>
  </si>
  <si>
    <t>Rua Ayrton Senna, nº 5, Vila do Céu</t>
  </si>
  <si>
    <t>Fonte: Anexo XIV</t>
  </si>
  <si>
    <t>Rua Soldado Francisco Savastana, nº 90</t>
  </si>
  <si>
    <t>CP CRECHE COMUNITÁRIA ALÉM DO ARCO-ÍRIS</t>
  </si>
  <si>
    <t>CP INSTITUTO FRUTIFICAR</t>
  </si>
  <si>
    <t>CP CRECHE COMUNITÁRIA LEÃOZINHO FELIZ</t>
  </si>
  <si>
    <t>CP INSTITUTO Ô LUAR</t>
  </si>
  <si>
    <t>VALE DO SOL TAQUARA</t>
  </si>
  <si>
    <t>CAAD - UNIVERSO DAS FLORES</t>
  </si>
  <si>
    <t>VALE DO SOL PRAÇA SECA</t>
  </si>
  <si>
    <t>CAAD - UNIVERSO ENCANTADO</t>
  </si>
  <si>
    <t>JARDIM CLARICE</t>
  </si>
  <si>
    <t>CP ASSOCIAÇÃO CENTRO EDUCACIONAL REBRAL - ROCINHA</t>
  </si>
  <si>
    <t>RUA DOIS, Nº 55</t>
  </si>
  <si>
    <t>MARIA DA GRAÇA</t>
  </si>
  <si>
    <t>VILA VALQUEIRE</t>
  </si>
  <si>
    <t>CRECHE CHÁCARA DO CÉU</t>
  </si>
  <si>
    <t>CP CRECHE CHÁCARA DO CÉU</t>
  </si>
  <si>
    <t>CRECHE CANTINHO FELIZ II</t>
  </si>
  <si>
    <t>CRECHE CASA SANTA MARTHA</t>
  </si>
  <si>
    <t>INSTITUTO MACINTYRE</t>
  </si>
  <si>
    <t>CENTRO EDUCACIONAL ROUPA FELIZ</t>
  </si>
  <si>
    <t>CENTRO CULTURAL EDUCAR - UNIDADE IV (ALFA MASTER)</t>
  </si>
  <si>
    <t>CRECHE COMUNITÁRIA CÉU AZUL</t>
  </si>
  <si>
    <t>ASSOCIAÇÃO CRESCÊNCIO UNIDADE II</t>
  </si>
  <si>
    <t>CENTRO DE DESENVOLVIMENTO INFANTIL ESPELHO D'AGUA</t>
  </si>
  <si>
    <t>INSTITUTO JOSEFA LAURENTINO</t>
  </si>
  <si>
    <t>CENTRO EDUCACIONAL CARIOQUINHA</t>
  </si>
  <si>
    <t>AEMMAC - PAVUNA</t>
  </si>
  <si>
    <t>CRECHE JOÃO E MARIA</t>
  </si>
  <si>
    <t>ASSOCIAÇÃO CRECHE ESPERANÇA - COELHO NETO</t>
  </si>
  <si>
    <t>DIVA ALVES II</t>
  </si>
  <si>
    <t>UNIVERSO DA CRIANÇA</t>
  </si>
  <si>
    <t>ESPAÇO DE EDUCAÇÃO INFANTIL PEQUENO APRENDIZ</t>
  </si>
  <si>
    <t>CRECHE AMOR DE MÃE</t>
  </si>
  <si>
    <t>JARDIM ESCOLA TURMINHA DA ARCA - JETA II</t>
  </si>
  <si>
    <t>CRECHE COMUNITÁRIA SNOOPY</t>
  </si>
  <si>
    <t>CENTRO EDUCACIONAL TURMA DA MÔNICA</t>
  </si>
  <si>
    <t>INSTITUTO CRECHE DO PAPAI</t>
  </si>
  <si>
    <t>ESPAÇO DE DESENVOLVIMENTO PEDRITA</t>
  </si>
  <si>
    <t>ESPAÇO CRIATIVO TURMINHA DO BAIRRO</t>
  </si>
  <si>
    <t>CRECHE COMUNITÁRIA SOLDADINHOS DE DEUS</t>
  </si>
  <si>
    <t>INSTITUTO TEMPO DE CRIANÇA</t>
  </si>
  <si>
    <t>CRECHE COMUNITÁRIA ARTE DA CRIANÇA</t>
  </si>
  <si>
    <t>INSTITUTO CRESCER E APRENDER - FILIAL</t>
  </si>
  <si>
    <t>INSTITUTO CONSTRUINDO AMANHÃ</t>
  </si>
  <si>
    <t>CRECHE COMUNITÁRIA AURINA</t>
  </si>
  <si>
    <t>CRECHE MACHADO UNIDADE II</t>
  </si>
  <si>
    <t>CRECHE COMUNITÁRIA ESTRELINHA DO SABER</t>
  </si>
  <si>
    <t>CRECHE E ESCOLA COMUNITARIA GENTE BAIXINHA - Unidade Cosmos</t>
  </si>
  <si>
    <t>CRECHE COMUNITÁRIA PEQUENOS PASSOS</t>
  </si>
  <si>
    <t>CRECHE PEQUENA CANAÃ</t>
  </si>
  <si>
    <t>CRECHE COMUNITÁRIA RIBEIRO</t>
  </si>
  <si>
    <t>CRECHE COMUNITÁRIA JARDIM FELIZ</t>
  </si>
  <si>
    <t>CRECHE PINTANDO SONHOS</t>
  </si>
  <si>
    <t>CRECHE COMUNITARIA URSINHO PIMPÃO</t>
  </si>
  <si>
    <t>CP ASSOCIAÇÃO CENTRO EDUCACIONAL REBRAL XII (GUARATIBA)</t>
  </si>
  <si>
    <t>CP CENTRO EDUCACIONAL SHEKINAH</t>
  </si>
  <si>
    <t>CP CRECHE ESCOLA BAIXINHOS SABIDOS</t>
  </si>
  <si>
    <t>CP CRECHE COMUNITÁRIA CRISTÃ CORDEIRINHO DE CRISTO</t>
  </si>
  <si>
    <t>CP CRECHE COMUNITÁRIA AQUARELA DO SABER (GUARATIBA)</t>
  </si>
  <si>
    <t>CP INSTITUTO DE AÇÃO SOCIAL VIDA</t>
  </si>
  <si>
    <t>CRECHE COMUNITÁRIA IRMÃ MOROCHA</t>
  </si>
  <si>
    <t>CHALÉ SEMENTINHA (ILHA DO GOVERNADOR)</t>
  </si>
  <si>
    <t>manutenção</t>
  </si>
  <si>
    <t>nova</t>
  </si>
  <si>
    <t>Nova</t>
  </si>
  <si>
    <t>CP ASSOCIAÇÃO CRECHE ESPERANÇA - COELHO NETO</t>
  </si>
  <si>
    <t>CP ASSOCIAÇÃO CRESCENCIO UNIDADE II</t>
  </si>
  <si>
    <t>CP CAAD - COMITÊ DE ATENDIMENTO À CRIANÇA E AO ADOLESCENTE</t>
  </si>
  <si>
    <t>CP CAAD DONA ZULMIRA TELLES</t>
  </si>
  <si>
    <t>CP CAAD UNIVERSO DA CRIANÇA</t>
  </si>
  <si>
    <t>CP CAAD UNIVERSO DAS FLORES</t>
  </si>
  <si>
    <t>CP CAAD UNIVERSO ENCANTADO</t>
  </si>
  <si>
    <t>CP CENTRO DE DESENVOLVIMENTO INFANTIL ESPELHO D'AGUA</t>
  </si>
  <si>
    <t>CP CENTRO EDUCACIONAL CARIOQUINHA</t>
  </si>
  <si>
    <t>CP CENTRO EDUCACIONAL ESTRELA DO AMANHÃ</t>
  </si>
  <si>
    <t>CP CENTRO EDUCACIONAL MUNDO DA MÔNICA</t>
  </si>
  <si>
    <t>CP CENTRO EDUCACIONAL ROUPA FELIZ</t>
  </si>
  <si>
    <t>CP CHALÉ SEMENTINHA (ILHA DO GOVERNADOR)</t>
  </si>
  <si>
    <t>CP CRECHE AMOR DE MÃE</t>
  </si>
  <si>
    <t>CP CRECHE COMUNITÁRIA ARTE DA CRIANÇA</t>
  </si>
  <si>
    <t>CP CRECHE COMUNITÁRIA AURINA</t>
  </si>
  <si>
    <t>CP CRECHE COMUNITÁRIA CÉU AZUL</t>
  </si>
  <si>
    <t>CP CRECHE COMUNITÁRIA ESTRELINHA DO SABER</t>
  </si>
  <si>
    <t>CP CRECHE COMUNITÁRIA JARDIM FELIZ</t>
  </si>
  <si>
    <t>CP CRECHE COMUNITÁRIA PEQUENOS PASSOS</t>
  </si>
  <si>
    <t>CP CRECHE COMUNITÁRIA RIBEIRO</t>
  </si>
  <si>
    <t>CP CRECHE COMUNITÁRIA SNOOPY</t>
  </si>
  <si>
    <t>CP CRECHE COMUNITÁRIA URSINHO PIMPÃO</t>
  </si>
  <si>
    <t>CP CRECHE E ESCOLA COMUNITARIA GENTE BAIXINHA - UNIDADE COSMOS</t>
  </si>
  <si>
    <t>CP CRECHE INSTITUTO MACINTYRE</t>
  </si>
  <si>
    <t>CP CRECHE JARDIM CLARICE</t>
  </si>
  <si>
    <t>CP CRECHE JOÃO E MARIA</t>
  </si>
  <si>
    <t>CP CRECHE PEQUENA CANAÃ</t>
  </si>
  <si>
    <t>CP CRECHE VALE DO SOL PRAÇA SECA</t>
  </si>
  <si>
    <t>CP CRECHE VALE DO SOL TAQUARA</t>
  </si>
  <si>
    <t>CP ESPAÇO CRIATIVO TURMINHA DO BAIRRO</t>
  </si>
  <si>
    <t>CP ESPAÇO DE DESENVOLVIMENTO MÃE GAIA - UNIDADE I</t>
  </si>
  <si>
    <t>CP ESPAÇO DE DESENVOLVIMENTO PEDRITA</t>
  </si>
  <si>
    <t>CP ESPAÇO DE EDUCAÇÃO INFANTIL PEQUENO APRENDIZ</t>
  </si>
  <si>
    <t>CP INSTITUTO CONSTRUINDO AMANHÃ</t>
  </si>
  <si>
    <t>CP INSTITUTO CRECHE DO PAPAI</t>
  </si>
  <si>
    <t>CP INSTITUTO CRESCER E APRENDER - FILIAL</t>
  </si>
  <si>
    <t>CP INSTITUTO EDUCACIONAL DIVA ALVES II</t>
  </si>
  <si>
    <t>CP INSTITUTO JOSEFA LAURENTINO</t>
  </si>
  <si>
    <t>CP JARDIM ESCOLA TURMINHA DA ARCA - JETA II</t>
  </si>
  <si>
    <t>DESIGNAÇÃO</t>
  </si>
  <si>
    <t>NOME DA CRECHE</t>
  </si>
  <si>
    <t>CRECHE SANTA CLARA DE ASSIS NA PROVIDENCIA DE DEUS</t>
  </si>
  <si>
    <t>ASSOCIAÇÃO CENTRO EDUCACIONAL REBRAL XIII - Rocinha</t>
  </si>
  <si>
    <t>ANJOS DO BEM</t>
  </si>
  <si>
    <t>CRECHE FRUTOS DO AMANHA II</t>
  </si>
  <si>
    <t>ASSOCIAÇÃO CRESCENCIO - ENGENHO I</t>
  </si>
  <si>
    <t>CAAD UNIVERSO ENCANTADO</t>
  </si>
  <si>
    <t>CAAD- UNIVERSO DA CRIANÇA</t>
  </si>
  <si>
    <t>INSTITUTO EDUCACIONAL DIVA ALVES - Unidade II</t>
  </si>
  <si>
    <t>CRECHE COMUNITÁRIA AMOR DE MÃE</t>
  </si>
  <si>
    <t>JARDIM ESCOLA TURMINHA DA ARCA</t>
  </si>
  <si>
    <t>ASSOCIAÇÃO CRECHE ESCOLA SILVINA VIRGÍNIA</t>
  </si>
  <si>
    <t>ESCOLA COMUNITARIA JARDIM ARCO-IRIS - UNIDADE II</t>
  </si>
  <si>
    <t xml:space="preserve">CRECHE MACHADO UNIDADE I </t>
  </si>
  <si>
    <t>CENTRO EDUCACIONAL SÃO JERONIMO</t>
  </si>
  <si>
    <t>CRECHE COMUNITARIA DEUS E FIEL - UNIDADE VII</t>
  </si>
  <si>
    <t>CRECHE MAGIA DA CRIANCA II</t>
  </si>
  <si>
    <t>ASSOCIAÇÃO CENTRO EDUCACIONAL REBRAL XII (GUARATIBA)</t>
  </si>
  <si>
    <t>CENTRO EDUCACIONAL SHEKINAH</t>
  </si>
  <si>
    <t>CRECHE ESCOLA BAIXINHOS SABIDOS</t>
  </si>
  <si>
    <t>CRECHE COMUNIT. CRISTÃ CORDEIRINHO DE CRISTO</t>
  </si>
  <si>
    <t>CRECHE COMUNITÁRIA AQUARELA DO SABER (GUARATIBA)</t>
  </si>
  <si>
    <t>INSTITUTO DE AÇÃO SOCIAL VIDA</t>
  </si>
  <si>
    <t>ENDEREÇO</t>
  </si>
  <si>
    <t>Estrada da Independência, 161</t>
  </si>
  <si>
    <t xml:space="preserve">Av. Pavãozinho Nº 02 Com. Pavãozinho -Cantagalo </t>
  </si>
  <si>
    <t>Rua Um, 245 CS OS</t>
  </si>
  <si>
    <t>Rua Nossa Senhora de Lourdes,26</t>
  </si>
  <si>
    <t>GRAJAÚ</t>
  </si>
  <si>
    <t>Av. Novo Rio, 10</t>
  </si>
  <si>
    <t>Antônio Portela,29</t>
  </si>
  <si>
    <t> Rua Mario Carpenter, 1686</t>
  </si>
  <si>
    <t>Rua Nilton Cordeiro, 3, Parque Uniao</t>
  </si>
  <si>
    <t>Rua Sargento Silva Nunes, 431</t>
  </si>
  <si>
    <t xml:space="preserve">Rua Matricária, 474 </t>
  </si>
  <si>
    <t>Rua Coronel Soares,285  . Rua Ender, 131</t>
  </si>
  <si>
    <t>COELHO NETO</t>
  </si>
  <si>
    <t>Estrada dos Bandeirantes, 11227 - Via A - s/nº</t>
  </si>
  <si>
    <t>Av. Genaro de Carvalho 3735</t>
  </si>
  <si>
    <t>Av. Isabel Domingues, 20</t>
  </si>
  <si>
    <t>GARDÊNIA AZUL</t>
  </si>
  <si>
    <t>Rua Frederico Quartarolli, 394</t>
  </si>
  <si>
    <t>Rua Antenor Ferreira Quadra G LT 16</t>
  </si>
  <si>
    <t>Rua Aglaia ,327</t>
  </si>
  <si>
    <t>Estrada da Cachamorra, 492</t>
  </si>
  <si>
    <t>Rua Byron, 239,quadra 10, lote 16, São Geraldo</t>
  </si>
  <si>
    <t>Rua Ceará Mirim nº 307</t>
  </si>
  <si>
    <t>Praça  Narciso Luzes  Nº23 - Inhoaíba</t>
  </si>
  <si>
    <t>Rua Ceará Mirim, nº 27 Lote 5 Quadra 7, Pal 20786</t>
  </si>
  <si>
    <t>Avenida Serido, 580, Lote 580 PAL 25396 QD 18</t>
  </si>
  <si>
    <t>Rua Tapes, 32</t>
  </si>
  <si>
    <t>Estrada do Pré, nº 225</t>
  </si>
  <si>
    <t>SENADOR VASCONCELOS</t>
  </si>
  <si>
    <t>Rua Almeida Gonzaga, 59 - casa 1</t>
  </si>
  <si>
    <t> Rua Piraua, 130</t>
  </si>
  <si>
    <t> Rua Conceição da Alagoas, 638, lote 8, PAL 34941, Quadra 49</t>
  </si>
  <si>
    <t> Rua Curare, 541</t>
  </si>
  <si>
    <t> Rua Noemia Drumond, 105</t>
  </si>
  <si>
    <t> Rua Laplace, 93</t>
  </si>
  <si>
    <t>Av. Joaquim Magalhaes, 151, lote 4, PAL 18970</t>
  </si>
  <si>
    <t>Estrada Moriçaba, 499, lote 2</t>
  </si>
  <si>
    <t>Rua Valdir Azevedo,60</t>
  </si>
  <si>
    <t>Rua Teixeira Campos, 590</t>
  </si>
  <si>
    <t xml:space="preserve">Estrada da Pedra, nº 117 </t>
  </si>
  <si>
    <t>Est. Estrela da Tarde 1 - Caminho Jose Hilário, 500 Lt 4</t>
  </si>
  <si>
    <t>Estrada Urucânia, nº 1745</t>
  </si>
  <si>
    <t> Est. Do Magarça, 3896, lote 1, PAL 31583</t>
  </si>
  <si>
    <t>Rua Campo Formoso, nº 447, A</t>
  </si>
  <si>
    <t>Est. Do Margarça, 6810</t>
  </si>
  <si>
    <t>Rua do Romancista,96 Freguesia</t>
  </si>
  <si>
    <t>FREGUESIA (ILHA DO GOV.)</t>
  </si>
  <si>
    <t>Rua Engenheiro Rozauro Zambrano, 234, Jardim Guanabara</t>
  </si>
  <si>
    <t>JARDIM GUANABARA</t>
  </si>
  <si>
    <t>BERÇÁRIO I</t>
  </si>
  <si>
    <t>BERÇÁRIO II</t>
  </si>
  <si>
    <t>MATERNAL I</t>
  </si>
  <si>
    <t>MATERNAL II</t>
  </si>
  <si>
    <t>Turma</t>
  </si>
  <si>
    <t>Aluno</t>
  </si>
  <si>
    <t>Incluído</t>
  </si>
  <si>
    <t>Abatimento Vagas</t>
  </si>
  <si>
    <t>Turma Mista?</t>
  </si>
  <si>
    <t>AVENIDA CENTRAL, 70</t>
  </si>
  <si>
    <t>manutenção c/ redução da meta</t>
  </si>
  <si>
    <t>CENTRO EDUCACIONA ROUPA FELIZ</t>
  </si>
  <si>
    <t>CENTRO DE DESENVOLVIMENTO INFANTIL ESPELHO D’AGUA</t>
  </si>
  <si>
    <t>ASSOSIAÇÃO CULTURAL GUADALUPE</t>
  </si>
  <si>
    <t>ASSOCIAÇÃO PARA O DESENVOLVIMENTO SOCIAL JARDIM CLARICE</t>
  </si>
  <si>
    <t xml:space="preserve">ASSOCIAÇÃO CONSTRUINDO O AMANHÃ </t>
  </si>
  <si>
    <t>INSTITUTO FLÁVIA MINARINI</t>
  </si>
  <si>
    <t>CRECHE ESCOLA MACHADO</t>
  </si>
  <si>
    <t>CRECHE COMUNITÁRIA GENTE BAIXINHA - UNIDADE COSMOS</t>
  </si>
  <si>
    <t>INSTITUTO EDUCACIONAL RIBEIRO</t>
  </si>
  <si>
    <t>CRECHE COMUNITÁRIA SILVA DA COSTA</t>
  </si>
  <si>
    <t>OBRA SOCIAL LEÃO DE JUDÁ</t>
  </si>
  <si>
    <t>CRECHE COMUNITÁRIA CRISTÃ CORDEIRINHO DE CRISTO</t>
  </si>
  <si>
    <t xml:space="preserve">CRECHE COMUNITÁRIA AQUARELA DO SABER </t>
  </si>
  <si>
    <t>ASSOCIAÇÃO CHALÉ SEMENTINHAS</t>
  </si>
  <si>
    <t>manutenção c/ aumento de meta</t>
  </si>
  <si>
    <t>ASSOCIAÇÃO REDE CRUZADA</t>
  </si>
  <si>
    <t>nova - alteração de meta de 100 para 184</t>
  </si>
  <si>
    <t>manutenção - ajuste de meta informado em 24/04 pela GSM (de 145 para 144)</t>
  </si>
  <si>
    <t>Abatimentos</t>
  </si>
  <si>
    <t>ASSOCIAÇÃO EDUCACIONAL ANJOS DO BEM</t>
  </si>
  <si>
    <t>Associação Educacional Anjos do Bem</t>
  </si>
  <si>
    <t>Realidade Março</t>
  </si>
  <si>
    <t>Diferença</t>
  </si>
  <si>
    <t>Verificação Aluno/Meta</t>
  </si>
  <si>
    <t>CP CRECHE ANJOS DO BEM</t>
  </si>
  <si>
    <t>CP CRECHE DO JACAREZINHO</t>
  </si>
  <si>
    <t>CP CRECHE BRINCANDO COM JUNINHO</t>
  </si>
  <si>
    <t>CP CRECHE HOUSE BABY - BONSUCESSO</t>
  </si>
  <si>
    <t>CP SOLDADINHOS DE DEUS</t>
  </si>
  <si>
    <t>CP TEMPO DE CRIANÇA</t>
  </si>
  <si>
    <t>CP CEM CRECHE ESCOLA MACHADO UNIDADE II</t>
  </si>
  <si>
    <t>CP CRECHE COMUNITÁRIA PINTANDO SONHOS</t>
  </si>
  <si>
    <t>CP CRECHE MUNDO MÁGICO II</t>
  </si>
  <si>
    <t>CP CRECHE COMUNITÁRIA IRMÃ MOROCHA (CCIM)</t>
  </si>
  <si>
    <t>Realidade: 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</si>
</sst>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8" tint="0.59999389629810485"/>
        <bgColor rgb="FF00000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1" fillId="0" borderId="0" xfId="0" applyFont="1" applyAlignment="1" applyProtection="1">
      <alignment horizontal="centerContinuous" vertical="center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1" fontId="1" fillId="0" borderId="0" xfId="0" applyNumberFormat="1" applyFont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4" fillId="0" borderId="0" xfId="0" applyFont="1" applyProtection="1">
      <protection locked="0"/>
    </xf>
    <xf numFmtId="0" fontId="3" fillId="3" borderId="2" xfId="0" applyFont="1" applyFill="1" applyBorder="1" applyAlignment="1" applyProtection="1">
      <alignment horizontal="center" vertical="center"/>
      <protection locked="0"/>
    </xf>
    <xf numFmtId="0" fontId="3" fillId="3" borderId="2" xfId="0" applyFont="1" applyFill="1" applyBorder="1" applyAlignment="1" applyProtection="1">
      <alignment horizontal="center" vertical="center" wrapText="1"/>
      <protection locked="0"/>
    </xf>
    <xf numFmtId="1" fontId="3" fillId="3" borderId="2" xfId="0" applyNumberFormat="1" applyFont="1" applyFill="1" applyBorder="1" applyAlignment="1" applyProtection="1">
      <alignment horizontal="center" vertical="center"/>
      <protection locked="0"/>
    </xf>
    <xf numFmtId="0" fontId="3" fillId="3" borderId="2" xfId="0" applyFont="1" applyFill="1" applyBorder="1" applyAlignment="1" applyProtection="1">
      <alignment vertical="center"/>
      <protection locked="0"/>
    </xf>
    <xf numFmtId="0" fontId="3" fillId="3" borderId="2" xfId="0" applyFont="1" applyFill="1" applyBorder="1" applyAlignment="1" applyProtection="1">
      <alignment horizontal="centerContinuous" vertical="center"/>
      <protection locked="0"/>
    </xf>
    <xf numFmtId="0" fontId="0" fillId="0" borderId="0" xfId="0" applyProtection="1">
      <protection locked="0"/>
    </xf>
    <xf numFmtId="1" fontId="0" fillId="0" borderId="0" xfId="0" applyNumberFormat="1" applyProtection="1">
      <protection locked="0"/>
    </xf>
    <xf numFmtId="0" fontId="0" fillId="0" borderId="0" xfId="0" applyAlignment="1" applyProtection="1">
      <alignment horizontal="left"/>
      <protection locked="0"/>
    </xf>
    <xf numFmtId="0" fontId="0" fillId="0" borderId="0" xfId="0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 wrapText="1"/>
      <protection locked="0"/>
    </xf>
    <xf numFmtId="1" fontId="5" fillId="0" borderId="3" xfId="0" applyNumberFormat="1" applyFont="1" applyBorder="1" applyAlignment="1" applyProtection="1">
      <alignment horizontal="center" vertical="center" wrapText="1"/>
      <protection locked="0"/>
    </xf>
    <xf numFmtId="0" fontId="5" fillId="0" borderId="3" xfId="0" applyFont="1" applyBorder="1" applyAlignment="1" applyProtection="1">
      <alignment vertical="center"/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0" fontId="0" fillId="0" borderId="3" xfId="0" applyBorder="1" applyAlignment="1" applyProtection="1">
      <alignment horizontal="center" vertical="center" wrapText="1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vertical="center"/>
      <protection locked="0"/>
    </xf>
    <xf numFmtId="0" fontId="0" fillId="0" borderId="0" xfId="0" applyAlignment="1" applyProtection="1">
      <alignment horizontal="center"/>
      <protection hidden="1"/>
    </xf>
    <xf numFmtId="0" fontId="0" fillId="0" borderId="3" xfId="0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3" fillId="2" borderId="3" xfId="0" applyFont="1" applyFill="1" applyBorder="1" applyAlignment="1" applyProtection="1">
      <alignment horizontal="center"/>
      <protection hidden="1"/>
    </xf>
    <xf numFmtId="164" fontId="5" fillId="0" borderId="2" xfId="0" applyNumberFormat="1" applyFont="1" applyBorder="1" applyAlignment="1" applyProtection="1">
      <alignment horizontal="center" vertical="center" wrapText="1"/>
      <protection locked="0"/>
    </xf>
    <xf numFmtId="164" fontId="6" fillId="0" borderId="2" xfId="0" applyNumberFormat="1" applyFont="1" applyBorder="1" applyAlignment="1" applyProtection="1">
      <alignment horizontal="center" vertical="center" wrapText="1"/>
      <protection locked="0"/>
    </xf>
    <xf numFmtId="0" fontId="3" fillId="4" borderId="4" xfId="0" applyFont="1" applyFill="1" applyBorder="1" applyAlignment="1" applyProtection="1">
      <alignment horizontal="centerContinuous" vertical="center"/>
      <protection locked="0"/>
    </xf>
    <xf numFmtId="0" fontId="3" fillId="4" borderId="1" xfId="0" applyFont="1" applyFill="1" applyBorder="1" applyAlignment="1" applyProtection="1">
      <alignment horizontal="centerContinuous" vertical="center"/>
      <protection locked="0"/>
    </xf>
    <xf numFmtId="0" fontId="3" fillId="4" borderId="5" xfId="0" applyFont="1" applyFill="1" applyBorder="1" applyAlignment="1" applyProtection="1">
      <alignment horizontal="centerContinuous" vertical="center"/>
      <protection locked="0"/>
    </xf>
    <xf numFmtId="0" fontId="3" fillId="4" borderId="6" xfId="0" applyFont="1" applyFill="1" applyBorder="1" applyAlignment="1" applyProtection="1">
      <alignment horizontal="centerContinuous"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0" fillId="0" borderId="0" xfId="0" applyProtection="1">
      <protection locked="0" hidden="1"/>
    </xf>
    <xf numFmtId="0" fontId="3" fillId="2" borderId="3" xfId="0" applyFont="1" applyFill="1" applyBorder="1" applyAlignment="1" applyProtection="1">
      <alignment horizontal="center"/>
      <protection locked="0" hidden="1"/>
    </xf>
    <xf numFmtId="1" fontId="0" fillId="0" borderId="3" xfId="0" applyNumberFormat="1" applyBorder="1" applyAlignment="1" applyProtection="1">
      <alignment horizontal="center" vertical="center" wrapText="1"/>
      <protection locked="0"/>
    </xf>
    <xf numFmtId="1" fontId="0" fillId="6" borderId="3" xfId="0" applyNumberFormat="1" applyFill="1" applyBorder="1" applyAlignment="1" applyProtection="1">
      <alignment horizontal="center" vertical="center" wrapText="1"/>
      <protection locked="0"/>
    </xf>
    <xf numFmtId="1" fontId="0" fillId="0" borderId="2" xfId="0" applyNumberFormat="1" applyBorder="1" applyAlignment="1" applyProtection="1">
      <alignment horizontal="center" vertical="center" wrapText="1"/>
      <protection locked="0"/>
    </xf>
    <xf numFmtId="1" fontId="0" fillId="5" borderId="3" xfId="0" applyNumberFormat="1" applyFill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/>
      <protection locked="0"/>
    </xf>
    <xf numFmtId="1" fontId="0" fillId="5" borderId="0" xfId="0" applyNumberFormat="1" applyFill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0" fillId="7" borderId="3" xfId="0" applyFill="1" applyBorder="1" applyAlignment="1" applyProtection="1">
      <alignment horizontal="center"/>
      <protection hidden="1"/>
    </xf>
    <xf numFmtId="0" fontId="0" fillId="7" borderId="3" xfId="0" applyFill="1" applyBorder="1" applyAlignment="1" applyProtection="1">
      <alignment horizontal="center"/>
      <protection locked="0"/>
    </xf>
    <xf numFmtId="0" fontId="3" fillId="0" borderId="3" xfId="0" applyFont="1" applyBorder="1" applyAlignment="1" applyProtection="1">
      <alignment horizontal="center"/>
      <protection hidden="1"/>
    </xf>
    <xf numFmtId="0" fontId="3" fillId="0" borderId="3" xfId="0" applyFont="1" applyBorder="1" applyAlignment="1" applyProtection="1">
      <alignment horizontal="center"/>
      <protection locked="0" hidden="1"/>
    </xf>
    <xf numFmtId="0" fontId="8" fillId="2" borderId="3" xfId="0" applyFont="1" applyFill="1" applyBorder="1" applyAlignment="1" applyProtection="1">
      <alignment horizontal="center"/>
      <protection hidden="1"/>
    </xf>
    <xf numFmtId="0" fontId="0" fillId="8" borderId="0" xfId="0" applyFill="1" applyProtection="1">
      <protection locked="0"/>
    </xf>
    <xf numFmtId="164" fontId="5" fillId="6" borderId="2" xfId="0" applyNumberFormat="1" applyFont="1" applyFill="1" applyBorder="1" applyAlignment="1" applyProtection="1">
      <alignment horizontal="center" vertical="center" wrapText="1"/>
      <protection locked="0"/>
    </xf>
    <xf numFmtId="1" fontId="5" fillId="6" borderId="3" xfId="0" applyNumberFormat="1" applyFont="1" applyFill="1" applyBorder="1" applyAlignment="1" applyProtection="1">
      <alignment horizontal="center" vertical="center" wrapText="1"/>
      <protection locked="0"/>
    </xf>
    <xf numFmtId="0" fontId="5" fillId="6" borderId="3" xfId="0" applyFont="1" applyFill="1" applyBorder="1" applyAlignment="1" applyProtection="1">
      <alignment vertical="center"/>
      <protection locked="0"/>
    </xf>
    <xf numFmtId="0" fontId="5" fillId="6" borderId="3" xfId="0" applyFont="1" applyFill="1" applyBorder="1" applyAlignment="1" applyProtection="1">
      <alignment horizontal="left" vertical="center"/>
      <protection locked="0"/>
    </xf>
    <xf numFmtId="0" fontId="0" fillId="6" borderId="3" xfId="0" applyFill="1" applyBorder="1" applyAlignment="1" applyProtection="1">
      <alignment horizontal="center" vertical="center" wrapText="1"/>
      <protection locked="0"/>
    </xf>
    <xf numFmtId="0" fontId="0" fillId="6" borderId="3" xfId="0" applyFill="1" applyBorder="1" applyAlignment="1" applyProtection="1">
      <alignment horizontal="center"/>
      <protection hidden="1"/>
    </xf>
    <xf numFmtId="0" fontId="0" fillId="6" borderId="3" xfId="0" applyFill="1" applyBorder="1" applyAlignment="1" applyProtection="1">
      <alignment horizontal="center"/>
      <protection locked="0"/>
    </xf>
    <xf numFmtId="0" fontId="0" fillId="6" borderId="3" xfId="0" applyFill="1" applyBorder="1" applyAlignment="1" applyProtection="1">
      <alignment horizontal="center" vertical="center"/>
      <protection locked="0"/>
    </xf>
    <xf numFmtId="0" fontId="0" fillId="6" borderId="0" xfId="0" applyFill="1" applyProtection="1">
      <protection locked="0"/>
    </xf>
    <xf numFmtId="0" fontId="5" fillId="6" borderId="3" xfId="0" applyFont="1" applyFill="1" applyBorder="1" applyAlignment="1" applyProtection="1">
      <alignment horizontal="center" vertical="center" wrapText="1"/>
      <protection locked="0"/>
    </xf>
    <xf numFmtId="0" fontId="5" fillId="6" borderId="2" xfId="0" applyFont="1" applyFill="1" applyBorder="1" applyAlignment="1" applyProtection="1">
      <alignment horizontal="left" vertical="center" wrapText="1"/>
      <protection locked="0"/>
    </xf>
    <xf numFmtId="0" fontId="7" fillId="6" borderId="2" xfId="0" applyFont="1" applyFill="1" applyBorder="1" applyAlignment="1" applyProtection="1">
      <alignment horizontal="left" vertical="center" wrapText="1"/>
      <protection locked="0"/>
    </xf>
    <xf numFmtId="0" fontId="5" fillId="0" borderId="2" xfId="0" applyFont="1" applyBorder="1" applyAlignment="1" applyProtection="1">
      <alignment horizontal="left" vertical="center" wrapText="1"/>
      <protection locked="0"/>
    </xf>
    <xf numFmtId="0" fontId="5" fillId="7" borderId="2" xfId="0" applyFont="1" applyFill="1" applyBorder="1" applyAlignment="1" applyProtection="1">
      <alignment horizontal="left" vertical="center" wrapText="1"/>
      <protection locked="0"/>
    </xf>
    <xf numFmtId="0" fontId="5" fillId="9" borderId="2" xfId="0" applyFont="1" applyFill="1" applyBorder="1" applyAlignment="1" applyProtection="1">
      <alignment horizontal="left" vertical="center" wrapText="1"/>
      <protection locked="0"/>
    </xf>
    <xf numFmtId="1" fontId="5" fillId="0" borderId="2" xfId="0" applyNumberFormat="1" applyFont="1" applyBorder="1" applyAlignment="1" applyProtection="1">
      <alignment horizontal="center" vertical="center" wrapText="1"/>
      <protection locked="0"/>
    </xf>
    <xf numFmtId="0" fontId="5" fillId="0" borderId="2" xfId="0" applyFont="1" applyBorder="1" applyAlignment="1" applyProtection="1">
      <alignment horizontal="center" vertical="center" wrapText="1"/>
      <protection locked="0"/>
    </xf>
    <xf numFmtId="0" fontId="5" fillId="6" borderId="2" xfId="0" applyFont="1" applyFill="1" applyBorder="1" applyAlignment="1" applyProtection="1">
      <alignment horizontal="center" vertical="center" wrapText="1"/>
      <protection locked="0"/>
    </xf>
    <xf numFmtId="0" fontId="3" fillId="6" borderId="3" xfId="0" applyFont="1" applyFill="1" applyBorder="1" applyAlignment="1" applyProtection="1">
      <alignment horizontal="center"/>
      <protection locked="0" hidden="1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R:\GAB\MATRICULA\2024\CRECHES%20PARCEIRAS\LISTAGEM%20CONSOLIDADO%20AUTOM&#193;TICO%20-%20COM%20F&#211;RMULAS.xlsx" TargetMode="External"/><Relationship Id="rId1" Type="http://schemas.openxmlformats.org/officeDocument/2006/relationships/externalLinkPath" Target="file:///R:\GAB\MATRICULA\2024\CRECHES%20PARCEIRAS\LISTAGEM%20CONSOLIDADO%20AUTOM&#193;TICO%20-%20COM%20F&#211;RMULA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R:\GAB\MATRICULA\2024\CRECHES%20PARCEIRAS\CONSOLIDADO%20DE%20VAGAS\Creches%20Parceiras%20-%20Mar&#231;o.xlsx" TargetMode="External"/><Relationship Id="rId1" Type="http://schemas.openxmlformats.org/officeDocument/2006/relationships/externalLinkPath" Target="file:///R:\GAB\MATRICULA\2024\CRECHES%20PARCEIRAS\CONSOLIDADO%20DE%20VAGAS\Creches%20Parceiras%20-%20Mar&#231;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B DIN"/>
      <sheetName val="TB DIN INCLUIDOS"/>
      <sheetName val="Listagem"/>
      <sheetName val="CONTROLE"/>
      <sheetName val="Duplicados na CRE"/>
    </sheetNames>
    <sheetDataSet>
      <sheetData sheetId="0">
        <row r="1">
          <cell r="B1" t="str">
            <v>(vazio)</v>
          </cell>
        </row>
        <row r="3">
          <cell r="D3" t="str">
            <v>Rótulos de Coluna</v>
          </cell>
        </row>
        <row r="4">
          <cell r="B4" t="str">
            <v>DESIGNAÇÃO</v>
          </cell>
          <cell r="C4" t="str">
            <v>DENOMINAÇÃO</v>
          </cell>
          <cell r="D4" t="str">
            <v>Berçário I</v>
          </cell>
          <cell r="E4" t="str">
            <v>Berçário II</v>
          </cell>
          <cell r="F4" t="str">
            <v>Maternal I</v>
          </cell>
          <cell r="G4" t="str">
            <v>Maternal II</v>
          </cell>
          <cell r="H4" t="str">
            <v>Total Geral</v>
          </cell>
        </row>
        <row r="5">
          <cell r="B5">
            <v>1004</v>
          </cell>
          <cell r="C5" t="str">
            <v>CP CRECHE CANTINHO FELIZ DE SANTA TERESA</v>
          </cell>
          <cell r="F5">
            <v>26</v>
          </cell>
          <cell r="G5">
            <v>24</v>
          </cell>
          <cell r="H5">
            <v>50</v>
          </cell>
        </row>
        <row r="6">
          <cell r="B6">
            <v>1005</v>
          </cell>
          <cell r="C6" t="str">
            <v>CP CASA MATERNAL CORAÇÃO DE MÃE</v>
          </cell>
          <cell r="F6">
            <v>19</v>
          </cell>
          <cell r="G6">
            <v>20</v>
          </cell>
          <cell r="H6">
            <v>39</v>
          </cell>
        </row>
        <row r="7">
          <cell r="B7">
            <v>1006</v>
          </cell>
          <cell r="C7" t="str">
            <v>CP CRECHE DO TUIUTI</v>
          </cell>
          <cell r="E7">
            <v>43</v>
          </cell>
          <cell r="F7">
            <v>64</v>
          </cell>
          <cell r="G7">
            <v>40</v>
          </cell>
          <cell r="H7">
            <v>147</v>
          </cell>
        </row>
        <row r="8">
          <cell r="B8">
            <v>1007</v>
          </cell>
          <cell r="C8" t="str">
            <v>CP EDUCANDÁRIO NOSSA SENHORA DE NAZARÉ</v>
          </cell>
          <cell r="F8">
            <v>14</v>
          </cell>
          <cell r="G8">
            <v>15</v>
          </cell>
          <cell r="H8">
            <v>29</v>
          </cell>
        </row>
        <row r="9">
          <cell r="B9">
            <v>1009</v>
          </cell>
          <cell r="C9" t="str">
            <v>CP CRECHE COMUNITÁRIA ANITA WAY</v>
          </cell>
          <cell r="E9">
            <v>15</v>
          </cell>
          <cell r="F9">
            <v>55</v>
          </cell>
          <cell r="G9">
            <v>53</v>
          </cell>
          <cell r="H9">
            <v>123</v>
          </cell>
        </row>
        <row r="10">
          <cell r="B10">
            <v>1010</v>
          </cell>
          <cell r="C10" t="str">
            <v>CP CENTRO CULTURAL MONTESSORI - SÃO CRISTÓVÃO</v>
          </cell>
          <cell r="E10">
            <v>73</v>
          </cell>
          <cell r="F10">
            <v>116</v>
          </cell>
          <cell r="G10">
            <v>105</v>
          </cell>
          <cell r="H10">
            <v>294</v>
          </cell>
        </row>
        <row r="11">
          <cell r="B11">
            <v>2001</v>
          </cell>
          <cell r="C11" t="str">
            <v>CP CRECHE ESPAÇO SEMENTE</v>
          </cell>
          <cell r="F11">
            <v>38</v>
          </cell>
          <cell r="G11">
            <v>41</v>
          </cell>
          <cell r="H11">
            <v>79</v>
          </cell>
        </row>
        <row r="12">
          <cell r="B12">
            <v>2002</v>
          </cell>
          <cell r="C12" t="str">
            <v>CP EDUCANDÁRIO CASA DE JACIRA</v>
          </cell>
          <cell r="G12">
            <v>24</v>
          </cell>
          <cell r="H12">
            <v>24</v>
          </cell>
        </row>
        <row r="13">
          <cell r="B13">
            <v>2003</v>
          </cell>
          <cell r="C13" t="str">
            <v>CP CENTRO COMUNITÁRIO DA RUA UM UNIÃO FAZ A FORÇA</v>
          </cell>
          <cell r="E13">
            <v>56</v>
          </cell>
          <cell r="F13">
            <v>42</v>
          </cell>
          <cell r="G13">
            <v>41</v>
          </cell>
          <cell r="H13">
            <v>139</v>
          </cell>
        </row>
        <row r="14">
          <cell r="B14">
            <v>2004</v>
          </cell>
          <cell r="C14" t="str">
            <v>CP AÇÃO SOCIAL PADRE ANCHIETA - ASPA</v>
          </cell>
          <cell r="E14">
            <v>24</v>
          </cell>
          <cell r="F14">
            <v>63</v>
          </cell>
          <cell r="G14">
            <v>67</v>
          </cell>
          <cell r="H14">
            <v>154</v>
          </cell>
        </row>
        <row r="15">
          <cell r="B15">
            <v>2005</v>
          </cell>
          <cell r="C15" t="str">
            <v>CP ESCOLA COMUNITÁRIA DO CANTAGALO</v>
          </cell>
          <cell r="F15">
            <v>33</v>
          </cell>
          <cell r="G15">
            <v>39</v>
          </cell>
          <cell r="H15">
            <v>72</v>
          </cell>
        </row>
        <row r="16">
          <cell r="B16">
            <v>2006</v>
          </cell>
          <cell r="C16" t="str">
            <v>CP CRECHE PRÉ-ESCOLA COMUNITÁRIA DOIS IRMÃOS</v>
          </cell>
          <cell r="E16">
            <v>25</v>
          </cell>
          <cell r="F16">
            <v>24</v>
          </cell>
          <cell r="G16">
            <v>23</v>
          </cell>
          <cell r="H16">
            <v>72</v>
          </cell>
        </row>
        <row r="17">
          <cell r="B17">
            <v>2009</v>
          </cell>
          <cell r="C17" t="str">
            <v>CP ABRIGO TERESA DE JESUS</v>
          </cell>
          <cell r="F17">
            <v>48</v>
          </cell>
          <cell r="G17">
            <v>47</v>
          </cell>
          <cell r="H17">
            <v>95</v>
          </cell>
        </row>
        <row r="18">
          <cell r="B18">
            <v>2010</v>
          </cell>
          <cell r="C18" t="str">
            <v>CP CRECHE PATINHO FELIZ</v>
          </cell>
          <cell r="E18">
            <v>57</v>
          </cell>
          <cell r="F18">
            <v>59</v>
          </cell>
          <cell r="G18">
            <v>54</v>
          </cell>
          <cell r="H18">
            <v>170</v>
          </cell>
        </row>
        <row r="19">
          <cell r="B19">
            <v>2011</v>
          </cell>
          <cell r="C19" t="str">
            <v>CP SOCIEDADE CIVIL DE ASSISTÊNCIA A MENORES - CASA DA DINDA</v>
          </cell>
          <cell r="E19">
            <v>17</v>
          </cell>
          <cell r="F19">
            <v>16</v>
          </cell>
          <cell r="G19">
            <v>11</v>
          </cell>
          <cell r="H19">
            <v>44</v>
          </cell>
        </row>
        <row r="20">
          <cell r="B20">
            <v>2012</v>
          </cell>
          <cell r="C20" t="str">
            <v>CP GRUPO COMUNITÁRIO CRECHE ESCOLA TIA MAURA</v>
          </cell>
          <cell r="E20">
            <v>24</v>
          </cell>
          <cell r="F20">
            <v>20</v>
          </cell>
          <cell r="G20">
            <v>26</v>
          </cell>
          <cell r="H20">
            <v>70</v>
          </cell>
        </row>
        <row r="21">
          <cell r="B21">
            <v>2013</v>
          </cell>
          <cell r="C21" t="str">
            <v>CP CENTRO DE EDUCAÇÃO INFANTIL CRISTO REDENTOR</v>
          </cell>
          <cell r="F21">
            <v>32</v>
          </cell>
          <cell r="G21">
            <v>27</v>
          </cell>
          <cell r="H21">
            <v>59</v>
          </cell>
        </row>
        <row r="22">
          <cell r="B22">
            <v>2014</v>
          </cell>
          <cell r="C22" t="str">
            <v>CP CRUZADA PELA INFÂNCIA DO LEME</v>
          </cell>
          <cell r="E22">
            <v>21</v>
          </cell>
          <cell r="F22">
            <v>21</v>
          </cell>
          <cell r="G22">
            <v>15</v>
          </cell>
          <cell r="H22">
            <v>57</v>
          </cell>
        </row>
        <row r="23">
          <cell r="B23">
            <v>2015</v>
          </cell>
          <cell r="C23" t="str">
            <v>CP CRECHE SANT ANNA</v>
          </cell>
          <cell r="F23">
            <v>27</v>
          </cell>
          <cell r="G23">
            <v>45</v>
          </cell>
          <cell r="H23">
            <v>72</v>
          </cell>
        </row>
        <row r="24">
          <cell r="B24">
            <v>2016</v>
          </cell>
          <cell r="C24" t="str">
            <v>CP CASA MATERNAL MELLO MATTOS</v>
          </cell>
          <cell r="E24">
            <v>30</v>
          </cell>
          <cell r="F24">
            <v>35</v>
          </cell>
          <cell r="G24">
            <v>36</v>
          </cell>
          <cell r="H24">
            <v>101</v>
          </cell>
        </row>
        <row r="25">
          <cell r="B25">
            <v>2018</v>
          </cell>
          <cell r="C25" t="str">
            <v>CP FUNDAÇÃO CASA SANTA IGNEZ</v>
          </cell>
          <cell r="F25">
            <v>45</v>
          </cell>
          <cell r="G25">
            <v>49</v>
          </cell>
          <cell r="H25">
            <v>94</v>
          </cell>
        </row>
        <row r="26">
          <cell r="B26">
            <v>2019</v>
          </cell>
          <cell r="C26" t="str">
            <v>CP UNIDAS - OBRAS SOCIAIS UNIDAS DE SANTA MARTA</v>
          </cell>
          <cell r="E26">
            <v>18</v>
          </cell>
          <cell r="F26">
            <v>20</v>
          </cell>
          <cell r="G26">
            <v>20</v>
          </cell>
          <cell r="H26">
            <v>58</v>
          </cell>
        </row>
        <row r="27">
          <cell r="B27">
            <v>2020</v>
          </cell>
          <cell r="C27" t="str">
            <v>CP CASA ESPÍRITA CRISTÃ MARIA DE NAZARÉ</v>
          </cell>
          <cell r="D27">
            <v>11</v>
          </cell>
          <cell r="E27">
            <v>32</v>
          </cell>
          <cell r="F27">
            <v>43</v>
          </cell>
          <cell r="G27">
            <v>34</v>
          </cell>
          <cell r="H27">
            <v>120</v>
          </cell>
        </row>
        <row r="28">
          <cell r="B28">
            <v>2022</v>
          </cell>
          <cell r="C28" t="str">
            <v>CP CRECHE CHAPEUZINHO MARROM</v>
          </cell>
          <cell r="F28">
            <v>22</v>
          </cell>
          <cell r="G28">
            <v>20</v>
          </cell>
          <cell r="H28">
            <v>42</v>
          </cell>
        </row>
        <row r="29">
          <cell r="B29">
            <v>2024</v>
          </cell>
          <cell r="C29" t="str">
            <v>CP CRECHE ESCADINHA DO SABER</v>
          </cell>
          <cell r="F29">
            <v>8</v>
          </cell>
          <cell r="G29">
            <v>10</v>
          </cell>
          <cell r="H29">
            <v>18</v>
          </cell>
        </row>
        <row r="30">
          <cell r="B30">
            <v>2025</v>
          </cell>
          <cell r="C30" t="str">
            <v>CP CRECHE BEZERRA DE MENEZES - BOTAFOGO</v>
          </cell>
          <cell r="D30">
            <v>3</v>
          </cell>
          <cell r="E30">
            <v>9</v>
          </cell>
          <cell r="F30">
            <v>15</v>
          </cell>
          <cell r="G30">
            <v>20</v>
          </cell>
          <cell r="H30">
            <v>47</v>
          </cell>
        </row>
        <row r="31">
          <cell r="B31">
            <v>2026</v>
          </cell>
          <cell r="C31" t="str">
            <v>CP CRECHE MONSENHOR FRANCA</v>
          </cell>
          <cell r="F31">
            <v>19</v>
          </cell>
          <cell r="G31">
            <v>24</v>
          </cell>
          <cell r="H31">
            <v>43</v>
          </cell>
        </row>
        <row r="32">
          <cell r="B32">
            <v>2028</v>
          </cell>
          <cell r="C32" t="str">
            <v>CP OBRAS SOCIAIS PADRE ALEIXO</v>
          </cell>
          <cell r="E32">
            <v>29</v>
          </cell>
          <cell r="F32">
            <v>26</v>
          </cell>
          <cell r="G32">
            <v>32</v>
          </cell>
          <cell r="H32">
            <v>87</v>
          </cell>
        </row>
        <row r="33">
          <cell r="B33">
            <v>2029</v>
          </cell>
          <cell r="C33" t="str">
            <v>CP CASA DA CRIANÇA</v>
          </cell>
          <cell r="D33">
            <v>12</v>
          </cell>
          <cell r="E33">
            <v>38</v>
          </cell>
          <cell r="F33">
            <v>67</v>
          </cell>
          <cell r="G33">
            <v>72</v>
          </cell>
          <cell r="H33">
            <v>189</v>
          </cell>
        </row>
        <row r="34">
          <cell r="B34">
            <v>2031</v>
          </cell>
          <cell r="C34" t="str">
            <v>CP CENTRO COMUNITÁRIO ALEGRIA DAS CRIANÇAS</v>
          </cell>
          <cell r="F34">
            <v>37</v>
          </cell>
          <cell r="G34">
            <v>51</v>
          </cell>
          <cell r="H34">
            <v>88</v>
          </cell>
        </row>
        <row r="35">
          <cell r="B35">
            <v>2032</v>
          </cell>
          <cell r="C35" t="str">
            <v>CP PATRONATO OPERÁRIO DA GÁVEA</v>
          </cell>
          <cell r="F35">
            <v>29</v>
          </cell>
          <cell r="G35">
            <v>41</v>
          </cell>
          <cell r="H35">
            <v>70</v>
          </cell>
        </row>
        <row r="36">
          <cell r="B36">
            <v>2034</v>
          </cell>
          <cell r="C36" t="str">
            <v>CP CENTRO SOCIAL DA MULHER UÊGA</v>
          </cell>
          <cell r="F36">
            <v>42</v>
          </cell>
          <cell r="G36">
            <v>53</v>
          </cell>
          <cell r="H36">
            <v>95</v>
          </cell>
        </row>
        <row r="37">
          <cell r="B37">
            <v>2035</v>
          </cell>
          <cell r="C37" t="str">
            <v>CP CENTRO SOCIAL E AÍ COMO É QUE FICA ?</v>
          </cell>
          <cell r="D37">
            <v>8</v>
          </cell>
          <cell r="E37">
            <v>18</v>
          </cell>
          <cell r="F37">
            <v>23</v>
          </cell>
          <cell r="G37">
            <v>16</v>
          </cell>
          <cell r="H37">
            <v>65</v>
          </cell>
        </row>
        <row r="38">
          <cell r="B38">
            <v>2036</v>
          </cell>
          <cell r="C38" t="str">
            <v>CP CRECHE BERÇÁRIO MARIA HELENA DA ROCINHA</v>
          </cell>
          <cell r="D38">
            <v>12</v>
          </cell>
          <cell r="E38">
            <v>21</v>
          </cell>
          <cell r="F38">
            <v>24</v>
          </cell>
          <cell r="G38">
            <v>28</v>
          </cell>
          <cell r="H38">
            <v>85</v>
          </cell>
        </row>
        <row r="39">
          <cell r="B39">
            <v>2037</v>
          </cell>
          <cell r="C39" t="str">
            <v>CP CRECHE COMUNITÁRIA CANTINHO DA NATUREZA</v>
          </cell>
          <cell r="D39">
            <v>13</v>
          </cell>
          <cell r="E39">
            <v>49</v>
          </cell>
          <cell r="F39">
            <v>47</v>
          </cell>
          <cell r="G39">
            <v>39</v>
          </cell>
          <cell r="H39">
            <v>148</v>
          </cell>
        </row>
        <row r="40">
          <cell r="B40">
            <v>2038</v>
          </cell>
          <cell r="C40" t="str">
            <v>CP CRECHE CHÁCARA DO CÉU</v>
          </cell>
          <cell r="E40">
            <v>20</v>
          </cell>
          <cell r="F40">
            <v>23</v>
          </cell>
          <cell r="G40">
            <v>16</v>
          </cell>
          <cell r="H40">
            <v>59</v>
          </cell>
        </row>
        <row r="41">
          <cell r="B41">
            <v>2039</v>
          </cell>
          <cell r="C41" t="str">
            <v>CP CRECHE ESCOLA MENINOS DE LUZ</v>
          </cell>
          <cell r="D41">
            <v>16</v>
          </cell>
          <cell r="E41">
            <v>23</v>
          </cell>
          <cell r="F41">
            <v>25</v>
          </cell>
          <cell r="G41">
            <v>24</v>
          </cell>
          <cell r="H41">
            <v>88</v>
          </cell>
        </row>
        <row r="42">
          <cell r="B42">
            <v>2040</v>
          </cell>
          <cell r="C42" t="str">
            <v>CP CRECHE MARIA MARIA</v>
          </cell>
          <cell r="D42">
            <v>8</v>
          </cell>
          <cell r="E42">
            <v>20</v>
          </cell>
          <cell r="F42">
            <v>23</v>
          </cell>
          <cell r="G42">
            <v>21</v>
          </cell>
          <cell r="H42">
            <v>72</v>
          </cell>
        </row>
        <row r="43">
          <cell r="B43">
            <v>2041</v>
          </cell>
          <cell r="C43" t="str">
            <v>CP CRECHE E PRÉ-ESCOLA COMUNITÁRIA DO 199 PINGO DE GENTE</v>
          </cell>
          <cell r="F43">
            <v>16</v>
          </cell>
          <cell r="G43">
            <v>21</v>
          </cell>
          <cell r="H43">
            <v>37</v>
          </cell>
        </row>
        <row r="44">
          <cell r="B44">
            <v>2042</v>
          </cell>
          <cell r="C44" t="str">
            <v>CP CRECHE SANTA CLARA</v>
          </cell>
          <cell r="F44">
            <v>19</v>
          </cell>
          <cell r="G44">
            <v>21</v>
          </cell>
          <cell r="H44">
            <v>40</v>
          </cell>
        </row>
        <row r="45">
          <cell r="B45">
            <v>2043</v>
          </cell>
          <cell r="C45" t="str">
            <v>CP CRECHE SANTA MÔNICA</v>
          </cell>
          <cell r="D45">
            <v>23</v>
          </cell>
          <cell r="E45">
            <v>50</v>
          </cell>
          <cell r="F45">
            <v>32</v>
          </cell>
          <cell r="G45">
            <v>35</v>
          </cell>
          <cell r="H45">
            <v>140</v>
          </cell>
        </row>
        <row r="46">
          <cell r="B46">
            <v>2044</v>
          </cell>
          <cell r="C46" t="str">
            <v>CP CRECHE SÃO COSME E SÃO DAMIÃO</v>
          </cell>
          <cell r="F46">
            <v>33</v>
          </cell>
          <cell r="G46">
            <v>39</v>
          </cell>
          <cell r="H46">
            <v>72</v>
          </cell>
        </row>
        <row r="47">
          <cell r="B47">
            <v>2045</v>
          </cell>
          <cell r="C47" t="str">
            <v>CP CREI - CENTRO DE RECUPERAÇÃO INFANTIL</v>
          </cell>
          <cell r="F47">
            <v>21</v>
          </cell>
          <cell r="G47">
            <v>21</v>
          </cell>
          <cell r="H47">
            <v>42</v>
          </cell>
        </row>
        <row r="48">
          <cell r="B48">
            <v>2046</v>
          </cell>
          <cell r="C48" t="str">
            <v>CP ESPAÇO SANTA TEREZINHA - EST</v>
          </cell>
          <cell r="E48">
            <v>43</v>
          </cell>
          <cell r="F48">
            <v>47</v>
          </cell>
          <cell r="G48">
            <v>48</v>
          </cell>
          <cell r="H48">
            <v>138</v>
          </cell>
        </row>
        <row r="49">
          <cell r="B49">
            <v>2047</v>
          </cell>
          <cell r="C49" t="str">
            <v>CP GRUPO COMUNITÁRIO MORRO DA ALEGRIA</v>
          </cell>
          <cell r="E49">
            <v>24</v>
          </cell>
          <cell r="F49">
            <v>14</v>
          </cell>
          <cell r="G49">
            <v>25</v>
          </cell>
          <cell r="H49">
            <v>63</v>
          </cell>
        </row>
        <row r="50">
          <cell r="B50">
            <v>2048</v>
          </cell>
          <cell r="C50" t="str">
            <v>CP LAR CANTINHO FELIZ</v>
          </cell>
          <cell r="E50">
            <v>22</v>
          </cell>
          <cell r="F50">
            <v>43</v>
          </cell>
          <cell r="G50">
            <v>45</v>
          </cell>
          <cell r="H50">
            <v>110</v>
          </cell>
        </row>
        <row r="51">
          <cell r="B51">
            <v>2049</v>
          </cell>
          <cell r="C51" t="str">
            <v>CP OBRA DO BERÇO</v>
          </cell>
          <cell r="D51">
            <v>4</v>
          </cell>
          <cell r="E51">
            <v>21</v>
          </cell>
          <cell r="F51">
            <v>21</v>
          </cell>
          <cell r="G51">
            <v>36</v>
          </cell>
          <cell r="H51">
            <v>82</v>
          </cell>
        </row>
        <row r="52">
          <cell r="B52">
            <v>2052</v>
          </cell>
          <cell r="C52" t="str">
            <v>CP CRECHE CASA SANTA MARTA</v>
          </cell>
          <cell r="D52">
            <v>10</v>
          </cell>
          <cell r="E52">
            <v>27</v>
          </cell>
          <cell r="F52">
            <v>20</v>
          </cell>
          <cell r="G52">
            <v>38</v>
          </cell>
          <cell r="H52">
            <v>95</v>
          </cell>
        </row>
        <row r="53">
          <cell r="B53">
            <v>2053</v>
          </cell>
          <cell r="C53" t="str">
            <v>CP CRECHE ESPERANÇA</v>
          </cell>
          <cell r="D53">
            <v>9</v>
          </cell>
          <cell r="E53">
            <v>31</v>
          </cell>
          <cell r="F53">
            <v>30</v>
          </cell>
          <cell r="G53">
            <v>28</v>
          </cell>
          <cell r="H53">
            <v>98</v>
          </cell>
        </row>
        <row r="54">
          <cell r="B54">
            <v>2054</v>
          </cell>
          <cell r="C54" t="str">
            <v>CP UNIÃO DE MULHERES PRO-MELHORAMENTO DA ROUPA SUJA</v>
          </cell>
          <cell r="D54">
            <v>10</v>
          </cell>
          <cell r="E54">
            <v>16</v>
          </cell>
          <cell r="F54">
            <v>23</v>
          </cell>
          <cell r="G54">
            <v>16</v>
          </cell>
          <cell r="H54">
            <v>65</v>
          </cell>
        </row>
        <row r="55">
          <cell r="B55">
            <v>2055</v>
          </cell>
          <cell r="C55" t="str">
            <v>CP CRECHE CASA DO POBRE DE NOSSA SENHORA DE COPACABANA</v>
          </cell>
          <cell r="F55">
            <v>40</v>
          </cell>
          <cell r="G55">
            <v>38</v>
          </cell>
          <cell r="H55">
            <v>78</v>
          </cell>
        </row>
        <row r="56">
          <cell r="B56">
            <v>2056</v>
          </cell>
          <cell r="C56" t="str">
            <v>CP CRECHE SANTA CLARA DE ASSIS NA PROVIDÊNCIA DE DEUS</v>
          </cell>
          <cell r="F56">
            <v>61</v>
          </cell>
          <cell r="G56">
            <v>51</v>
          </cell>
          <cell r="H56">
            <v>112</v>
          </cell>
        </row>
        <row r="57">
          <cell r="B57">
            <v>2057</v>
          </cell>
          <cell r="C57" t="str">
            <v>CP CENTRO EDUCACIONAL ESPERANÇA</v>
          </cell>
          <cell r="F57">
            <v>19</v>
          </cell>
          <cell r="G57">
            <v>25</v>
          </cell>
          <cell r="H57">
            <v>44</v>
          </cell>
        </row>
        <row r="58">
          <cell r="B58">
            <v>2058</v>
          </cell>
          <cell r="C58" t="str">
            <v>CP NASCEER - NÚCLEO DE ASSIST. SOCIAL CULTURAL EDUC. ECOLÓGICO DA ROCINHA</v>
          </cell>
          <cell r="F58">
            <v>40</v>
          </cell>
          <cell r="G58">
            <v>40</v>
          </cell>
          <cell r="H58">
            <v>80</v>
          </cell>
        </row>
        <row r="59">
          <cell r="B59">
            <v>2060</v>
          </cell>
          <cell r="C59" t="str">
            <v>CP ASSOCIAÇÃO CENTRO EDUCACIONAL REBRAL - ROCINHA</v>
          </cell>
          <cell r="F59">
            <v>29</v>
          </cell>
          <cell r="G59">
            <v>32</v>
          </cell>
          <cell r="H59">
            <v>61</v>
          </cell>
        </row>
        <row r="60">
          <cell r="B60">
            <v>2061</v>
          </cell>
          <cell r="C60" t="str">
            <v>CP CRECHE INSTITUTO MACINTYRE</v>
          </cell>
          <cell r="F60">
            <v>62</v>
          </cell>
          <cell r="G60">
            <v>11</v>
          </cell>
          <cell r="H60">
            <v>73</v>
          </cell>
        </row>
        <row r="61">
          <cell r="B61">
            <v>2062</v>
          </cell>
          <cell r="C61" t="str">
            <v>CP CENTRO EDUCACIONAL ROUPA FELIZ</v>
          </cell>
          <cell r="F61">
            <v>7</v>
          </cell>
          <cell r="G61">
            <v>5</v>
          </cell>
          <cell r="H61">
            <v>12</v>
          </cell>
        </row>
        <row r="62">
          <cell r="B62">
            <v>2063</v>
          </cell>
          <cell r="C62" t="str">
            <v>CP ASSOCIAÇÃO EDUCACIONAL ANJOS DO BEM</v>
          </cell>
          <cell r="F62">
            <v>27</v>
          </cell>
          <cell r="G62">
            <v>12</v>
          </cell>
          <cell r="H62">
            <v>39</v>
          </cell>
        </row>
        <row r="63">
          <cell r="B63">
            <v>5001</v>
          </cell>
          <cell r="C63" t="str">
            <v>CP ASSOCIAÇÃO AMIGOS DA CRIANÇA - CRECHE ROCHA MIRANDA</v>
          </cell>
          <cell r="D63">
            <v>8</v>
          </cell>
          <cell r="E63">
            <v>27</v>
          </cell>
          <cell r="F63">
            <v>40</v>
          </cell>
          <cell r="G63">
            <v>40</v>
          </cell>
          <cell r="H63">
            <v>115</v>
          </cell>
        </row>
        <row r="64">
          <cell r="B64">
            <v>5002</v>
          </cell>
          <cell r="C64" t="str">
            <v>CP CRECHE EFFATÁ</v>
          </cell>
          <cell r="F64">
            <v>19</v>
          </cell>
          <cell r="G64">
            <v>28</v>
          </cell>
          <cell r="H64">
            <v>47</v>
          </cell>
        </row>
        <row r="65">
          <cell r="B65">
            <v>5003</v>
          </cell>
          <cell r="C65" t="str">
            <v>CP CRECHE PINTINHO DOURADO</v>
          </cell>
          <cell r="F65">
            <v>24</v>
          </cell>
          <cell r="G65">
            <v>22</v>
          </cell>
          <cell r="H65">
            <v>46</v>
          </cell>
        </row>
        <row r="66">
          <cell r="B66">
            <v>5004</v>
          </cell>
          <cell r="C66" t="str">
            <v>CP CRECHE CASULO SÃO RAFAEL ARCANJO</v>
          </cell>
          <cell r="F66">
            <v>29</v>
          </cell>
          <cell r="G66">
            <v>22</v>
          </cell>
          <cell r="H66">
            <v>51</v>
          </cell>
        </row>
        <row r="67">
          <cell r="B67">
            <v>5005</v>
          </cell>
          <cell r="C67" t="str">
            <v>CP CRECHE APÓSTOLO SÃO PEDRO</v>
          </cell>
          <cell r="F67">
            <v>58</v>
          </cell>
          <cell r="G67">
            <v>40</v>
          </cell>
          <cell r="H67">
            <v>98</v>
          </cell>
        </row>
        <row r="68">
          <cell r="B68">
            <v>5006</v>
          </cell>
          <cell r="C68" t="str">
            <v>CP CRECHE CARDEAL CÂMARA</v>
          </cell>
          <cell r="E68">
            <v>36</v>
          </cell>
          <cell r="F68">
            <v>72</v>
          </cell>
          <cell r="G68">
            <v>80</v>
          </cell>
          <cell r="H68">
            <v>188</v>
          </cell>
        </row>
        <row r="69">
          <cell r="B69">
            <v>5007</v>
          </cell>
          <cell r="C69" t="str">
            <v>CP CENTRO COMUNITÁRIO FLOR DO AMANHÃ</v>
          </cell>
          <cell r="F69">
            <v>28</v>
          </cell>
          <cell r="G69">
            <v>27</v>
          </cell>
          <cell r="H69">
            <v>55</v>
          </cell>
        </row>
        <row r="70">
          <cell r="B70">
            <v>5008</v>
          </cell>
          <cell r="C70" t="str">
            <v>CP ASSOCIAÇÃO HOUSE BABY - VILA KOSMOS</v>
          </cell>
          <cell r="E70">
            <v>61</v>
          </cell>
          <cell r="F70">
            <v>24</v>
          </cell>
          <cell r="G70">
            <v>61</v>
          </cell>
          <cell r="H70">
            <v>146</v>
          </cell>
        </row>
        <row r="71">
          <cell r="B71">
            <v>5009</v>
          </cell>
          <cell r="C71" t="str">
            <v>CP ASSOCIAÇÃO CRECHE ESPERANÇA - IRAJÁ</v>
          </cell>
          <cell r="E71">
            <v>48</v>
          </cell>
          <cell r="F71">
            <v>92</v>
          </cell>
          <cell r="G71">
            <v>85</v>
          </cell>
          <cell r="H71">
            <v>225</v>
          </cell>
        </row>
        <row r="72">
          <cell r="B72">
            <v>5010</v>
          </cell>
          <cell r="C72" t="str">
            <v>CP ASSOCIAÇÃO CENTRO EDUCACIONAL REBRAL VII</v>
          </cell>
          <cell r="E72">
            <v>95</v>
          </cell>
          <cell r="F72">
            <v>181</v>
          </cell>
          <cell r="G72">
            <v>194</v>
          </cell>
          <cell r="H72">
            <v>470</v>
          </cell>
        </row>
        <row r="73">
          <cell r="B73">
            <v>5012</v>
          </cell>
          <cell r="C73" t="str">
            <v>CP ASSOCIAÇÃO CENTRO EDUCACIONAL REBRAL XI</v>
          </cell>
          <cell r="E73">
            <v>27</v>
          </cell>
          <cell r="F73">
            <v>106</v>
          </cell>
          <cell r="G73">
            <v>116</v>
          </cell>
          <cell r="H73">
            <v>249</v>
          </cell>
        </row>
        <row r="74">
          <cell r="B74">
            <v>5013</v>
          </cell>
          <cell r="C74" t="str">
            <v>CP CENTRO EDUCACIONAL SOMAR</v>
          </cell>
          <cell r="F74">
            <v>22</v>
          </cell>
          <cell r="G74">
            <v>20</v>
          </cell>
          <cell r="H74">
            <v>42</v>
          </cell>
        </row>
        <row r="75">
          <cell r="B75">
            <v>5014</v>
          </cell>
          <cell r="C75" t="str">
            <v>CP AEMMAC - MARECHAL HERMES</v>
          </cell>
          <cell r="F75">
            <v>65</v>
          </cell>
          <cell r="G75">
            <v>122</v>
          </cell>
          <cell r="H75">
            <v>187</v>
          </cell>
        </row>
        <row r="76">
          <cell r="B76">
            <v>5015</v>
          </cell>
          <cell r="C76" t="str">
            <v>CP AEMMAC - ROCHA MIRANDA</v>
          </cell>
          <cell r="E76">
            <v>19</v>
          </cell>
          <cell r="F76">
            <v>114</v>
          </cell>
          <cell r="G76">
            <v>113</v>
          </cell>
          <cell r="H76">
            <v>246</v>
          </cell>
        </row>
        <row r="77">
          <cell r="B77">
            <v>5016</v>
          </cell>
          <cell r="C77" t="str">
            <v>CP ASSOCIAÇÃO EDUCACIONAL E CULTURAL SÃO BERNARDO - CSB</v>
          </cell>
          <cell r="E77">
            <v>18</v>
          </cell>
          <cell r="F77">
            <v>95</v>
          </cell>
          <cell r="G77">
            <v>68</v>
          </cell>
          <cell r="H77">
            <v>181</v>
          </cell>
        </row>
        <row r="78">
          <cell r="B78">
            <v>6002</v>
          </cell>
          <cell r="C78" t="str">
            <v>CP CRECHE GUADALUPE</v>
          </cell>
          <cell r="D78">
            <v>18</v>
          </cell>
          <cell r="E78">
            <v>43</v>
          </cell>
          <cell r="F78">
            <v>52</v>
          </cell>
          <cell r="G78">
            <v>57</v>
          </cell>
          <cell r="H78">
            <v>170</v>
          </cell>
        </row>
        <row r="79">
          <cell r="B79">
            <v>6003</v>
          </cell>
          <cell r="C79" t="str">
            <v>CP CRECHE NOSSO LAR</v>
          </cell>
          <cell r="E79">
            <v>15</v>
          </cell>
          <cell r="F79">
            <v>41</v>
          </cell>
          <cell r="G79">
            <v>43</v>
          </cell>
          <cell r="H79">
            <v>99</v>
          </cell>
        </row>
        <row r="80">
          <cell r="B80">
            <v>6004</v>
          </cell>
          <cell r="C80" t="str">
            <v>CP CENTRO COMUNITÁRIO PARQUE UNIDOS DE ACARI</v>
          </cell>
          <cell r="E80">
            <v>10</v>
          </cell>
          <cell r="F80">
            <v>33</v>
          </cell>
          <cell r="G80">
            <v>41</v>
          </cell>
          <cell r="H80">
            <v>84</v>
          </cell>
        </row>
        <row r="81">
          <cell r="B81">
            <v>6005</v>
          </cell>
          <cell r="C81" t="str">
            <v>CP CRECHE DON GUANELLA</v>
          </cell>
          <cell r="F81">
            <v>22</v>
          </cell>
          <cell r="G81">
            <v>38</v>
          </cell>
          <cell r="H81">
            <v>60</v>
          </cell>
        </row>
        <row r="82">
          <cell r="B82">
            <v>6006</v>
          </cell>
          <cell r="C82" t="str">
            <v>CP CRECHE ESCOLA COMUNITÁRIA TIO PATINHAS</v>
          </cell>
          <cell r="F82">
            <v>25</v>
          </cell>
          <cell r="G82">
            <v>64</v>
          </cell>
          <cell r="H82">
            <v>89</v>
          </cell>
        </row>
        <row r="83">
          <cell r="B83">
            <v>6007</v>
          </cell>
          <cell r="C83" t="str">
            <v>CP CRECHE ABRINDO PORTAS</v>
          </cell>
          <cell r="F83">
            <v>50</v>
          </cell>
          <cell r="G83">
            <v>68</v>
          </cell>
          <cell r="H83">
            <v>118</v>
          </cell>
        </row>
        <row r="84">
          <cell r="B84">
            <v>6009</v>
          </cell>
          <cell r="C84" t="str">
            <v>CP CENTRO EDUCACIONAL NOSSA SENHORA APARECIDA</v>
          </cell>
          <cell r="F84">
            <v>143</v>
          </cell>
          <cell r="G84">
            <v>168</v>
          </cell>
          <cell r="H84">
            <v>311</v>
          </cell>
        </row>
        <row r="85">
          <cell r="B85">
            <v>6012</v>
          </cell>
          <cell r="C85" t="str">
            <v>CP ASSOCIAÇÃO CRESCÊNCIO</v>
          </cell>
          <cell r="E85">
            <v>44</v>
          </cell>
          <cell r="F85">
            <v>44</v>
          </cell>
          <cell r="G85">
            <v>44</v>
          </cell>
          <cell r="H85">
            <v>132</v>
          </cell>
        </row>
        <row r="86">
          <cell r="B86">
            <v>6013</v>
          </cell>
          <cell r="C86" t="str">
            <v>CP CRECHE COMUNITÁRIA AQUARELA</v>
          </cell>
          <cell r="E86">
            <v>24</v>
          </cell>
          <cell r="F86">
            <v>28</v>
          </cell>
          <cell r="G86">
            <v>50</v>
          </cell>
          <cell r="H86">
            <v>102</v>
          </cell>
        </row>
        <row r="87">
          <cell r="B87">
            <v>6015</v>
          </cell>
          <cell r="C87" t="str">
            <v>CP AEMMAC - PAVUNA</v>
          </cell>
          <cell r="E87">
            <v>57</v>
          </cell>
          <cell r="F87">
            <v>125</v>
          </cell>
          <cell r="G87">
            <v>161</v>
          </cell>
          <cell r="H87">
            <v>343</v>
          </cell>
        </row>
        <row r="88">
          <cell r="B88">
            <v>6016</v>
          </cell>
          <cell r="C88" t="str">
            <v>CP CRECHE NOSSO LAR II</v>
          </cell>
          <cell r="E88">
            <v>47</v>
          </cell>
          <cell r="F88">
            <v>57</v>
          </cell>
          <cell r="G88">
            <v>74</v>
          </cell>
          <cell r="H88">
            <v>178</v>
          </cell>
        </row>
        <row r="89">
          <cell r="B89">
            <v>6017</v>
          </cell>
          <cell r="C89" t="str">
            <v>CP CRECHE JOÃO E MARIA</v>
          </cell>
          <cell r="E89">
            <v>12</v>
          </cell>
          <cell r="F89">
            <v>14</v>
          </cell>
          <cell r="G89">
            <v>19</v>
          </cell>
          <cell r="H89">
            <v>45</v>
          </cell>
        </row>
        <row r="90">
          <cell r="B90">
            <v>6018</v>
          </cell>
          <cell r="C90" t="str">
            <v>CP ASSOCIAÇÃO CRECHE ESPERANÇA - COELHO NETO</v>
          </cell>
          <cell r="E90">
            <v>12</v>
          </cell>
          <cell r="F90">
            <v>31</v>
          </cell>
          <cell r="G90">
            <v>24</v>
          </cell>
          <cell r="H90">
            <v>67</v>
          </cell>
        </row>
        <row r="91">
          <cell r="B91">
            <v>6001</v>
          </cell>
          <cell r="C91" t="str">
            <v>CP ESCOLA PATRONATO NOSSA SENHORA DE NAZARÉ</v>
          </cell>
          <cell r="F91">
            <v>55</v>
          </cell>
          <cell r="G91">
            <v>55</v>
          </cell>
          <cell r="H91">
            <v>110</v>
          </cell>
        </row>
        <row r="92">
          <cell r="B92">
            <v>7001</v>
          </cell>
          <cell r="C92" t="str">
            <v>CP CRECHE NOVO PALMARES</v>
          </cell>
          <cell r="E92">
            <v>44</v>
          </cell>
          <cell r="F92">
            <v>48</v>
          </cell>
          <cell r="G92">
            <v>48</v>
          </cell>
          <cell r="H92">
            <v>140</v>
          </cell>
        </row>
        <row r="93">
          <cell r="B93">
            <v>7002</v>
          </cell>
          <cell r="C93" t="str">
            <v>CP CRECHE CANTINHO FELIZ</v>
          </cell>
          <cell r="E93">
            <v>19</v>
          </cell>
          <cell r="F93">
            <v>42</v>
          </cell>
          <cell r="G93">
            <v>52</v>
          </cell>
          <cell r="H93">
            <v>113</v>
          </cell>
        </row>
        <row r="94">
          <cell r="B94">
            <v>7004</v>
          </cell>
          <cell r="C94" t="str">
            <v>CP CASA EMILIEN LACAY</v>
          </cell>
          <cell r="F94">
            <v>72</v>
          </cell>
          <cell r="G94">
            <v>72</v>
          </cell>
          <cell r="H94">
            <v>144</v>
          </cell>
        </row>
        <row r="95">
          <cell r="B95">
            <v>7007</v>
          </cell>
          <cell r="C95" t="str">
            <v>CP SEMENTE DE AMOR</v>
          </cell>
          <cell r="F95">
            <v>57</v>
          </cell>
          <cell r="G95">
            <v>59</v>
          </cell>
          <cell r="H95">
            <v>116</v>
          </cell>
        </row>
        <row r="96">
          <cell r="B96">
            <v>7008</v>
          </cell>
          <cell r="C96" t="str">
            <v>CP CRECHE SÃO PAULO APÓSTOLO</v>
          </cell>
          <cell r="F96">
            <v>37</v>
          </cell>
          <cell r="G96">
            <v>23</v>
          </cell>
          <cell r="H96">
            <v>60</v>
          </cell>
        </row>
        <row r="97">
          <cell r="B97">
            <v>7010</v>
          </cell>
          <cell r="C97" t="str">
            <v>CP CRECHE NOVA ESPERANÇA</v>
          </cell>
          <cell r="F97">
            <v>41</v>
          </cell>
          <cell r="G97">
            <v>40</v>
          </cell>
          <cell r="H97">
            <v>81</v>
          </cell>
        </row>
        <row r="98">
          <cell r="B98">
            <v>7011</v>
          </cell>
          <cell r="C98" t="str">
            <v>CP CRECHE RITA ALEXANDRINA FERREIRA</v>
          </cell>
          <cell r="F98">
            <v>77</v>
          </cell>
          <cell r="G98">
            <v>89</v>
          </cell>
          <cell r="H98">
            <v>166</v>
          </cell>
        </row>
        <row r="99">
          <cell r="B99">
            <v>7013</v>
          </cell>
          <cell r="C99" t="str">
            <v>CP ESPAÇO DE EDUCAÇÃO INFANTIL CIDADE DE DEUS</v>
          </cell>
          <cell r="D99">
            <v>23</v>
          </cell>
          <cell r="E99">
            <v>39</v>
          </cell>
          <cell r="F99">
            <v>61</v>
          </cell>
          <cell r="G99">
            <v>68</v>
          </cell>
          <cell r="H99">
            <v>191</v>
          </cell>
        </row>
        <row r="100">
          <cell r="B100">
            <v>7014</v>
          </cell>
          <cell r="C100" t="str">
            <v>CP CENTRO INTEGRADO SÃO JOSÉ</v>
          </cell>
          <cell r="E100">
            <v>24</v>
          </cell>
          <cell r="F100">
            <v>43</v>
          </cell>
          <cell r="G100">
            <v>48</v>
          </cell>
          <cell r="H100">
            <v>115</v>
          </cell>
        </row>
        <row r="101">
          <cell r="B101">
            <v>7015</v>
          </cell>
          <cell r="C101" t="str">
            <v>CP CRECHE CANTINHO FELIZ II</v>
          </cell>
          <cell r="D101">
            <v>13</v>
          </cell>
          <cell r="E101">
            <v>58</v>
          </cell>
          <cell r="F101">
            <v>88</v>
          </cell>
          <cell r="G101">
            <v>70</v>
          </cell>
          <cell r="H101">
            <v>229</v>
          </cell>
        </row>
        <row r="102">
          <cell r="B102">
            <v>7019</v>
          </cell>
          <cell r="C102" t="str">
            <v>CP JARDIM ESCOLA TURMINHA DA ARCA - JETA</v>
          </cell>
          <cell r="F102">
            <v>93</v>
          </cell>
          <cell r="G102">
            <v>96</v>
          </cell>
          <cell r="H102">
            <v>189</v>
          </cell>
        </row>
        <row r="103">
          <cell r="B103">
            <v>7027</v>
          </cell>
          <cell r="C103" t="str">
            <v>CP CRECHE MUNDO MÁGICO I</v>
          </cell>
          <cell r="D103">
            <v>12</v>
          </cell>
          <cell r="E103">
            <v>45</v>
          </cell>
          <cell r="F103">
            <v>66</v>
          </cell>
          <cell r="G103">
            <v>72</v>
          </cell>
          <cell r="H103">
            <v>195</v>
          </cell>
        </row>
        <row r="104">
          <cell r="B104">
            <v>7034</v>
          </cell>
          <cell r="C104" t="str">
            <v>CP INSTITUTO EDUCACIONAL DIVA ALVES</v>
          </cell>
          <cell r="E104">
            <v>17</v>
          </cell>
          <cell r="F104">
            <v>27</v>
          </cell>
          <cell r="G104">
            <v>27</v>
          </cell>
          <cell r="H104">
            <v>71</v>
          </cell>
        </row>
        <row r="105">
          <cell r="B105">
            <v>7035</v>
          </cell>
          <cell r="C105" t="str">
            <v>CP AEMMAC - ANIL</v>
          </cell>
          <cell r="F105">
            <v>59</v>
          </cell>
          <cell r="G105">
            <v>138</v>
          </cell>
          <cell r="H105">
            <v>197</v>
          </cell>
        </row>
        <row r="106">
          <cell r="B106">
            <v>7036</v>
          </cell>
          <cell r="C106" t="str">
            <v>CP CAAD UNIVERSO ENCANTADO</v>
          </cell>
          <cell r="D106">
            <v>8</v>
          </cell>
          <cell r="E106">
            <v>67</v>
          </cell>
          <cell r="F106">
            <v>47</v>
          </cell>
          <cell r="G106">
            <v>57</v>
          </cell>
          <cell r="H106">
            <v>179</v>
          </cell>
        </row>
        <row r="107">
          <cell r="B107">
            <v>7037</v>
          </cell>
          <cell r="C107" t="str">
            <v>CP CAAD UNIVERSO DA CRIANÇA</v>
          </cell>
          <cell r="D107">
            <v>12</v>
          </cell>
          <cell r="E107">
            <v>88</v>
          </cell>
          <cell r="F107">
            <v>98</v>
          </cell>
          <cell r="G107">
            <v>93</v>
          </cell>
          <cell r="H107">
            <v>291</v>
          </cell>
        </row>
        <row r="108">
          <cell r="B108">
            <v>7038</v>
          </cell>
          <cell r="C108" t="str">
            <v>CP CAAD UNIVERSO DAS FLORES</v>
          </cell>
          <cell r="E108">
            <v>24</v>
          </cell>
          <cell r="F108">
            <v>58</v>
          </cell>
          <cell r="G108">
            <v>75</v>
          </cell>
          <cell r="H108">
            <v>157</v>
          </cell>
        </row>
        <row r="109">
          <cell r="B109">
            <v>7039</v>
          </cell>
          <cell r="C109" t="str">
            <v>CP CRECHE JARDIM CLARICE</v>
          </cell>
          <cell r="F109">
            <v>60</v>
          </cell>
          <cell r="G109">
            <v>80</v>
          </cell>
          <cell r="H109">
            <v>140</v>
          </cell>
        </row>
        <row r="110">
          <cell r="B110">
            <v>7042</v>
          </cell>
          <cell r="C110" t="str">
            <v>CP INSTITUTO EDUCACIONAL DIVA ALVES II</v>
          </cell>
          <cell r="D110">
            <v>10</v>
          </cell>
          <cell r="E110">
            <v>23</v>
          </cell>
          <cell r="F110">
            <v>48</v>
          </cell>
          <cell r="G110">
            <v>48</v>
          </cell>
          <cell r="H110">
            <v>129</v>
          </cell>
        </row>
        <row r="111">
          <cell r="B111">
            <v>7043</v>
          </cell>
          <cell r="C111" t="str">
            <v>CP ESPAÇO DE EDUCAÇÃO INFANTIL PEQUENO APRENDIZ</v>
          </cell>
          <cell r="D111">
            <v>12</v>
          </cell>
          <cell r="E111">
            <v>22</v>
          </cell>
          <cell r="F111">
            <v>23</v>
          </cell>
          <cell r="G111">
            <v>11</v>
          </cell>
          <cell r="H111">
            <v>68</v>
          </cell>
        </row>
        <row r="112">
          <cell r="B112">
            <v>7045</v>
          </cell>
          <cell r="C112" t="str">
            <v>CP JARDIM ESCOLA TURMINHA DA ARCA - JETA II</v>
          </cell>
          <cell r="F112">
            <v>73</v>
          </cell>
          <cell r="G112">
            <v>73</v>
          </cell>
          <cell r="H112">
            <v>146</v>
          </cell>
        </row>
        <row r="113">
          <cell r="B113">
            <v>7003</v>
          </cell>
          <cell r="C113" t="str">
            <v>CP CRECHE ESCOLA MÃE ASTÉRIA</v>
          </cell>
          <cell r="D113">
            <v>12</v>
          </cell>
          <cell r="E113">
            <v>69</v>
          </cell>
          <cell r="F113">
            <v>104</v>
          </cell>
          <cell r="G113">
            <v>123</v>
          </cell>
          <cell r="H113">
            <v>308</v>
          </cell>
        </row>
        <row r="114">
          <cell r="B114">
            <v>7017</v>
          </cell>
          <cell r="C114" t="str">
            <v>CP CRECHE RAIMUNDA NONATA DA SILVA</v>
          </cell>
          <cell r="F114">
            <v>30</v>
          </cell>
          <cell r="G114">
            <v>55</v>
          </cell>
          <cell r="H114">
            <v>85</v>
          </cell>
        </row>
        <row r="115">
          <cell r="B115">
            <v>7018</v>
          </cell>
          <cell r="C115" t="str">
            <v>CP CRECHE SANT ANA IRMÃ ANCILA</v>
          </cell>
          <cell r="F115">
            <v>71</v>
          </cell>
          <cell r="G115">
            <v>84</v>
          </cell>
          <cell r="H115">
            <v>155</v>
          </cell>
        </row>
        <row r="116">
          <cell r="B116">
            <v>7020</v>
          </cell>
          <cell r="C116" t="str">
            <v>CP JARDIM ESCOLA CRESCENDO E APRENDENDO</v>
          </cell>
          <cell r="E116">
            <v>11</v>
          </cell>
          <cell r="F116">
            <v>53</v>
          </cell>
          <cell r="G116">
            <v>15</v>
          </cell>
          <cell r="H116">
            <v>79</v>
          </cell>
        </row>
        <row r="117">
          <cell r="B117">
            <v>7025</v>
          </cell>
          <cell r="C117" t="str">
            <v>CP INSTITUTO CONSUELO PINHEIRO</v>
          </cell>
          <cell r="F117">
            <v>86</v>
          </cell>
          <cell r="G117">
            <v>89</v>
          </cell>
          <cell r="H117">
            <v>175</v>
          </cell>
        </row>
        <row r="118">
          <cell r="B118">
            <v>7040</v>
          </cell>
          <cell r="C118" t="str">
            <v>CP CRECHE VALE DO SOL PRAÇA SECA</v>
          </cell>
          <cell r="D118">
            <v>18</v>
          </cell>
          <cell r="E118">
            <v>112</v>
          </cell>
          <cell r="F118">
            <v>134</v>
          </cell>
          <cell r="G118">
            <v>126</v>
          </cell>
          <cell r="H118">
            <v>390</v>
          </cell>
        </row>
        <row r="119">
          <cell r="B119">
            <v>7041</v>
          </cell>
          <cell r="C119" t="str">
            <v>CP CRECHE VALE DO SOL TAQUARA</v>
          </cell>
          <cell r="E119">
            <v>25</v>
          </cell>
          <cell r="F119">
            <v>50</v>
          </cell>
          <cell r="G119">
            <v>48</v>
          </cell>
          <cell r="H119">
            <v>123</v>
          </cell>
        </row>
        <row r="120">
          <cell r="B120">
            <v>7044</v>
          </cell>
          <cell r="C120" t="str">
            <v>CP CRECHE AMOR DE MÃE</v>
          </cell>
          <cell r="D120">
            <v>19</v>
          </cell>
          <cell r="E120">
            <v>50</v>
          </cell>
          <cell r="F120">
            <v>55</v>
          </cell>
          <cell r="G120">
            <v>54</v>
          </cell>
          <cell r="H120">
            <v>178</v>
          </cell>
        </row>
        <row r="121">
          <cell r="B121">
            <v>10001</v>
          </cell>
          <cell r="C121" t="str">
            <v>CP ESCOLA COMUNITÁRIA JARDIM DE INFÂNCIA TIA ANASTÁCIA</v>
          </cell>
          <cell r="E121">
            <v>37</v>
          </cell>
          <cell r="F121">
            <v>47</v>
          </cell>
          <cell r="G121">
            <v>53</v>
          </cell>
          <cell r="H121">
            <v>137</v>
          </cell>
        </row>
        <row r="122">
          <cell r="B122">
            <v>10004</v>
          </cell>
          <cell r="C122" t="str">
            <v>CP ESCOLA COMUNITÁRIA JARDIM BALÃO MÁGICO</v>
          </cell>
          <cell r="E122">
            <v>43</v>
          </cell>
          <cell r="F122">
            <v>27</v>
          </cell>
          <cell r="G122">
            <v>20</v>
          </cell>
          <cell r="H122">
            <v>90</v>
          </cell>
        </row>
        <row r="123">
          <cell r="B123">
            <v>10005</v>
          </cell>
          <cell r="C123" t="str">
            <v>CP CRECHE COMUNITÁRIA JARDIM PEDRA AZUL</v>
          </cell>
          <cell r="F123">
            <v>16</v>
          </cell>
          <cell r="G123">
            <v>27</v>
          </cell>
          <cell r="H123">
            <v>43</v>
          </cell>
        </row>
        <row r="124">
          <cell r="B124">
            <v>10006</v>
          </cell>
          <cell r="C124" t="str">
            <v>CP CRECHE ESCOLA COMUNITÁRIA ISMÊNIA RIBEIRO</v>
          </cell>
          <cell r="E124">
            <v>14</v>
          </cell>
          <cell r="F124">
            <v>52</v>
          </cell>
          <cell r="G124">
            <v>42</v>
          </cell>
          <cell r="H124">
            <v>108</v>
          </cell>
        </row>
        <row r="125">
          <cell r="B125">
            <v>10008</v>
          </cell>
          <cell r="C125" t="str">
            <v>CP CRECHE COMUNITÁRIA JARDIM ESPERANÇA</v>
          </cell>
          <cell r="E125">
            <v>26</v>
          </cell>
          <cell r="F125">
            <v>31</v>
          </cell>
          <cell r="G125">
            <v>58</v>
          </cell>
          <cell r="H125">
            <v>115</v>
          </cell>
        </row>
        <row r="126">
          <cell r="B126">
            <v>10009</v>
          </cell>
          <cell r="C126" t="str">
            <v>CP JARDIM ESCOLA ERNESTO FAGUNDES VARELA</v>
          </cell>
          <cell r="E126">
            <v>21</v>
          </cell>
          <cell r="F126">
            <v>26</v>
          </cell>
          <cell r="G126">
            <v>17</v>
          </cell>
          <cell r="H126">
            <v>64</v>
          </cell>
        </row>
        <row r="127">
          <cell r="B127">
            <v>10010</v>
          </cell>
          <cell r="C127" t="str">
            <v>CP ESCOLA COMUNITÁRIA JARDIM ARCO-ÍRIS</v>
          </cell>
          <cell r="F127">
            <v>64</v>
          </cell>
          <cell r="G127">
            <v>45</v>
          </cell>
          <cell r="H127">
            <v>109</v>
          </cell>
        </row>
        <row r="128">
          <cell r="B128">
            <v>10011</v>
          </cell>
          <cell r="C128" t="str">
            <v>CP SEMPRE VIDA</v>
          </cell>
          <cell r="E128">
            <v>28</v>
          </cell>
          <cell r="F128">
            <v>44</v>
          </cell>
          <cell r="G128">
            <v>44</v>
          </cell>
          <cell r="H128">
            <v>116</v>
          </cell>
        </row>
        <row r="129">
          <cell r="B129">
            <v>10013</v>
          </cell>
          <cell r="C129" t="str">
            <v>CP ESCOLA COMUNITÁRIA ENCANTO DE MARIA</v>
          </cell>
          <cell r="E129">
            <v>23</v>
          </cell>
          <cell r="F129">
            <v>24</v>
          </cell>
          <cell r="G129">
            <v>26</v>
          </cell>
          <cell r="H129">
            <v>73</v>
          </cell>
        </row>
        <row r="130">
          <cell r="B130">
            <v>10014</v>
          </cell>
          <cell r="C130" t="str">
            <v>CP CRECHE COMUNITÁRIA SÃO JOÃO BATISTA</v>
          </cell>
          <cell r="F130">
            <v>15</v>
          </cell>
          <cell r="G130">
            <v>15</v>
          </cell>
          <cell r="H130">
            <v>30</v>
          </cell>
        </row>
        <row r="131">
          <cell r="B131">
            <v>10018</v>
          </cell>
          <cell r="C131" t="str">
            <v>CP CRECHE ESCOLA COMUNITÁRIA SÍTIO ALEGRE</v>
          </cell>
          <cell r="D131">
            <v>30</v>
          </cell>
          <cell r="E131">
            <v>59</v>
          </cell>
          <cell r="F131">
            <v>51</v>
          </cell>
          <cell r="G131">
            <v>78</v>
          </cell>
          <cell r="H131">
            <v>218</v>
          </cell>
        </row>
        <row r="132">
          <cell r="B132">
            <v>10019</v>
          </cell>
          <cell r="C132" t="str">
            <v>CP ESCOLA COMUNITÁRIA JARDIM ALEXANDRINO</v>
          </cell>
          <cell r="E132">
            <v>50</v>
          </cell>
          <cell r="F132">
            <v>50</v>
          </cell>
          <cell r="G132">
            <v>69</v>
          </cell>
          <cell r="H132">
            <v>169</v>
          </cell>
        </row>
        <row r="133">
          <cell r="B133">
            <v>10020</v>
          </cell>
          <cell r="C133" t="str">
            <v>CP CASA MATERNAL NOSSA SENHORA DE NAZARÉ</v>
          </cell>
          <cell r="F133">
            <v>81</v>
          </cell>
          <cell r="G133">
            <v>90</v>
          </cell>
          <cell r="H133">
            <v>171</v>
          </cell>
        </row>
        <row r="134">
          <cell r="B134">
            <v>10022</v>
          </cell>
          <cell r="C134" t="str">
            <v>CP ASSOCIAÇÃO DE MORADORES E AMIGOS DO PARQUE ESTORIL - AMAPE</v>
          </cell>
          <cell r="F134">
            <v>104</v>
          </cell>
          <cell r="G134">
            <v>114</v>
          </cell>
          <cell r="H134">
            <v>218</v>
          </cell>
        </row>
        <row r="135">
          <cell r="B135">
            <v>10023</v>
          </cell>
          <cell r="C135" t="str">
            <v>CP CRECHE ESCOLA SOSSEGO DA MAMÃE</v>
          </cell>
          <cell r="E135">
            <v>22</v>
          </cell>
          <cell r="F135">
            <v>26</v>
          </cell>
          <cell r="G135">
            <v>50</v>
          </cell>
          <cell r="H135">
            <v>98</v>
          </cell>
        </row>
        <row r="136">
          <cell r="B136">
            <v>10024</v>
          </cell>
          <cell r="C136" t="str">
            <v>CP CRECHE COMUNITÁRIA MUNDO ENCANTADO DA CRIANÇA</v>
          </cell>
          <cell r="E136">
            <v>26</v>
          </cell>
          <cell r="F136">
            <v>59</v>
          </cell>
          <cell r="G136">
            <v>58</v>
          </cell>
          <cell r="H136">
            <v>143</v>
          </cell>
        </row>
        <row r="137">
          <cell r="B137">
            <v>10026</v>
          </cell>
          <cell r="C137" t="str">
            <v>CP CRECHE E ESCOLA COMUNITÁRIA GENTE BAIXINHA I</v>
          </cell>
          <cell r="F137">
            <v>73</v>
          </cell>
          <cell r="G137">
            <v>72</v>
          </cell>
          <cell r="H137">
            <v>145</v>
          </cell>
        </row>
        <row r="138">
          <cell r="B138">
            <v>10027</v>
          </cell>
          <cell r="C138" t="str">
            <v>CP CRECHE CASULO AGOSTINHO - SANTA CRUZ</v>
          </cell>
          <cell r="E138">
            <v>49</v>
          </cell>
          <cell r="F138">
            <v>63</v>
          </cell>
          <cell r="G138">
            <v>48</v>
          </cell>
          <cell r="H138">
            <v>160</v>
          </cell>
        </row>
        <row r="139">
          <cell r="B139">
            <v>10028</v>
          </cell>
          <cell r="C139" t="str">
            <v>CP CRECHE CASULO AGOSTINHO - VERIDIANA</v>
          </cell>
          <cell r="D139">
            <v>18</v>
          </cell>
          <cell r="E139">
            <v>33</v>
          </cell>
          <cell r="F139">
            <v>38</v>
          </cell>
          <cell r="G139">
            <v>51</v>
          </cell>
          <cell r="H139">
            <v>140</v>
          </cell>
        </row>
        <row r="140">
          <cell r="B140">
            <v>10029</v>
          </cell>
          <cell r="C140" t="str">
            <v>CP ASSOCIAÇÃO DE MORADORES DAS MORADAS DO IMPÉRIO</v>
          </cell>
          <cell r="F140">
            <v>37</v>
          </cell>
          <cell r="G140">
            <v>38</v>
          </cell>
          <cell r="H140">
            <v>75</v>
          </cell>
        </row>
        <row r="141">
          <cell r="B141">
            <v>10030</v>
          </cell>
          <cell r="C141" t="str">
            <v>CP INSTITUTO AVELINO - GUARATIBA</v>
          </cell>
          <cell r="E141">
            <v>55</v>
          </cell>
          <cell r="F141">
            <v>34</v>
          </cell>
          <cell r="G141">
            <v>53</v>
          </cell>
          <cell r="H141">
            <v>142</v>
          </cell>
        </row>
        <row r="142">
          <cell r="B142">
            <v>10032</v>
          </cell>
          <cell r="C142" t="str">
            <v>CP CRECHE COMUNITÁRIA MUNDO MÁGICO</v>
          </cell>
          <cell r="D142">
            <v>30</v>
          </cell>
          <cell r="E142">
            <v>70</v>
          </cell>
          <cell r="F142">
            <v>57</v>
          </cell>
          <cell r="G142">
            <v>59</v>
          </cell>
          <cell r="H142">
            <v>216</v>
          </cell>
        </row>
        <row r="143">
          <cell r="B143">
            <v>10033</v>
          </cell>
          <cell r="C143" t="str">
            <v>CP PROJETO QUEBRA CABEÇA</v>
          </cell>
          <cell r="D143">
            <v>4</v>
          </cell>
          <cell r="E143">
            <v>22</v>
          </cell>
          <cell r="F143">
            <v>34</v>
          </cell>
          <cell r="G143">
            <v>50</v>
          </cell>
          <cell r="H143">
            <v>110</v>
          </cell>
        </row>
        <row r="144">
          <cell r="B144">
            <v>10034</v>
          </cell>
          <cell r="C144" t="str">
            <v>CP OS BENEDITINHOS</v>
          </cell>
          <cell r="E144">
            <v>25</v>
          </cell>
          <cell r="F144">
            <v>61</v>
          </cell>
          <cell r="G144">
            <v>44</v>
          </cell>
          <cell r="H144">
            <v>130</v>
          </cell>
        </row>
        <row r="145">
          <cell r="B145">
            <v>10035</v>
          </cell>
          <cell r="C145" t="str">
            <v>CP ESCOLA COMUNITÁRIA JARDIM DE INFÂNCIA CHAVE DO TAMANHO</v>
          </cell>
          <cell r="D145">
            <v>13</v>
          </cell>
          <cell r="E145">
            <v>25</v>
          </cell>
          <cell r="F145">
            <v>28</v>
          </cell>
          <cell r="G145">
            <v>20</v>
          </cell>
          <cell r="H145">
            <v>86</v>
          </cell>
        </row>
        <row r="146">
          <cell r="B146">
            <v>10036</v>
          </cell>
          <cell r="C146" t="str">
            <v>CP CAAD DONA ZULMIRA TELLES</v>
          </cell>
          <cell r="E146">
            <v>24</v>
          </cell>
          <cell r="F146">
            <v>42</v>
          </cell>
          <cell r="G146">
            <v>39</v>
          </cell>
          <cell r="H146">
            <v>105</v>
          </cell>
        </row>
        <row r="147">
          <cell r="B147">
            <v>10037</v>
          </cell>
          <cell r="C147" t="str">
            <v>CP CAAD - COMITÊ DE ATENDIMENTO À CRIANÇA E AO ADOLESCENTE</v>
          </cell>
          <cell r="E147">
            <v>18</v>
          </cell>
          <cell r="F147">
            <v>39</v>
          </cell>
          <cell r="G147">
            <v>45</v>
          </cell>
          <cell r="H147">
            <v>102</v>
          </cell>
        </row>
        <row r="148">
          <cell r="B148">
            <v>10039</v>
          </cell>
          <cell r="C148" t="str">
            <v>CP FUNDAÇÃO KLINGNER PARA O DESENVOLVIMENTO SOCIAL</v>
          </cell>
          <cell r="E148">
            <v>72</v>
          </cell>
          <cell r="F148">
            <v>131</v>
          </cell>
          <cell r="G148">
            <v>140</v>
          </cell>
          <cell r="H148">
            <v>343</v>
          </cell>
        </row>
        <row r="149">
          <cell r="B149">
            <v>10040</v>
          </cell>
          <cell r="C149" t="str">
            <v>CP CICIM I</v>
          </cell>
          <cell r="E149">
            <v>51</v>
          </cell>
          <cell r="F149">
            <v>71</v>
          </cell>
          <cell r="G149">
            <v>72</v>
          </cell>
          <cell r="H149">
            <v>194</v>
          </cell>
        </row>
        <row r="150">
          <cell r="B150">
            <v>10041</v>
          </cell>
          <cell r="C150" t="str">
            <v>CP CRECHE BEZERRA DE MENEZES - SANTA CRUZ</v>
          </cell>
          <cell r="E150">
            <v>40</v>
          </cell>
          <cell r="F150">
            <v>60</v>
          </cell>
          <cell r="G150">
            <v>60</v>
          </cell>
          <cell r="H150">
            <v>160</v>
          </cell>
        </row>
        <row r="151">
          <cell r="B151">
            <v>10042</v>
          </cell>
          <cell r="C151" t="str">
            <v>CP CICIM II</v>
          </cell>
          <cell r="E151">
            <v>24</v>
          </cell>
          <cell r="F151">
            <v>43</v>
          </cell>
          <cell r="G151">
            <v>60</v>
          </cell>
          <cell r="H151">
            <v>127</v>
          </cell>
        </row>
        <row r="152">
          <cell r="B152">
            <v>10043</v>
          </cell>
          <cell r="C152" t="str">
            <v>CP CRECHE CANTINHO CASLU</v>
          </cell>
          <cell r="E152">
            <v>42</v>
          </cell>
          <cell r="F152">
            <v>40</v>
          </cell>
          <cell r="G152">
            <v>44</v>
          </cell>
          <cell r="H152">
            <v>126</v>
          </cell>
        </row>
        <row r="153">
          <cell r="B153">
            <v>10044</v>
          </cell>
          <cell r="C153" t="str">
            <v>CP CRECHE COMUNITÁRIA MAGIA DA CRIANÇA</v>
          </cell>
          <cell r="D153">
            <v>8</v>
          </cell>
          <cell r="E153">
            <v>44</v>
          </cell>
          <cell r="F153">
            <v>57</v>
          </cell>
          <cell r="G153">
            <v>59</v>
          </cell>
          <cell r="H153">
            <v>168</v>
          </cell>
        </row>
        <row r="154">
          <cell r="B154">
            <v>10045</v>
          </cell>
          <cell r="C154" t="str">
            <v>CP ESPAÇO CRIATIVO ERA UMA VEZ</v>
          </cell>
          <cell r="E154">
            <v>22</v>
          </cell>
          <cell r="F154">
            <v>41</v>
          </cell>
          <cell r="G154">
            <v>66</v>
          </cell>
          <cell r="H154">
            <v>129</v>
          </cell>
        </row>
        <row r="155">
          <cell r="B155">
            <v>10046</v>
          </cell>
          <cell r="C155" t="str">
            <v>CP CRECHE COMUNITÁRIA DEUS É FIEL - CCDF</v>
          </cell>
          <cell r="E155">
            <v>91</v>
          </cell>
          <cell r="F155">
            <v>118</v>
          </cell>
          <cell r="G155">
            <v>99</v>
          </cell>
          <cell r="H155">
            <v>308</v>
          </cell>
        </row>
        <row r="156">
          <cell r="B156">
            <v>10047</v>
          </cell>
          <cell r="C156" t="str">
            <v>CP CENTRO CULTURAL MONTESSORI - SANTA CRUZ</v>
          </cell>
          <cell r="D156">
            <v>11</v>
          </cell>
          <cell r="E156">
            <v>66</v>
          </cell>
          <cell r="F156">
            <v>48</v>
          </cell>
          <cell r="G156">
            <v>50</v>
          </cell>
          <cell r="H156">
            <v>175</v>
          </cell>
        </row>
        <row r="157">
          <cell r="B157">
            <v>10051</v>
          </cell>
          <cell r="C157" t="str">
            <v>CP CRECHE COMUNITÁRIA DEUS É FIEL - UNIDADE VI</v>
          </cell>
          <cell r="E157">
            <v>78</v>
          </cell>
          <cell r="F157">
            <v>140</v>
          </cell>
          <cell r="G157">
            <v>115</v>
          </cell>
          <cell r="H157">
            <v>333</v>
          </cell>
        </row>
        <row r="158">
          <cell r="B158">
            <v>10052</v>
          </cell>
          <cell r="C158" t="str">
            <v>CP CRECHE COMUNITÁRIA DEUS É FIEL - UNIDADE VII</v>
          </cell>
          <cell r="E158">
            <v>108</v>
          </cell>
          <cell r="F158">
            <v>144</v>
          </cell>
          <cell r="G158">
            <v>69</v>
          </cell>
          <cell r="H158">
            <v>321</v>
          </cell>
        </row>
        <row r="159">
          <cell r="B159">
            <v>10053</v>
          </cell>
          <cell r="C159" t="str">
            <v>CP CRECHE COMUNITÁRIA GÊNIO DO FUTURO</v>
          </cell>
          <cell r="D159">
            <v>25</v>
          </cell>
          <cell r="E159">
            <v>82</v>
          </cell>
          <cell r="F159">
            <v>96</v>
          </cell>
          <cell r="G159">
            <v>82</v>
          </cell>
          <cell r="H159">
            <v>285</v>
          </cell>
        </row>
        <row r="160">
          <cell r="B160">
            <v>10054</v>
          </cell>
          <cell r="C160" t="str">
            <v>CP CRECHE COMUNITÁRIA AQUARELA DO SABER</v>
          </cell>
          <cell r="E160">
            <v>9</v>
          </cell>
          <cell r="F160">
            <v>20</v>
          </cell>
          <cell r="G160">
            <v>26</v>
          </cell>
          <cell r="H160">
            <v>55</v>
          </cell>
        </row>
        <row r="161">
          <cell r="B161">
            <v>10055</v>
          </cell>
          <cell r="C161" t="str">
            <v>CP ESPAÇO DE DESENVOLVIMENTO MÃE GAIA</v>
          </cell>
          <cell r="E161">
            <v>25</v>
          </cell>
          <cell r="F161">
            <v>50</v>
          </cell>
          <cell r="G161">
            <v>73</v>
          </cell>
          <cell r="H161">
            <v>148</v>
          </cell>
        </row>
        <row r="162">
          <cell r="B162">
            <v>10056</v>
          </cell>
          <cell r="C162" t="str">
            <v>CP CRECHE MUNDO DA BIBI</v>
          </cell>
          <cell r="E162">
            <v>24</v>
          </cell>
          <cell r="F162">
            <v>36</v>
          </cell>
          <cell r="G162">
            <v>39</v>
          </cell>
          <cell r="H162">
            <v>99</v>
          </cell>
        </row>
        <row r="163">
          <cell r="B163">
            <v>10057</v>
          </cell>
          <cell r="C163" t="str">
            <v>CP CENTRO CULTURAL MONTESSORI - PACIÊNCIA</v>
          </cell>
          <cell r="D163">
            <v>1</v>
          </cell>
          <cell r="E163">
            <v>107</v>
          </cell>
          <cell r="F163">
            <v>69</v>
          </cell>
          <cell r="G163">
            <v>122</v>
          </cell>
          <cell r="H163">
            <v>299</v>
          </cell>
        </row>
        <row r="164">
          <cell r="B164">
            <v>10058</v>
          </cell>
          <cell r="C164" t="str">
            <v>CP CRECHE ESCOLA COMUNITÁRIA MALLETZINHO</v>
          </cell>
          <cell r="D164">
            <v>33</v>
          </cell>
          <cell r="E164">
            <v>68</v>
          </cell>
          <cell r="F164">
            <v>72</v>
          </cell>
          <cell r="G164">
            <v>99</v>
          </cell>
          <cell r="H164">
            <v>272</v>
          </cell>
        </row>
        <row r="165">
          <cell r="B165">
            <v>10059</v>
          </cell>
          <cell r="C165" t="str">
            <v>CP CRECHE COMUNITÁRIA PLANETA BEBÊ</v>
          </cell>
          <cell r="E165">
            <v>24</v>
          </cell>
          <cell r="F165">
            <v>27</v>
          </cell>
          <cell r="G165">
            <v>39</v>
          </cell>
          <cell r="H165">
            <v>90</v>
          </cell>
        </row>
        <row r="166">
          <cell r="B166">
            <v>10060</v>
          </cell>
          <cell r="C166" t="str">
            <v>CP CRECHE COMUNITÁRIA JARDIM DO CONHECIMENTO</v>
          </cell>
          <cell r="E166">
            <v>18</v>
          </cell>
          <cell r="F166">
            <v>30</v>
          </cell>
          <cell r="G166">
            <v>50</v>
          </cell>
          <cell r="H166">
            <v>98</v>
          </cell>
        </row>
        <row r="167">
          <cell r="B167">
            <v>10061</v>
          </cell>
          <cell r="C167" t="str">
            <v>CP CRECHE COMUNITÁRIA ESTRELA DO AMANHÃ</v>
          </cell>
          <cell r="E167">
            <v>24</v>
          </cell>
          <cell r="F167">
            <v>39</v>
          </cell>
          <cell r="G167">
            <v>28</v>
          </cell>
          <cell r="H167">
            <v>91</v>
          </cell>
        </row>
        <row r="168">
          <cell r="B168">
            <v>10062</v>
          </cell>
          <cell r="C168" t="str">
            <v>CP CENTRO CULTURAL DE DESENVOLVIMENTO INFANTIL JOÃO BATISTA</v>
          </cell>
          <cell r="E168">
            <v>26</v>
          </cell>
          <cell r="F168">
            <v>36</v>
          </cell>
          <cell r="G168">
            <v>47</v>
          </cell>
          <cell r="H168">
            <v>109</v>
          </cell>
        </row>
        <row r="169">
          <cell r="B169">
            <v>10063</v>
          </cell>
          <cell r="C169" t="str">
            <v>CP CRECHE COMUNITÁRIA UNIVERSO INFANTIL</v>
          </cell>
          <cell r="E169">
            <v>25</v>
          </cell>
          <cell r="F169">
            <v>50</v>
          </cell>
          <cell r="G169">
            <v>52</v>
          </cell>
          <cell r="H169">
            <v>127</v>
          </cell>
        </row>
        <row r="170">
          <cell r="B170">
            <v>10064</v>
          </cell>
          <cell r="C170" t="str">
            <v>CP CRECHE COMUNITÁRIA CORAÇÃO DE MÃE</v>
          </cell>
          <cell r="E170">
            <v>33</v>
          </cell>
          <cell r="F170">
            <v>45</v>
          </cell>
          <cell r="G170">
            <v>47</v>
          </cell>
          <cell r="H170">
            <v>125</v>
          </cell>
        </row>
        <row r="171">
          <cell r="B171">
            <v>10065</v>
          </cell>
          <cell r="C171" t="str">
            <v>CP CRECHE MAGIA DA CRIANÇA II</v>
          </cell>
          <cell r="D171">
            <v>28</v>
          </cell>
          <cell r="E171">
            <v>46</v>
          </cell>
          <cell r="F171">
            <v>56</v>
          </cell>
          <cell r="G171">
            <v>41</v>
          </cell>
          <cell r="H171">
            <v>171</v>
          </cell>
        </row>
        <row r="172">
          <cell r="B172">
            <v>10066</v>
          </cell>
          <cell r="C172" t="str">
            <v>CP CRECHE COMUNITÁRIA ARTE &amp; CULTURA</v>
          </cell>
          <cell r="E172">
            <v>72</v>
          </cell>
          <cell r="F172">
            <v>77</v>
          </cell>
          <cell r="G172">
            <v>102</v>
          </cell>
          <cell r="H172">
            <v>251</v>
          </cell>
        </row>
        <row r="173">
          <cell r="B173">
            <v>10067</v>
          </cell>
          <cell r="C173" t="str">
            <v>CP CRECHE COMUNITÁRIA ARCA DE NOÉ</v>
          </cell>
          <cell r="E173">
            <v>24</v>
          </cell>
          <cell r="F173">
            <v>39</v>
          </cell>
          <cell r="G173">
            <v>61</v>
          </cell>
          <cell r="H173">
            <v>124</v>
          </cell>
        </row>
        <row r="174">
          <cell r="B174">
            <v>10068</v>
          </cell>
          <cell r="C174" t="str">
            <v>CP CRECHE COMUNITÁRIA TIA NEIDE - GUARATIBA</v>
          </cell>
          <cell r="E174">
            <v>25</v>
          </cell>
          <cell r="F174">
            <v>41</v>
          </cell>
          <cell r="G174">
            <v>52</v>
          </cell>
          <cell r="H174">
            <v>118</v>
          </cell>
        </row>
        <row r="175">
          <cell r="B175">
            <v>10069</v>
          </cell>
          <cell r="C175" t="str">
            <v>CP CRECHE E ESCOLA COMUNITÁRIA GENTE BAIXINHA II</v>
          </cell>
          <cell r="E175">
            <v>16</v>
          </cell>
          <cell r="F175">
            <v>39</v>
          </cell>
          <cell r="G175">
            <v>20</v>
          </cell>
          <cell r="H175">
            <v>75</v>
          </cell>
        </row>
        <row r="176">
          <cell r="B176">
            <v>10070</v>
          </cell>
          <cell r="C176" t="str">
            <v>CP PEDACINHO DO CÉU</v>
          </cell>
          <cell r="E176">
            <v>10</v>
          </cell>
          <cell r="F176">
            <v>18</v>
          </cell>
          <cell r="G176">
            <v>15</v>
          </cell>
          <cell r="H176">
            <v>43</v>
          </cell>
        </row>
        <row r="177">
          <cell r="B177">
            <v>10071</v>
          </cell>
          <cell r="C177" t="str">
            <v>CP CRECHE COMUNITÁRIA ARTE &amp; CULTURA - UNIDADE I</v>
          </cell>
          <cell r="E177">
            <v>49</v>
          </cell>
          <cell r="F177">
            <v>89</v>
          </cell>
          <cell r="G177">
            <v>112</v>
          </cell>
          <cell r="H177">
            <v>250</v>
          </cell>
        </row>
        <row r="178">
          <cell r="B178">
            <v>10072</v>
          </cell>
          <cell r="C178" t="str">
            <v>CP CRECHE COMUNITÁRIA DEUS É FIEL - UNIDADE X</v>
          </cell>
          <cell r="E178">
            <v>48</v>
          </cell>
          <cell r="F178">
            <v>45</v>
          </cell>
          <cell r="G178">
            <v>32</v>
          </cell>
          <cell r="H178">
            <v>125</v>
          </cell>
        </row>
        <row r="179">
          <cell r="B179">
            <v>10073</v>
          </cell>
          <cell r="C179" t="str">
            <v>CP NINHO CARIOCA</v>
          </cell>
          <cell r="E179">
            <v>18</v>
          </cell>
          <cell r="F179">
            <v>50</v>
          </cell>
          <cell r="G179">
            <v>82</v>
          </cell>
          <cell r="H179">
            <v>150</v>
          </cell>
        </row>
        <row r="180">
          <cell r="B180">
            <v>10074</v>
          </cell>
          <cell r="C180" t="str">
            <v>CP CRECHE COMUNITÁRIA MUNDO MÁGICO II</v>
          </cell>
          <cell r="E180">
            <v>20</v>
          </cell>
          <cell r="F180">
            <v>38</v>
          </cell>
          <cell r="G180">
            <v>62</v>
          </cell>
          <cell r="H180">
            <v>120</v>
          </cell>
        </row>
        <row r="181">
          <cell r="B181">
            <v>10075</v>
          </cell>
          <cell r="C181" t="str">
            <v>CP CRECHE COMUNITÁRIA PEDACINHO DE CÉU</v>
          </cell>
          <cell r="D181">
            <v>1</v>
          </cell>
          <cell r="F181">
            <v>19</v>
          </cell>
          <cell r="G181">
            <v>41</v>
          </cell>
          <cell r="H181">
            <v>61</v>
          </cell>
        </row>
        <row r="182">
          <cell r="B182">
            <v>10076</v>
          </cell>
          <cell r="C182" t="str">
            <v>CP ESPAÇO DE DESENVOLVIMENTO MÃE GAIA - UNIDADE I</v>
          </cell>
          <cell r="E182">
            <v>18</v>
          </cell>
          <cell r="F182">
            <v>14</v>
          </cell>
          <cell r="G182">
            <v>26</v>
          </cell>
          <cell r="H182">
            <v>58</v>
          </cell>
        </row>
        <row r="183">
          <cell r="B183">
            <v>10077</v>
          </cell>
          <cell r="C183" t="str">
            <v>CP CRECHE COMUNITÁRIA CANTINHO DO SABER</v>
          </cell>
          <cell r="F183">
            <v>17</v>
          </cell>
          <cell r="G183">
            <v>23</v>
          </cell>
          <cell r="H183">
            <v>40</v>
          </cell>
        </row>
        <row r="184">
          <cell r="B184">
            <v>10078</v>
          </cell>
          <cell r="C184" t="str">
            <v>CP CRECHE COMUNITÁRIA CRIANÇA FELIZ</v>
          </cell>
          <cell r="D184">
            <v>4</v>
          </cell>
          <cell r="E184">
            <v>14</v>
          </cell>
          <cell r="F184">
            <v>13</v>
          </cell>
          <cell r="G184">
            <v>9</v>
          </cell>
          <cell r="H184">
            <v>40</v>
          </cell>
        </row>
        <row r="185">
          <cell r="B185">
            <v>10079</v>
          </cell>
          <cell r="C185" t="str">
            <v>CP CRECHE COMUNITÁRIA DEUS É FIEL - UNIDADE VIII</v>
          </cell>
          <cell r="E185">
            <v>72</v>
          </cell>
          <cell r="F185">
            <v>67</v>
          </cell>
          <cell r="G185">
            <v>86</v>
          </cell>
          <cell r="H185">
            <v>225</v>
          </cell>
        </row>
        <row r="186">
          <cell r="B186">
            <v>10080</v>
          </cell>
          <cell r="C186" t="str">
            <v>CP ASSOCIAÇÃO CENTRO EDUCACIONAL REBRAL XII (GUARATIBA)</v>
          </cell>
          <cell r="F186">
            <v>28</v>
          </cell>
          <cell r="G186">
            <v>20</v>
          </cell>
          <cell r="H186">
            <v>48</v>
          </cell>
        </row>
        <row r="187">
          <cell r="B187">
            <v>10081</v>
          </cell>
          <cell r="C187" t="str">
            <v>CP CENTRO EDUCACIONAL ESTRELA DO AMANHÃ</v>
          </cell>
          <cell r="E187">
            <v>24</v>
          </cell>
          <cell r="F187">
            <v>40</v>
          </cell>
          <cell r="G187">
            <v>36</v>
          </cell>
          <cell r="H187">
            <v>100</v>
          </cell>
        </row>
        <row r="188">
          <cell r="B188">
            <v>10082</v>
          </cell>
          <cell r="C188" t="str">
            <v>CP CRECHE ESCOLA BAIXINHOS SABIDOS</v>
          </cell>
          <cell r="E188">
            <v>17</v>
          </cell>
          <cell r="F188">
            <v>8</v>
          </cell>
          <cell r="G188">
            <v>6</v>
          </cell>
          <cell r="H188">
            <v>31</v>
          </cell>
        </row>
        <row r="189">
          <cell r="B189">
            <v>10083</v>
          </cell>
          <cell r="C189" t="str">
            <v>CP CRECHE COMUNITÁRIA CRISTÃ CORDEIRINHO DE CRISTO</v>
          </cell>
          <cell r="E189">
            <v>19</v>
          </cell>
          <cell r="F189">
            <v>21</v>
          </cell>
          <cell r="H189">
            <v>40</v>
          </cell>
        </row>
        <row r="190">
          <cell r="B190">
            <v>10084</v>
          </cell>
          <cell r="C190" t="str">
            <v>CP CRECHE COMUNITÁRIA AQUARELA DO SABER (GUARATIBA)</v>
          </cell>
          <cell r="E190">
            <v>9</v>
          </cell>
          <cell r="F190">
            <v>18</v>
          </cell>
          <cell r="G190">
            <v>17</v>
          </cell>
          <cell r="H190">
            <v>44</v>
          </cell>
        </row>
        <row r="191">
          <cell r="B191">
            <v>10085</v>
          </cell>
          <cell r="C191" t="str">
            <v>CP INSTITUTO DE AÇÃO SOCIAL VIDA</v>
          </cell>
          <cell r="F191">
            <v>25</v>
          </cell>
          <cell r="G191">
            <v>31</v>
          </cell>
          <cell r="H191">
            <v>56</v>
          </cell>
        </row>
        <row r="192">
          <cell r="B192">
            <v>11001</v>
          </cell>
          <cell r="C192" t="str">
            <v>CP CRECHE COMUNITÁRIA ALEGRIA DA CRIANÇA</v>
          </cell>
          <cell r="E192">
            <v>18</v>
          </cell>
          <cell r="F192">
            <v>43</v>
          </cell>
          <cell r="G192">
            <v>44</v>
          </cell>
          <cell r="H192">
            <v>105</v>
          </cell>
        </row>
        <row r="193">
          <cell r="B193">
            <v>11003</v>
          </cell>
          <cell r="C193" t="str">
            <v>CP AMIG - ASSOCIAÇÃO DOS MORADORES DA ILHA DO GOVERNADOR</v>
          </cell>
          <cell r="E193">
            <v>20</v>
          </cell>
          <cell r="F193">
            <v>46</v>
          </cell>
          <cell r="G193">
            <v>41</v>
          </cell>
          <cell r="H193">
            <v>107</v>
          </cell>
        </row>
        <row r="194">
          <cell r="B194">
            <v>11004</v>
          </cell>
          <cell r="C194" t="str">
            <v>CP CENTRO DE ATIVIDADES EDUCACIONAIS E CULTURAIS ARCA DE NOÉ - CAECAN</v>
          </cell>
          <cell r="E194">
            <v>23</v>
          </cell>
          <cell r="F194">
            <v>69</v>
          </cell>
          <cell r="G194">
            <v>49</v>
          </cell>
          <cell r="H194">
            <v>141</v>
          </cell>
        </row>
        <row r="195">
          <cell r="B195">
            <v>11006</v>
          </cell>
          <cell r="C195" t="str">
            <v>CP CRECHE CASULO DO DENDÊ</v>
          </cell>
          <cell r="E195">
            <v>72</v>
          </cell>
          <cell r="F195">
            <v>116</v>
          </cell>
          <cell r="G195">
            <v>122</v>
          </cell>
          <cell r="H195">
            <v>310</v>
          </cell>
        </row>
        <row r="196">
          <cell r="B196">
            <v>11007</v>
          </cell>
          <cell r="C196" t="str">
            <v>CP CRECHE ESFERA KIDS</v>
          </cell>
          <cell r="E196">
            <v>26</v>
          </cell>
          <cell r="F196">
            <v>26</v>
          </cell>
          <cell r="G196">
            <v>25</v>
          </cell>
          <cell r="H196">
            <v>77</v>
          </cell>
        </row>
        <row r="197">
          <cell r="B197">
            <v>11008</v>
          </cell>
          <cell r="C197" t="str">
            <v>CP FILIAL BANCÁRIOS - RJ</v>
          </cell>
          <cell r="E197">
            <v>24</v>
          </cell>
          <cell r="F197">
            <v>26</v>
          </cell>
          <cell r="G197">
            <v>54</v>
          </cell>
          <cell r="H197">
            <v>104</v>
          </cell>
        </row>
        <row r="198">
          <cell r="B198">
            <v>11009</v>
          </cell>
          <cell r="C198" t="str">
            <v>CP CRECHE COMUNITÁRIA IRMÃ MOROCHA</v>
          </cell>
          <cell r="D198">
            <v>11</v>
          </cell>
          <cell r="E198">
            <v>7</v>
          </cell>
          <cell r="F198">
            <v>14</v>
          </cell>
          <cell r="G198">
            <v>16</v>
          </cell>
          <cell r="H198">
            <v>48</v>
          </cell>
        </row>
        <row r="199">
          <cell r="B199">
            <v>11010</v>
          </cell>
          <cell r="C199" t="str">
            <v>CP CHALÉ SEMENTINHA (ILHA DO GOVERNADOR)</v>
          </cell>
          <cell r="D199">
            <v>10</v>
          </cell>
          <cell r="E199">
            <v>15</v>
          </cell>
          <cell r="F199">
            <v>12</v>
          </cell>
          <cell r="G199">
            <v>12</v>
          </cell>
          <cell r="H199">
            <v>49</v>
          </cell>
        </row>
        <row r="200">
          <cell r="B200">
            <v>3001</v>
          </cell>
          <cell r="C200" t="str">
            <v>CP ASSOCIAÇÃO PRESBITERIANA CUIDANDO DO AMANHÃ - APCA</v>
          </cell>
          <cell r="E200">
            <v>12</v>
          </cell>
          <cell r="F200">
            <v>22</v>
          </cell>
          <cell r="G200">
            <v>47</v>
          </cell>
          <cell r="H200">
            <v>81</v>
          </cell>
        </row>
        <row r="201">
          <cell r="B201">
            <v>3002</v>
          </cell>
          <cell r="C201" t="str">
            <v>CP ABRIGO MARIA IMACULADA</v>
          </cell>
          <cell r="E201">
            <v>72</v>
          </cell>
          <cell r="F201">
            <v>113</v>
          </cell>
          <cell r="G201">
            <v>171</v>
          </cell>
          <cell r="H201">
            <v>356</v>
          </cell>
        </row>
        <row r="202">
          <cell r="B202">
            <v>3003</v>
          </cell>
          <cell r="C202" t="str">
            <v>CP CASA SÃO ROQUE</v>
          </cell>
          <cell r="F202">
            <v>93</v>
          </cell>
          <cell r="G202">
            <v>105</v>
          </cell>
          <cell r="H202">
            <v>198</v>
          </cell>
        </row>
        <row r="203">
          <cell r="B203">
            <v>3004</v>
          </cell>
          <cell r="C203" t="str">
            <v>CP CENTRO COMUNITÁRIO NOSSA SENHORA APARECIDA - CRECHE</v>
          </cell>
          <cell r="F203">
            <v>21</v>
          </cell>
          <cell r="G203">
            <v>27</v>
          </cell>
          <cell r="H203">
            <v>48</v>
          </cell>
        </row>
        <row r="204">
          <cell r="B204">
            <v>3005</v>
          </cell>
          <cell r="C204" t="str">
            <v>CP COLÉGIO RUTH SANT ANNA / JARDIM DE INFÂNCIA CIRANDA CIRANDINHA</v>
          </cell>
          <cell r="F204">
            <v>53</v>
          </cell>
          <cell r="G204">
            <v>67</v>
          </cell>
          <cell r="H204">
            <v>120</v>
          </cell>
        </row>
        <row r="205">
          <cell r="B205">
            <v>3006</v>
          </cell>
          <cell r="C205" t="str">
            <v>CP CRECHE CASA VIVA</v>
          </cell>
          <cell r="E205">
            <v>15</v>
          </cell>
          <cell r="F205">
            <v>30</v>
          </cell>
          <cell r="G205">
            <v>40</v>
          </cell>
          <cell r="H205">
            <v>85</v>
          </cell>
        </row>
        <row r="206">
          <cell r="B206">
            <v>3007</v>
          </cell>
          <cell r="C206" t="str">
            <v>CP CRECHE CHAMEGUINHO</v>
          </cell>
          <cell r="E206">
            <v>20</v>
          </cell>
          <cell r="F206">
            <v>27</v>
          </cell>
          <cell r="G206">
            <v>17</v>
          </cell>
          <cell r="H206">
            <v>64</v>
          </cell>
        </row>
        <row r="207">
          <cell r="B207">
            <v>3008</v>
          </cell>
          <cell r="C207" t="str">
            <v>CP CRECHE COMUNITÁRIA ELIANA SATURNINO BRAGA</v>
          </cell>
          <cell r="E207">
            <v>21</v>
          </cell>
          <cell r="F207">
            <v>31</v>
          </cell>
          <cell r="G207">
            <v>37</v>
          </cell>
          <cell r="H207">
            <v>89</v>
          </cell>
        </row>
        <row r="208">
          <cell r="B208">
            <v>3009</v>
          </cell>
          <cell r="C208" t="str">
            <v>CP CRECHE COMUNITÁRIA JOÃO FERREIRA</v>
          </cell>
          <cell r="F208">
            <v>25</v>
          </cell>
          <cell r="G208">
            <v>50</v>
          </cell>
          <cell r="H208">
            <v>75</v>
          </cell>
        </row>
        <row r="209">
          <cell r="B209">
            <v>3010</v>
          </cell>
          <cell r="C209" t="str">
            <v>CP CRECHE ESCOLA COMUNITÁRIA MÃE SOCIAL</v>
          </cell>
          <cell r="F209">
            <v>27</v>
          </cell>
          <cell r="G209">
            <v>49</v>
          </cell>
          <cell r="H209">
            <v>76</v>
          </cell>
        </row>
        <row r="210">
          <cell r="B210">
            <v>3011</v>
          </cell>
          <cell r="C210" t="str">
            <v>CP CRECHE DO CENTRO PASTORAL SOCIAL PADRE JUSTINO RUSSOLILLO</v>
          </cell>
          <cell r="F210">
            <v>21</v>
          </cell>
          <cell r="G210">
            <v>31</v>
          </cell>
          <cell r="H210">
            <v>52</v>
          </cell>
        </row>
        <row r="211">
          <cell r="B211">
            <v>3012</v>
          </cell>
          <cell r="C211" t="str">
            <v>CP CRECHE MÃE DO DIVINO SALVADOR</v>
          </cell>
          <cell r="F211">
            <v>135</v>
          </cell>
          <cell r="G211">
            <v>120</v>
          </cell>
          <cell r="H211">
            <v>255</v>
          </cell>
        </row>
        <row r="212">
          <cell r="B212">
            <v>3013</v>
          </cell>
          <cell r="C212" t="str">
            <v>CP CRECHE JACAREZINHO</v>
          </cell>
          <cell r="E212">
            <v>55</v>
          </cell>
          <cell r="F212">
            <v>95</v>
          </cell>
          <cell r="G212">
            <v>80</v>
          </cell>
          <cell r="H212">
            <v>230</v>
          </cell>
        </row>
        <row r="213">
          <cell r="B213">
            <v>3014</v>
          </cell>
          <cell r="C213" t="str">
            <v>CP CRECHE PLANTANDO O AMANHÃ</v>
          </cell>
          <cell r="E213">
            <v>35</v>
          </cell>
          <cell r="F213">
            <v>49</v>
          </cell>
          <cell r="G213">
            <v>62</v>
          </cell>
          <cell r="H213">
            <v>146</v>
          </cell>
        </row>
        <row r="214">
          <cell r="B214">
            <v>3015</v>
          </cell>
          <cell r="C214" t="str">
            <v>CP CRECHE MARIETTA NAVARRO GAIO</v>
          </cell>
          <cell r="E214">
            <v>26</v>
          </cell>
          <cell r="F214">
            <v>18</v>
          </cell>
          <cell r="G214">
            <v>21</v>
          </cell>
          <cell r="H214">
            <v>65</v>
          </cell>
        </row>
        <row r="215">
          <cell r="B215">
            <v>3016</v>
          </cell>
          <cell r="C215" t="str">
            <v>CP CRECHE SÃO PEDRO NOLASCO</v>
          </cell>
          <cell r="E215">
            <v>26</v>
          </cell>
          <cell r="F215">
            <v>30</v>
          </cell>
          <cell r="G215">
            <v>32</v>
          </cell>
          <cell r="H215">
            <v>88</v>
          </cell>
        </row>
        <row r="216">
          <cell r="B216">
            <v>3017</v>
          </cell>
          <cell r="C216" t="str">
            <v>CP CRECHE TERNURINHA</v>
          </cell>
          <cell r="F216">
            <v>23</v>
          </cell>
          <cell r="G216">
            <v>15</v>
          </cell>
          <cell r="H216">
            <v>38</v>
          </cell>
        </row>
        <row r="217">
          <cell r="B217">
            <v>3018</v>
          </cell>
          <cell r="C217" t="str">
            <v>CP FRATERNIDADE ASSISTENCIAL CRISTÃ</v>
          </cell>
          <cell r="F217">
            <v>23</v>
          </cell>
          <cell r="G217">
            <v>22</v>
          </cell>
          <cell r="H217">
            <v>45</v>
          </cell>
        </row>
        <row r="218">
          <cell r="B218">
            <v>3019</v>
          </cell>
          <cell r="C218" t="str">
            <v>CP INSTITUTO EDUCACIONAL CRESCENDO E APRENDENDO ALGODÃO DOCE</v>
          </cell>
          <cell r="E218">
            <v>22</v>
          </cell>
          <cell r="F218">
            <v>24</v>
          </cell>
          <cell r="G218">
            <v>37</v>
          </cell>
          <cell r="H218">
            <v>83</v>
          </cell>
        </row>
        <row r="219">
          <cell r="B219">
            <v>3020</v>
          </cell>
          <cell r="C219" t="str">
            <v>CP LAR DA CRIANÇA JESUS BOM PASTOR</v>
          </cell>
          <cell r="F219">
            <v>43</v>
          </cell>
          <cell r="G219">
            <v>64</v>
          </cell>
          <cell r="H219">
            <v>107</v>
          </cell>
        </row>
        <row r="220">
          <cell r="B220">
            <v>3022</v>
          </cell>
          <cell r="C220" t="str">
            <v>CP INSTITUTO AVANTE ELITE DO FUTURO</v>
          </cell>
          <cell r="D220">
            <v>7</v>
          </cell>
          <cell r="E220">
            <v>23</v>
          </cell>
          <cell r="F220">
            <v>43</v>
          </cell>
          <cell r="G220">
            <v>47</v>
          </cell>
          <cell r="H220">
            <v>120</v>
          </cell>
        </row>
        <row r="221">
          <cell r="B221">
            <v>3023</v>
          </cell>
          <cell r="C221" t="str">
            <v>CP LAR DE MARIA DOLORES</v>
          </cell>
          <cell r="F221">
            <v>16</v>
          </cell>
          <cell r="G221">
            <v>25</v>
          </cell>
          <cell r="H221">
            <v>41</v>
          </cell>
        </row>
        <row r="222">
          <cell r="B222">
            <v>3024</v>
          </cell>
          <cell r="C222" t="str">
            <v>CP CASA DE LEYLÁ</v>
          </cell>
          <cell r="E222">
            <v>35</v>
          </cell>
          <cell r="F222">
            <v>49</v>
          </cell>
          <cell r="G222">
            <v>48</v>
          </cell>
          <cell r="H222">
            <v>132</v>
          </cell>
        </row>
        <row r="223">
          <cell r="B223">
            <v>3025</v>
          </cell>
          <cell r="C223" t="str">
            <v>CP CENTRO CULTURAL EDUCAR - UNIDADE II</v>
          </cell>
          <cell r="E223">
            <v>42</v>
          </cell>
          <cell r="F223">
            <v>58</v>
          </cell>
          <cell r="G223">
            <v>57</v>
          </cell>
          <cell r="H223">
            <v>157</v>
          </cell>
        </row>
        <row r="224">
          <cell r="B224">
            <v>3026</v>
          </cell>
          <cell r="C224" t="str">
            <v>CP CHALÉ SEMENTINHA</v>
          </cell>
          <cell r="D224">
            <v>5</v>
          </cell>
          <cell r="E224">
            <v>46</v>
          </cell>
          <cell r="F224">
            <v>107</v>
          </cell>
          <cell r="G224">
            <v>78</v>
          </cell>
          <cell r="H224">
            <v>236</v>
          </cell>
        </row>
        <row r="225">
          <cell r="B225">
            <v>3027</v>
          </cell>
          <cell r="C225" t="str">
            <v>CP CRECHE ALFA MASTER</v>
          </cell>
          <cell r="E225">
            <v>99</v>
          </cell>
          <cell r="F225">
            <v>63</v>
          </cell>
          <cell r="G225">
            <v>92</v>
          </cell>
          <cell r="H225">
            <v>254</v>
          </cell>
        </row>
        <row r="226">
          <cell r="B226">
            <v>3028</v>
          </cell>
          <cell r="C226" t="str">
            <v>CP ESTRELINHA DO MAR</v>
          </cell>
          <cell r="F226">
            <v>57</v>
          </cell>
          <cell r="G226">
            <v>43</v>
          </cell>
          <cell r="H226">
            <v>100</v>
          </cell>
        </row>
        <row r="227">
          <cell r="B227">
            <v>3029</v>
          </cell>
          <cell r="C227" t="str">
            <v>CP CRECHE BRINCANDO COM O JUNINHO</v>
          </cell>
          <cell r="E227">
            <v>26</v>
          </cell>
          <cell r="F227">
            <v>34</v>
          </cell>
          <cell r="G227">
            <v>29</v>
          </cell>
          <cell r="H227">
            <v>89</v>
          </cell>
        </row>
        <row r="228">
          <cell r="B228">
            <v>3030</v>
          </cell>
          <cell r="C228" t="str">
            <v>CP CRECHE TIO KITO</v>
          </cell>
          <cell r="E228">
            <v>18</v>
          </cell>
          <cell r="F228">
            <v>24</v>
          </cell>
          <cell r="G228">
            <v>28</v>
          </cell>
          <cell r="H228">
            <v>70</v>
          </cell>
        </row>
        <row r="229">
          <cell r="B229">
            <v>3031</v>
          </cell>
          <cell r="C229" t="str">
            <v>CP ESCOLA COMUNITÁRIA JARDIM ARCO-ÍRIS - UNIDADE I</v>
          </cell>
          <cell r="F229">
            <v>46</v>
          </cell>
          <cell r="G229">
            <v>38</v>
          </cell>
          <cell r="H229">
            <v>84</v>
          </cell>
        </row>
        <row r="230">
          <cell r="B230">
            <v>3032</v>
          </cell>
          <cell r="C230" t="str">
            <v>CP NÚCLEO RECREATIVO RAIOZINHO DE SOL</v>
          </cell>
          <cell r="F230">
            <v>13</v>
          </cell>
          <cell r="G230">
            <v>18</v>
          </cell>
          <cell r="H230">
            <v>31</v>
          </cell>
        </row>
        <row r="231">
          <cell r="B231">
            <v>3033</v>
          </cell>
          <cell r="C231" t="str">
            <v>CP INSTITUTO EDUCACIONAL T &amp; P CONQUISTA</v>
          </cell>
          <cell r="E231">
            <v>60</v>
          </cell>
          <cell r="F231">
            <v>66</v>
          </cell>
          <cell r="G231">
            <v>74</v>
          </cell>
          <cell r="H231">
            <v>200</v>
          </cell>
        </row>
        <row r="232">
          <cell r="B232">
            <v>3034</v>
          </cell>
          <cell r="C232" t="str">
            <v>CP CRECHE RISCO E RABISCO</v>
          </cell>
          <cell r="F232">
            <v>47</v>
          </cell>
          <cell r="G232">
            <v>47</v>
          </cell>
          <cell r="H232">
            <v>94</v>
          </cell>
        </row>
        <row r="233">
          <cell r="B233">
            <v>3035</v>
          </cell>
          <cell r="C233" t="str">
            <v>CP CENTRO EDUCACIONAL SÃO VICENTE DE PAULO</v>
          </cell>
          <cell r="F233">
            <v>31</v>
          </cell>
          <cell r="G233">
            <v>35</v>
          </cell>
          <cell r="H233">
            <v>66</v>
          </cell>
        </row>
        <row r="234">
          <cell r="B234">
            <v>3036</v>
          </cell>
          <cell r="C234" t="str">
            <v>CP CENTRO CULTURAL EVOLUIR</v>
          </cell>
          <cell r="E234">
            <v>34</v>
          </cell>
          <cell r="F234">
            <v>45</v>
          </cell>
          <cell r="G234">
            <v>65</v>
          </cell>
          <cell r="H234">
            <v>144</v>
          </cell>
        </row>
        <row r="235">
          <cell r="B235">
            <v>3037</v>
          </cell>
          <cell r="C235" t="str">
            <v>CP CRECHE FRUTOS DO AMANHÃ I</v>
          </cell>
          <cell r="E235">
            <v>18</v>
          </cell>
          <cell r="F235">
            <v>61</v>
          </cell>
          <cell r="G235">
            <v>98</v>
          </cell>
          <cell r="H235">
            <v>177</v>
          </cell>
        </row>
        <row r="236">
          <cell r="B236">
            <v>3038</v>
          </cell>
          <cell r="C236" t="str">
            <v>CP CRECHE FRUTOS DO AMANHÃ II</v>
          </cell>
          <cell r="F236">
            <v>88</v>
          </cell>
          <cell r="G236">
            <v>72</v>
          </cell>
          <cell r="H236">
            <v>160</v>
          </cell>
        </row>
        <row r="237">
          <cell r="B237">
            <v>3039</v>
          </cell>
          <cell r="C237" t="str">
            <v>CP CRECHE COMUNITÁRIA CÉU AZUL</v>
          </cell>
          <cell r="E237">
            <v>25</v>
          </cell>
          <cell r="G237">
            <v>15</v>
          </cell>
          <cell r="H237">
            <v>40</v>
          </cell>
        </row>
        <row r="238">
          <cell r="B238">
            <v>3040</v>
          </cell>
          <cell r="C238" t="str">
            <v>CP ASSOCIAÇÃO CRESCENCIO UNIDADE II</v>
          </cell>
          <cell r="E238">
            <v>30</v>
          </cell>
          <cell r="F238">
            <v>18</v>
          </cell>
          <cell r="G238">
            <v>20</v>
          </cell>
          <cell r="H238">
            <v>68</v>
          </cell>
        </row>
        <row r="239">
          <cell r="B239">
            <v>3041</v>
          </cell>
          <cell r="C239" t="str">
            <v>CP CENTRO DE DESENVOLVIMENTO INFANTIL ESPELHO D'AGUA</v>
          </cell>
          <cell r="F239">
            <v>20</v>
          </cell>
          <cell r="G239">
            <v>24</v>
          </cell>
          <cell r="H239">
            <v>44</v>
          </cell>
        </row>
        <row r="240">
          <cell r="B240">
            <v>3021</v>
          </cell>
          <cell r="C240" t="str">
            <v>CP CRECHE COMUNITÁRIA TIA ALICE</v>
          </cell>
          <cell r="E240">
            <v>50</v>
          </cell>
          <cell r="F240">
            <v>54</v>
          </cell>
          <cell r="G240">
            <v>74</v>
          </cell>
          <cell r="H240">
            <v>178</v>
          </cell>
        </row>
        <row r="241">
          <cell r="B241">
            <v>4001</v>
          </cell>
          <cell r="C241" t="str">
            <v>CP CENTRO EDUCACIONAL APRENDIZ DA MARÉ</v>
          </cell>
          <cell r="E241">
            <v>55</v>
          </cell>
          <cell r="F241">
            <v>69</v>
          </cell>
          <cell r="G241">
            <v>76</v>
          </cell>
          <cell r="H241">
            <v>200</v>
          </cell>
        </row>
        <row r="242">
          <cell r="B242">
            <v>4002</v>
          </cell>
          <cell r="C242" t="str">
            <v>CP INSTITUTO EDUCACIONAL LUIZ ANTONIO - IELA</v>
          </cell>
          <cell r="E242">
            <v>25</v>
          </cell>
          <cell r="F242">
            <v>42</v>
          </cell>
          <cell r="G242">
            <v>31</v>
          </cell>
          <cell r="H242">
            <v>98</v>
          </cell>
        </row>
        <row r="243">
          <cell r="B243">
            <v>4003</v>
          </cell>
          <cell r="C243" t="str">
            <v>CP ASSOCIAÇÃO CIVIL CENTRO EDUCACIONAL COMUNITÁRIO ESTAÇÃO DO SABER</v>
          </cell>
          <cell r="E243">
            <v>44</v>
          </cell>
          <cell r="F243">
            <v>48</v>
          </cell>
          <cell r="G243">
            <v>50</v>
          </cell>
          <cell r="H243">
            <v>142</v>
          </cell>
        </row>
        <row r="244">
          <cell r="B244">
            <v>4004</v>
          </cell>
          <cell r="C244" t="str">
            <v>CP CRECHE DO CENTRO COMUNITÁRIO DA VILA PROLETÁRIA DA PENHA</v>
          </cell>
          <cell r="F244">
            <v>70</v>
          </cell>
          <cell r="G244">
            <v>92</v>
          </cell>
          <cell r="H244">
            <v>162</v>
          </cell>
        </row>
        <row r="245">
          <cell r="B245">
            <v>4005</v>
          </cell>
          <cell r="C245" t="str">
            <v>CP CASA DE JOEL</v>
          </cell>
          <cell r="E245">
            <v>63</v>
          </cell>
          <cell r="F245">
            <v>92</v>
          </cell>
          <cell r="G245">
            <v>97</v>
          </cell>
          <cell r="H245">
            <v>252</v>
          </cell>
        </row>
        <row r="246">
          <cell r="B246">
            <v>4006</v>
          </cell>
          <cell r="C246" t="str">
            <v>CP COMUNIDADE INSTITUCIONAL ADULÃO TEMPO FELIZ</v>
          </cell>
          <cell r="E246">
            <v>8</v>
          </cell>
          <cell r="F246">
            <v>30</v>
          </cell>
          <cell r="G246">
            <v>30</v>
          </cell>
          <cell r="H246">
            <v>68</v>
          </cell>
        </row>
        <row r="247">
          <cell r="B247">
            <v>4007</v>
          </cell>
          <cell r="C247" t="str">
            <v>CP CRECHE CASULO BOM JESUS DA PENHA</v>
          </cell>
          <cell r="F247">
            <v>42</v>
          </cell>
          <cell r="G247">
            <v>42</v>
          </cell>
          <cell r="H247">
            <v>84</v>
          </cell>
        </row>
        <row r="248">
          <cell r="B248">
            <v>4008</v>
          </cell>
          <cell r="C248" t="str">
            <v>CP CRECHE COMUNITÁRIA CASULO DO PARQUE PROLETÁRIO DA PENHA</v>
          </cell>
          <cell r="F248">
            <v>44</v>
          </cell>
          <cell r="G248">
            <v>50</v>
          </cell>
          <cell r="H248">
            <v>94</v>
          </cell>
        </row>
        <row r="249">
          <cell r="B249">
            <v>4010</v>
          </cell>
          <cell r="C249" t="str">
            <v>CP CRECHE COMUNITÁRIA SAGRADO CORAÇÃO DE MARIA</v>
          </cell>
          <cell r="F249">
            <v>50</v>
          </cell>
          <cell r="G249">
            <v>75</v>
          </cell>
          <cell r="H249">
            <v>125</v>
          </cell>
        </row>
        <row r="250">
          <cell r="B250">
            <v>4011</v>
          </cell>
          <cell r="C250" t="str">
            <v>CP CRECHE E PRÉ-ESCOLA NOVA JERUSALÉM</v>
          </cell>
          <cell r="E250">
            <v>40</v>
          </cell>
          <cell r="F250">
            <v>52</v>
          </cell>
          <cell r="G250">
            <v>40</v>
          </cell>
          <cell r="H250">
            <v>132</v>
          </cell>
        </row>
        <row r="251">
          <cell r="B251">
            <v>4012</v>
          </cell>
          <cell r="C251" t="str">
            <v>CP CRECHE ESCOLA MIMI I</v>
          </cell>
          <cell r="E251">
            <v>25</v>
          </cell>
          <cell r="F251">
            <v>50</v>
          </cell>
          <cell r="G251">
            <v>50</v>
          </cell>
          <cell r="H251">
            <v>125</v>
          </cell>
        </row>
        <row r="252">
          <cell r="B252">
            <v>4013</v>
          </cell>
          <cell r="C252" t="str">
            <v>CP RECANTO DA CRIANÇA FELIZ</v>
          </cell>
          <cell r="F252">
            <v>40</v>
          </cell>
          <cell r="G252">
            <v>37</v>
          </cell>
          <cell r="H252">
            <v>77</v>
          </cell>
        </row>
        <row r="253">
          <cell r="B253">
            <v>4014</v>
          </cell>
          <cell r="C253" t="str">
            <v>CP CRECHE SAGRADO CORAÇÃO DE MARIA E SANTO ANTÔNIO</v>
          </cell>
          <cell r="F253">
            <v>73</v>
          </cell>
          <cell r="G253">
            <v>72</v>
          </cell>
          <cell r="H253">
            <v>145</v>
          </cell>
        </row>
        <row r="254">
          <cell r="B254">
            <v>4016</v>
          </cell>
          <cell r="C254" t="str">
            <v>CP CRECHE LAR IRMÃO FRANCISCO</v>
          </cell>
          <cell r="E254">
            <v>43</v>
          </cell>
          <cell r="F254">
            <v>48</v>
          </cell>
          <cell r="G254">
            <v>44</v>
          </cell>
          <cell r="H254">
            <v>135</v>
          </cell>
        </row>
        <row r="255">
          <cell r="B255">
            <v>4017</v>
          </cell>
          <cell r="C255" t="str">
            <v>CP ASSOCIAÇÃO CENTRO EDUCACIONAL REBRAL I</v>
          </cell>
          <cell r="E255">
            <v>47</v>
          </cell>
          <cell r="F255">
            <v>75</v>
          </cell>
          <cell r="G255">
            <v>73</v>
          </cell>
          <cell r="H255">
            <v>195</v>
          </cell>
        </row>
        <row r="256">
          <cell r="B256">
            <v>4018</v>
          </cell>
          <cell r="C256" t="str">
            <v>CP SOCIEDADE DE ENSINO TEREZA CRISTINA</v>
          </cell>
          <cell r="E256">
            <v>59</v>
          </cell>
          <cell r="F256">
            <v>71</v>
          </cell>
          <cell r="G256">
            <v>80</v>
          </cell>
          <cell r="H256">
            <v>210</v>
          </cell>
        </row>
        <row r="257">
          <cell r="B257">
            <v>4020</v>
          </cell>
          <cell r="C257" t="str">
            <v>CP CENTRO CULTURAL EDUCAR</v>
          </cell>
          <cell r="E257">
            <v>47</v>
          </cell>
          <cell r="F257">
            <v>67</v>
          </cell>
          <cell r="G257">
            <v>55</v>
          </cell>
          <cell r="H257">
            <v>169</v>
          </cell>
        </row>
        <row r="258">
          <cell r="B258">
            <v>4021</v>
          </cell>
          <cell r="C258" t="str">
            <v>CP ASSOCIAÇÃO CENTRO EDUCACIONAL REBRAL II</v>
          </cell>
          <cell r="E258">
            <v>30</v>
          </cell>
          <cell r="F258">
            <v>70</v>
          </cell>
          <cell r="G258">
            <v>104</v>
          </cell>
          <cell r="H258">
            <v>204</v>
          </cell>
        </row>
        <row r="259">
          <cell r="B259">
            <v>4022</v>
          </cell>
          <cell r="C259" t="str">
            <v>CP CRECHE VALE DO SOL NO GROTÃO</v>
          </cell>
          <cell r="E259">
            <v>70</v>
          </cell>
          <cell r="F259">
            <v>80</v>
          </cell>
          <cell r="G259">
            <v>119</v>
          </cell>
          <cell r="H259">
            <v>269</v>
          </cell>
        </row>
        <row r="260">
          <cell r="B260">
            <v>4023</v>
          </cell>
          <cell r="C260" t="str">
            <v>CP CENTRO CULTURAL EDUCAR - UNIDADE III</v>
          </cell>
          <cell r="E260">
            <v>84</v>
          </cell>
          <cell r="F260">
            <v>95</v>
          </cell>
          <cell r="G260">
            <v>93</v>
          </cell>
          <cell r="H260">
            <v>272</v>
          </cell>
        </row>
        <row r="261">
          <cell r="B261">
            <v>4024</v>
          </cell>
          <cell r="C261" t="str">
            <v>CP CRECHE VALE DO SOL</v>
          </cell>
          <cell r="E261">
            <v>51</v>
          </cell>
          <cell r="F261">
            <v>100</v>
          </cell>
          <cell r="G261">
            <v>106</v>
          </cell>
          <cell r="H261">
            <v>257</v>
          </cell>
        </row>
        <row r="262">
          <cell r="B262">
            <v>4025</v>
          </cell>
          <cell r="C262" t="str">
            <v>CP CRECHE E PRÉ-ESCOLA NOVA JERUSALÉM NO CORDOVIL</v>
          </cell>
          <cell r="E262">
            <v>81</v>
          </cell>
          <cell r="F262">
            <v>81</v>
          </cell>
          <cell r="G262">
            <v>55</v>
          </cell>
          <cell r="H262">
            <v>217</v>
          </cell>
        </row>
        <row r="263">
          <cell r="B263">
            <v>4026</v>
          </cell>
          <cell r="C263" t="str">
            <v>CP CRECHE ESCOLA PATINHO ESTUDIOSO</v>
          </cell>
          <cell r="F263">
            <v>16</v>
          </cell>
          <cell r="G263">
            <v>26</v>
          </cell>
          <cell r="H263">
            <v>42</v>
          </cell>
        </row>
        <row r="264">
          <cell r="B264">
            <v>4027</v>
          </cell>
          <cell r="C264" t="str">
            <v>CP ASSOCIAÇÃO CENTRO EDUCACIONAL REBRAL IV</v>
          </cell>
          <cell r="E264">
            <v>36</v>
          </cell>
          <cell r="F264">
            <v>78</v>
          </cell>
          <cell r="G264">
            <v>80</v>
          </cell>
          <cell r="H264">
            <v>194</v>
          </cell>
        </row>
        <row r="265">
          <cell r="B265">
            <v>4028</v>
          </cell>
          <cell r="C265" t="str">
            <v>CP CRECHE TIA NANE I</v>
          </cell>
          <cell r="E265">
            <v>18</v>
          </cell>
          <cell r="F265">
            <v>26</v>
          </cell>
          <cell r="G265">
            <v>28</v>
          </cell>
          <cell r="H265">
            <v>72</v>
          </cell>
        </row>
        <row r="266">
          <cell r="B266">
            <v>4029</v>
          </cell>
          <cell r="C266" t="str">
            <v>CP SOLZINHO</v>
          </cell>
          <cell r="E266">
            <v>43</v>
          </cell>
          <cell r="F266">
            <v>71</v>
          </cell>
          <cell r="G266">
            <v>71</v>
          </cell>
          <cell r="H266">
            <v>185</v>
          </cell>
        </row>
        <row r="267">
          <cell r="B267">
            <v>4030</v>
          </cell>
          <cell r="C267" t="str">
            <v>CP CRECHE VALE DO SOL II</v>
          </cell>
          <cell r="E267">
            <v>90</v>
          </cell>
          <cell r="F267">
            <v>115</v>
          </cell>
          <cell r="G267">
            <v>65</v>
          </cell>
          <cell r="H267">
            <v>270</v>
          </cell>
        </row>
        <row r="268">
          <cell r="B268">
            <v>4032</v>
          </cell>
          <cell r="C268" t="str">
            <v>CP ASSOCIAÇÃO CENTRO EDUCACIONAL REBRAL V</v>
          </cell>
          <cell r="E268">
            <v>33</v>
          </cell>
          <cell r="F268">
            <v>33</v>
          </cell>
          <cell r="G268">
            <v>37</v>
          </cell>
          <cell r="H268">
            <v>103</v>
          </cell>
        </row>
        <row r="269">
          <cell r="B269">
            <v>4034</v>
          </cell>
          <cell r="C269" t="str">
            <v>CP CASA DE JOEL II</v>
          </cell>
          <cell r="E269">
            <v>23</v>
          </cell>
          <cell r="F269">
            <v>16</v>
          </cell>
          <cell r="G269">
            <v>16</v>
          </cell>
          <cell r="H269">
            <v>55</v>
          </cell>
        </row>
        <row r="270">
          <cell r="B270">
            <v>4035</v>
          </cell>
          <cell r="C270" t="str">
            <v>CP INSTITUTO DE EDUCAÇÃO EUCLIDES DOS SANTOS</v>
          </cell>
          <cell r="E270">
            <v>19</v>
          </cell>
          <cell r="F270">
            <v>53</v>
          </cell>
          <cell r="G270">
            <v>71</v>
          </cell>
          <cell r="H270">
            <v>143</v>
          </cell>
        </row>
        <row r="271">
          <cell r="B271">
            <v>4036</v>
          </cell>
          <cell r="C271" t="str">
            <v>CP CRECHE GIZ COLORIDO</v>
          </cell>
          <cell r="E271">
            <v>18</v>
          </cell>
          <cell r="F271">
            <v>19</v>
          </cell>
          <cell r="G271">
            <v>21</v>
          </cell>
          <cell r="H271">
            <v>58</v>
          </cell>
        </row>
        <row r="272">
          <cell r="B272">
            <v>4037</v>
          </cell>
          <cell r="C272" t="str">
            <v>CP CRECHE ESCOLA MIMI II</v>
          </cell>
          <cell r="F272">
            <v>35</v>
          </cell>
          <cell r="G272">
            <v>59</v>
          </cell>
          <cell r="H272">
            <v>94</v>
          </cell>
        </row>
        <row r="273">
          <cell r="B273">
            <v>4038</v>
          </cell>
          <cell r="C273" t="str">
            <v>CP ASSOCIAÇÃO CENTRO EDUCACIONAL REBRAL VIII</v>
          </cell>
          <cell r="E273">
            <v>71</v>
          </cell>
          <cell r="F273">
            <v>97</v>
          </cell>
          <cell r="G273">
            <v>110</v>
          </cell>
          <cell r="H273">
            <v>278</v>
          </cell>
        </row>
        <row r="274">
          <cell r="B274">
            <v>4039</v>
          </cell>
          <cell r="C274" t="str">
            <v>CP ASSOCIAÇÃO CENTRO EDUCACIONAL REBRAL IX</v>
          </cell>
          <cell r="E274">
            <v>21</v>
          </cell>
          <cell r="F274">
            <v>49</v>
          </cell>
          <cell r="G274">
            <v>59</v>
          </cell>
          <cell r="H274">
            <v>129</v>
          </cell>
        </row>
        <row r="275">
          <cell r="B275">
            <v>4041</v>
          </cell>
          <cell r="C275" t="str">
            <v>CP CRECHE ESCOLA OTACÍLIO BATISTA</v>
          </cell>
          <cell r="E275">
            <v>18</v>
          </cell>
          <cell r="F275">
            <v>18</v>
          </cell>
          <cell r="G275">
            <v>17</v>
          </cell>
          <cell r="H275">
            <v>53</v>
          </cell>
        </row>
        <row r="276">
          <cell r="B276">
            <v>4042</v>
          </cell>
          <cell r="C276" t="str">
            <v>CP CENTRO CULTURAL PEDACINHO DO CÉU</v>
          </cell>
          <cell r="E276">
            <v>17</v>
          </cell>
          <cell r="F276">
            <v>89</v>
          </cell>
          <cell r="G276">
            <v>72</v>
          </cell>
          <cell r="H276">
            <v>178</v>
          </cell>
        </row>
        <row r="277">
          <cell r="B277">
            <v>4043</v>
          </cell>
          <cell r="C277" t="str">
            <v>CP ASSOCIAÇÃO COMUNITÁRIA EDUCACIONAL FLORESCER</v>
          </cell>
          <cell r="E277">
            <v>25</v>
          </cell>
          <cell r="F277">
            <v>33</v>
          </cell>
          <cell r="G277">
            <v>30</v>
          </cell>
          <cell r="H277">
            <v>88</v>
          </cell>
        </row>
        <row r="278">
          <cell r="B278">
            <v>4044</v>
          </cell>
          <cell r="C278" t="str">
            <v>CP ASSOCIAÇÃO HOUSE BABY - BONSUCESSO</v>
          </cell>
          <cell r="E278">
            <v>61</v>
          </cell>
          <cell r="F278">
            <v>77</v>
          </cell>
          <cell r="G278">
            <v>65</v>
          </cell>
          <cell r="H278">
            <v>203</v>
          </cell>
        </row>
        <row r="279">
          <cell r="B279">
            <v>4045</v>
          </cell>
          <cell r="C279" t="str">
            <v>CP CRECHE CRIANÇA FELIZ EM LUCAS</v>
          </cell>
          <cell r="E279">
            <v>28</v>
          </cell>
          <cell r="F279">
            <v>60</v>
          </cell>
          <cell r="G279">
            <v>59</v>
          </cell>
          <cell r="H279">
            <v>147</v>
          </cell>
        </row>
        <row r="280">
          <cell r="B280">
            <v>4046</v>
          </cell>
          <cell r="C280" t="str">
            <v>CP CRECHE TIA NANE III</v>
          </cell>
          <cell r="E280">
            <v>19</v>
          </cell>
          <cell r="F280">
            <v>28</v>
          </cell>
          <cell r="G280">
            <v>26</v>
          </cell>
          <cell r="H280">
            <v>73</v>
          </cell>
        </row>
        <row r="281">
          <cell r="B281">
            <v>4047</v>
          </cell>
          <cell r="C281" t="str">
            <v>CP CRECHE VALE DO SOL III</v>
          </cell>
          <cell r="E281">
            <v>84</v>
          </cell>
          <cell r="F281">
            <v>116</v>
          </cell>
          <cell r="G281">
            <v>71</v>
          </cell>
          <cell r="H281">
            <v>271</v>
          </cell>
        </row>
        <row r="282">
          <cell r="B282">
            <v>4049</v>
          </cell>
          <cell r="C282" t="str">
            <v>CP INSTITUTO JOSEFA LAURENTINO</v>
          </cell>
          <cell r="E282">
            <v>20</v>
          </cell>
          <cell r="F282">
            <v>25</v>
          </cell>
          <cell r="G282">
            <v>15</v>
          </cell>
          <cell r="H282">
            <v>60</v>
          </cell>
        </row>
        <row r="283">
          <cell r="B283">
            <v>4050</v>
          </cell>
          <cell r="C283" t="str">
            <v>CP CENTRO EDUCACIONAL CARIOQUINHA</v>
          </cell>
          <cell r="E283">
            <v>26</v>
          </cell>
          <cell r="F283">
            <v>33</v>
          </cell>
          <cell r="G283">
            <v>17</v>
          </cell>
          <cell r="H283">
            <v>76</v>
          </cell>
        </row>
        <row r="284">
          <cell r="B284">
            <v>4040</v>
          </cell>
          <cell r="C284" t="str">
            <v>CP ASSOCIAÇÃO CENTRO EDUCACIONAL REBRAL X</v>
          </cell>
          <cell r="F284">
            <v>99</v>
          </cell>
          <cell r="G284">
            <v>119</v>
          </cell>
          <cell r="H284">
            <v>218</v>
          </cell>
        </row>
        <row r="285">
          <cell r="B285">
            <v>4048</v>
          </cell>
          <cell r="C285" t="str">
            <v>CP INSTITUTO DE EDUCAÇÃO EUCLIDES DOS SANTOS II</v>
          </cell>
          <cell r="E285">
            <v>11</v>
          </cell>
          <cell r="F285">
            <v>24</v>
          </cell>
          <cell r="G285">
            <v>37</v>
          </cell>
          <cell r="H285">
            <v>72</v>
          </cell>
        </row>
        <row r="286">
          <cell r="B286">
            <v>4009</v>
          </cell>
          <cell r="C286" t="str">
            <v>CP CRECHE COMUNITÁRIA DE MANGUINHOS</v>
          </cell>
          <cell r="F286">
            <v>25</v>
          </cell>
          <cell r="G286">
            <v>43</v>
          </cell>
          <cell r="H286">
            <v>68</v>
          </cell>
        </row>
        <row r="287">
          <cell r="B287">
            <v>4015</v>
          </cell>
          <cell r="C287" t="str">
            <v>CP ESPAÇO DE EDUCAÇÃO INFANTIL VILA DO JOÃO</v>
          </cell>
          <cell r="D287">
            <v>19</v>
          </cell>
          <cell r="E287">
            <v>63</v>
          </cell>
          <cell r="F287">
            <v>68</v>
          </cell>
          <cell r="G287">
            <v>66</v>
          </cell>
          <cell r="H287">
            <v>216</v>
          </cell>
        </row>
        <row r="288">
          <cell r="B288">
            <v>8002</v>
          </cell>
          <cell r="C288" t="str">
            <v>CP CRECHE ESPÍRITA FRANCISCO DE ASSIS</v>
          </cell>
          <cell r="E288">
            <v>13</v>
          </cell>
          <cell r="F288">
            <v>7</v>
          </cell>
          <cell r="G288">
            <v>15</v>
          </cell>
          <cell r="H288">
            <v>35</v>
          </cell>
        </row>
        <row r="289">
          <cell r="B289">
            <v>8003</v>
          </cell>
          <cell r="C289" t="str">
            <v>CP CRECHE CRIANÇA JABOUR</v>
          </cell>
          <cell r="F289">
            <v>40</v>
          </cell>
          <cell r="G289">
            <v>40</v>
          </cell>
          <cell r="H289">
            <v>80</v>
          </cell>
        </row>
        <row r="290">
          <cell r="B290">
            <v>8004</v>
          </cell>
          <cell r="C290" t="str">
            <v>CP CRECHE COMUNITÁRIA NINO</v>
          </cell>
          <cell r="D290">
            <v>5</v>
          </cell>
          <cell r="E290">
            <v>35</v>
          </cell>
          <cell r="F290">
            <v>29</v>
          </cell>
          <cell r="G290">
            <v>31</v>
          </cell>
          <cell r="H290">
            <v>100</v>
          </cell>
        </row>
        <row r="291">
          <cell r="B291">
            <v>8005</v>
          </cell>
          <cell r="C291" t="str">
            <v>CP CRECHE E ESCOLA COMUNITÁRIA GENTE INOCENTE - REALENGO</v>
          </cell>
          <cell r="E291">
            <v>48</v>
          </cell>
          <cell r="F291">
            <v>48</v>
          </cell>
          <cell r="G291">
            <v>46</v>
          </cell>
          <cell r="H291">
            <v>142</v>
          </cell>
        </row>
        <row r="292">
          <cell r="B292">
            <v>8006</v>
          </cell>
          <cell r="C292" t="str">
            <v>CP FUNDAÇÃO CASA DA JOANINHA - CRECHE</v>
          </cell>
          <cell r="F292">
            <v>20</v>
          </cell>
          <cell r="G292">
            <v>30</v>
          </cell>
          <cell r="H292">
            <v>50</v>
          </cell>
        </row>
        <row r="293">
          <cell r="B293">
            <v>8007</v>
          </cell>
          <cell r="C293" t="str">
            <v>CP CRECHE E ESCOLA COMUNITÁRIA GENTE INOCENTE - BANGU</v>
          </cell>
          <cell r="E293">
            <v>69</v>
          </cell>
          <cell r="F293">
            <v>72</v>
          </cell>
          <cell r="G293">
            <v>69</v>
          </cell>
          <cell r="H293">
            <v>210</v>
          </cell>
        </row>
        <row r="294">
          <cell r="B294">
            <v>8008</v>
          </cell>
          <cell r="C294" t="str">
            <v>CP ASSOCIAÇÃO DE MORADORES DO CONJUNTO PEDRO I E ADJACÊNCIAS</v>
          </cell>
          <cell r="G294">
            <v>40</v>
          </cell>
          <cell r="H294">
            <v>40</v>
          </cell>
        </row>
        <row r="295">
          <cell r="B295">
            <v>8009</v>
          </cell>
          <cell r="C295" t="str">
            <v>CP ASSOCIAÇÃO RECREATIVA PINGUINHO DE GENTE</v>
          </cell>
          <cell r="D295">
            <v>7</v>
          </cell>
          <cell r="E295">
            <v>31</v>
          </cell>
          <cell r="F295">
            <v>30</v>
          </cell>
          <cell r="G295">
            <v>30</v>
          </cell>
          <cell r="H295">
            <v>98</v>
          </cell>
        </row>
        <row r="296">
          <cell r="B296">
            <v>8010</v>
          </cell>
          <cell r="C296" t="str">
            <v>CP ASSOCIAÇÃO CENTRO EDUCACIONAL REBRAL III</v>
          </cell>
          <cell r="E296">
            <v>14</v>
          </cell>
          <cell r="F296">
            <v>19</v>
          </cell>
          <cell r="G296">
            <v>21</v>
          </cell>
          <cell r="H296">
            <v>54</v>
          </cell>
        </row>
        <row r="297">
          <cell r="B297">
            <v>8011</v>
          </cell>
          <cell r="C297" t="str">
            <v>CP ESPAÇO DE EDUCAÇÃO INFANTIL BATAN</v>
          </cell>
          <cell r="D297">
            <v>10</v>
          </cell>
          <cell r="E297">
            <v>59</v>
          </cell>
          <cell r="F297">
            <v>60</v>
          </cell>
          <cell r="G297">
            <v>60</v>
          </cell>
          <cell r="H297">
            <v>189</v>
          </cell>
        </row>
        <row r="298">
          <cell r="B298">
            <v>8013</v>
          </cell>
          <cell r="C298" t="str">
            <v>CP CENTRO EDUCACIONAL LUIZA</v>
          </cell>
          <cell r="F298">
            <v>40</v>
          </cell>
          <cell r="G298">
            <v>61</v>
          </cell>
          <cell r="H298">
            <v>101</v>
          </cell>
        </row>
        <row r="299">
          <cell r="B299">
            <v>8014</v>
          </cell>
          <cell r="C299" t="str">
            <v>CP DO.RA., A AVENTUREIRA</v>
          </cell>
          <cell r="F299">
            <v>24</v>
          </cell>
          <cell r="G299">
            <v>43</v>
          </cell>
          <cell r="H299">
            <v>67</v>
          </cell>
        </row>
        <row r="300">
          <cell r="B300">
            <v>8015</v>
          </cell>
          <cell r="C300" t="str">
            <v>CP CEM CRECHE ESCOLA MACHADO</v>
          </cell>
          <cell r="E300">
            <v>38</v>
          </cell>
          <cell r="F300">
            <v>79</v>
          </cell>
          <cell r="G300">
            <v>75</v>
          </cell>
          <cell r="H300">
            <v>192</v>
          </cell>
        </row>
        <row r="301">
          <cell r="B301">
            <v>8016</v>
          </cell>
          <cell r="C301" t="str">
            <v>CP ASSOCIAÇÃO CENTRO EDUCACIONAL REBRAL VI</v>
          </cell>
          <cell r="E301">
            <v>38</v>
          </cell>
          <cell r="F301">
            <v>113</v>
          </cell>
          <cell r="G301">
            <v>97</v>
          </cell>
          <cell r="H301">
            <v>248</v>
          </cell>
        </row>
        <row r="302">
          <cell r="B302">
            <v>8017</v>
          </cell>
          <cell r="C302" t="str">
            <v>CP ASSOCIAÇÃO CRECHE ESPERANÇA - REALENGO</v>
          </cell>
          <cell r="E302">
            <v>46</v>
          </cell>
          <cell r="F302">
            <v>56</v>
          </cell>
          <cell r="G302">
            <v>92</v>
          </cell>
          <cell r="H302">
            <v>194</v>
          </cell>
        </row>
        <row r="303">
          <cell r="B303">
            <v>8019</v>
          </cell>
          <cell r="C303" t="str">
            <v>CP ESCOLA COMUNITÁRIA JARDIM ARCO-ÍRIS - UNIDADE II</v>
          </cell>
          <cell r="F303">
            <v>69</v>
          </cell>
          <cell r="G303">
            <v>78</v>
          </cell>
          <cell r="H303">
            <v>147</v>
          </cell>
        </row>
        <row r="304">
          <cell r="B304">
            <v>8021</v>
          </cell>
          <cell r="C304" t="str">
            <v>CP ASSOCIAÇÃO RECREATIVA MUNDO MÁGICO DA TIA NATY</v>
          </cell>
          <cell r="E304">
            <v>10</v>
          </cell>
          <cell r="F304">
            <v>10</v>
          </cell>
          <cell r="G304">
            <v>18</v>
          </cell>
          <cell r="H304">
            <v>38</v>
          </cell>
        </row>
        <row r="305">
          <cell r="B305">
            <v>8022</v>
          </cell>
          <cell r="C305" t="str">
            <v>CP ASSOCIAÇÃO CRECHE ESPERANÇA - MAGALHÃES BASTOS</v>
          </cell>
          <cell r="E305">
            <v>41</v>
          </cell>
          <cell r="F305">
            <v>84</v>
          </cell>
          <cell r="G305">
            <v>86</v>
          </cell>
          <cell r="H305">
            <v>211</v>
          </cell>
        </row>
        <row r="306">
          <cell r="B306">
            <v>8023</v>
          </cell>
          <cell r="C306" t="str">
            <v>CP CRECHE COMUNITÁRIA IRMÃ MARIA DE LOURDES</v>
          </cell>
          <cell r="F306">
            <v>36</v>
          </cell>
          <cell r="G306">
            <v>34</v>
          </cell>
          <cell r="H306">
            <v>70</v>
          </cell>
        </row>
        <row r="307">
          <cell r="B307">
            <v>8024</v>
          </cell>
          <cell r="C307" t="str">
            <v>CP CEM CRECHE ESCOLA MACHADO - UNIDADE I</v>
          </cell>
          <cell r="E307">
            <v>46</v>
          </cell>
          <cell r="F307">
            <v>40</v>
          </cell>
          <cell r="G307">
            <v>29</v>
          </cell>
          <cell r="H307">
            <v>115</v>
          </cell>
        </row>
        <row r="308">
          <cell r="B308">
            <v>8025</v>
          </cell>
          <cell r="C308" t="str">
            <v>CP ASSOCIAÇÃO RECREATIVA MONIZ BARRETO</v>
          </cell>
          <cell r="F308">
            <v>18</v>
          </cell>
          <cell r="G308">
            <v>28</v>
          </cell>
          <cell r="H308">
            <v>46</v>
          </cell>
        </row>
        <row r="309">
          <cell r="B309">
            <v>8026</v>
          </cell>
          <cell r="C309" t="str">
            <v>CP CRECHE COMUNITÁRIA SNOOPY</v>
          </cell>
          <cell r="G309">
            <v>23</v>
          </cell>
          <cell r="H309">
            <v>23</v>
          </cell>
        </row>
        <row r="310">
          <cell r="B310">
            <v>8027</v>
          </cell>
          <cell r="C310" t="str">
            <v>CP CENTRO EDUCACIONAL MUNDO DA MÔNICA</v>
          </cell>
          <cell r="F310">
            <v>9</v>
          </cell>
          <cell r="G310">
            <v>9</v>
          </cell>
          <cell r="H310">
            <v>18</v>
          </cell>
        </row>
        <row r="311">
          <cell r="B311">
            <v>8018</v>
          </cell>
          <cell r="C311" t="str">
            <v>CP CRECHE COMUNITÁRIA ESTRELINHA</v>
          </cell>
          <cell r="F311">
            <v>26</v>
          </cell>
          <cell r="G311">
            <v>56</v>
          </cell>
          <cell r="H311">
            <v>82</v>
          </cell>
        </row>
        <row r="312">
          <cell r="B312">
            <v>9001</v>
          </cell>
          <cell r="C312" t="str">
            <v>CP CRECHE COMUNITÁRIA SANTA RITA</v>
          </cell>
          <cell r="F312">
            <v>15</v>
          </cell>
          <cell r="G312">
            <v>20</v>
          </cell>
          <cell r="H312">
            <v>35</v>
          </cell>
        </row>
        <row r="313">
          <cell r="B313">
            <v>9002</v>
          </cell>
          <cell r="C313" t="str">
            <v>CP CRECHE SAGRADA FAMÍLIA</v>
          </cell>
          <cell r="F313">
            <v>15</v>
          </cell>
          <cell r="G313">
            <v>18</v>
          </cell>
          <cell r="H313">
            <v>33</v>
          </cell>
        </row>
        <row r="314">
          <cell r="B314">
            <v>9003</v>
          </cell>
          <cell r="C314" t="str">
            <v>CP CRECHE SÃO JORGE</v>
          </cell>
          <cell r="F314">
            <v>15</v>
          </cell>
          <cell r="G314">
            <v>19</v>
          </cell>
          <cell r="H314">
            <v>34</v>
          </cell>
        </row>
        <row r="315">
          <cell r="B315">
            <v>9004</v>
          </cell>
          <cell r="C315" t="str">
            <v>CP CRECHE E PRÉ-ESCOLA CANTINHO DO SABER</v>
          </cell>
          <cell r="E315">
            <v>37</v>
          </cell>
          <cell r="F315">
            <v>64</v>
          </cell>
          <cell r="G315">
            <v>64</v>
          </cell>
          <cell r="H315">
            <v>165</v>
          </cell>
        </row>
        <row r="316">
          <cell r="B316">
            <v>9007</v>
          </cell>
          <cell r="C316" t="str">
            <v>CP INSTITUTO AVELINO - CAMPO GRANDE</v>
          </cell>
          <cell r="E316">
            <v>16</v>
          </cell>
          <cell r="F316">
            <v>23</v>
          </cell>
          <cell r="G316">
            <v>46</v>
          </cell>
          <cell r="H316">
            <v>85</v>
          </cell>
        </row>
        <row r="317">
          <cell r="B317">
            <v>9009</v>
          </cell>
          <cell r="C317" t="str">
            <v>CP CRECHE COMUNITÁRIA CRIANÇAS DE OURO</v>
          </cell>
          <cell r="E317">
            <v>16</v>
          </cell>
          <cell r="F317">
            <v>43</v>
          </cell>
          <cell r="G317">
            <v>41</v>
          </cell>
          <cell r="H317">
            <v>100</v>
          </cell>
        </row>
        <row r="318">
          <cell r="B318">
            <v>9010</v>
          </cell>
          <cell r="C318" t="str">
            <v>CP CRECHE JARDIM ESCOLA RIO DA PRATA</v>
          </cell>
          <cell r="F318">
            <v>43</v>
          </cell>
          <cell r="G318">
            <v>71</v>
          </cell>
          <cell r="H318">
            <v>114</v>
          </cell>
        </row>
        <row r="319">
          <cell r="B319">
            <v>9013</v>
          </cell>
          <cell r="C319" t="str">
            <v>CP CRECHE COMUNITÁRIA SOL DO SABER</v>
          </cell>
          <cell r="E319">
            <v>16</v>
          </cell>
          <cell r="F319">
            <v>40</v>
          </cell>
          <cell r="G319">
            <v>49</v>
          </cell>
          <cell r="H319">
            <v>105</v>
          </cell>
        </row>
        <row r="320">
          <cell r="B320">
            <v>9014</v>
          </cell>
          <cell r="C320" t="str">
            <v>CP INSTITUTO DE ENSINO AVANÇADO</v>
          </cell>
          <cell r="E320">
            <v>16</v>
          </cell>
          <cell r="F320">
            <v>42</v>
          </cell>
          <cell r="G320">
            <v>57</v>
          </cell>
          <cell r="H320">
            <v>115</v>
          </cell>
        </row>
        <row r="321">
          <cell r="B321">
            <v>9018</v>
          </cell>
          <cell r="C321" t="str">
            <v>CP ESPAÇO DE DESENVOLVIMENTO CARIOQUINHA</v>
          </cell>
          <cell r="E321">
            <v>40</v>
          </cell>
          <cell r="F321">
            <v>25</v>
          </cell>
          <cell r="G321">
            <v>59</v>
          </cell>
          <cell r="H321">
            <v>124</v>
          </cell>
        </row>
        <row r="322">
          <cell r="B322">
            <v>9020</v>
          </cell>
          <cell r="C322" t="str">
            <v>CP ASSOCIAÇÃO DE MORADORES UNIÃO DAS BASES DE URUCÂNIA E ADJACÊNCIAS - CAMPO GRANDE</v>
          </cell>
          <cell r="E322">
            <v>24</v>
          </cell>
          <cell r="F322">
            <v>33</v>
          </cell>
          <cell r="G322">
            <v>45</v>
          </cell>
          <cell r="H322">
            <v>102</v>
          </cell>
        </row>
        <row r="323">
          <cell r="B323">
            <v>9021</v>
          </cell>
          <cell r="C323" t="str">
            <v>CP INSTITUTO CRESCER &amp; APRENDER</v>
          </cell>
          <cell r="E323">
            <v>57</v>
          </cell>
          <cell r="F323">
            <v>59</v>
          </cell>
          <cell r="G323">
            <v>94</v>
          </cell>
          <cell r="H323">
            <v>210</v>
          </cell>
        </row>
        <row r="324">
          <cell r="B324">
            <v>9022</v>
          </cell>
          <cell r="C324" t="str">
            <v>CP ESPAÇO CRIATIVO CASTELINHO RINALDI</v>
          </cell>
          <cell r="E324">
            <v>36</v>
          </cell>
          <cell r="F324">
            <v>23</v>
          </cell>
          <cell r="G324">
            <v>47</v>
          </cell>
          <cell r="H324">
            <v>106</v>
          </cell>
        </row>
        <row r="325">
          <cell r="B325">
            <v>9024</v>
          </cell>
          <cell r="C325" t="str">
            <v>CP CRECHE COMUNITÁRIA DOCE INFÂNCIA</v>
          </cell>
          <cell r="E325">
            <v>24</v>
          </cell>
          <cell r="F325">
            <v>24</v>
          </cell>
          <cell r="G325">
            <v>35</v>
          </cell>
          <cell r="H325">
            <v>83</v>
          </cell>
        </row>
        <row r="326">
          <cell r="B326">
            <v>9027</v>
          </cell>
          <cell r="C326" t="str">
            <v>CP INSTITUTO FRUTIFICAR</v>
          </cell>
          <cell r="E326">
            <v>15</v>
          </cell>
          <cell r="F326">
            <v>58</v>
          </cell>
          <cell r="G326">
            <v>25</v>
          </cell>
          <cell r="H326">
            <v>98</v>
          </cell>
        </row>
        <row r="327">
          <cell r="B327">
            <v>9028</v>
          </cell>
          <cell r="C327" t="str">
            <v>CP CRECHE COMUNITÁRIA ALÉM DO ARCO-ÍRIS</v>
          </cell>
          <cell r="E327">
            <v>11</v>
          </cell>
          <cell r="F327">
            <v>43</v>
          </cell>
          <cell r="G327">
            <v>42</v>
          </cell>
          <cell r="H327">
            <v>96</v>
          </cell>
        </row>
        <row r="328">
          <cell r="B328">
            <v>9029</v>
          </cell>
          <cell r="C328" t="str">
            <v>CP INSTITUTO CRECHE DO PAPAI</v>
          </cell>
          <cell r="D328">
            <v>1</v>
          </cell>
          <cell r="E328">
            <v>24</v>
          </cell>
          <cell r="F328">
            <v>24</v>
          </cell>
          <cell r="G328">
            <v>25</v>
          </cell>
          <cell r="H328">
            <v>74</v>
          </cell>
        </row>
        <row r="329">
          <cell r="B329">
            <v>9030</v>
          </cell>
          <cell r="C329" t="str">
            <v>CP ESPAÇO DE DESENVOLVIMENTO PEDRITA</v>
          </cell>
          <cell r="E329">
            <v>29</v>
          </cell>
          <cell r="F329">
            <v>45</v>
          </cell>
          <cell r="G329">
            <v>44</v>
          </cell>
          <cell r="H329">
            <v>118</v>
          </cell>
        </row>
        <row r="330">
          <cell r="B330">
            <v>9031</v>
          </cell>
          <cell r="C330" t="str">
            <v>CP ESPAÇO CRIATIVO TURMINHA DO BAIRRO</v>
          </cell>
          <cell r="D330">
            <v>18</v>
          </cell>
          <cell r="E330">
            <v>20</v>
          </cell>
          <cell r="F330">
            <v>19</v>
          </cell>
          <cell r="G330">
            <v>9</v>
          </cell>
          <cell r="H330">
            <v>66</v>
          </cell>
        </row>
        <row r="331">
          <cell r="B331">
            <v>9034</v>
          </cell>
          <cell r="C331" t="str">
            <v>CP CRECHE COMUNITÁRIA ARTE DA CRIANÇA</v>
          </cell>
          <cell r="E331">
            <v>35</v>
          </cell>
          <cell r="F331">
            <v>29</v>
          </cell>
          <cell r="G331">
            <v>20</v>
          </cell>
          <cell r="H331">
            <v>84</v>
          </cell>
        </row>
        <row r="332">
          <cell r="B332">
            <v>9035</v>
          </cell>
          <cell r="C332" t="str">
            <v>CP INSTITUTO CRESCER E APRENDER - FILIAL</v>
          </cell>
          <cell r="E332">
            <v>37</v>
          </cell>
          <cell r="F332">
            <v>17</v>
          </cell>
          <cell r="G332">
            <v>6</v>
          </cell>
          <cell r="H332">
            <v>60</v>
          </cell>
        </row>
        <row r="333">
          <cell r="B333">
            <v>9036</v>
          </cell>
          <cell r="C333" t="str">
            <v>CP INSTITUTO CONSTRUINDO AMANHÃ</v>
          </cell>
          <cell r="D333">
            <v>8</v>
          </cell>
          <cell r="E333">
            <v>56</v>
          </cell>
          <cell r="F333">
            <v>41</v>
          </cell>
          <cell r="G333">
            <v>37</v>
          </cell>
          <cell r="H333">
            <v>142</v>
          </cell>
        </row>
        <row r="334">
          <cell r="B334">
            <v>9037</v>
          </cell>
          <cell r="C334" t="str">
            <v>CP CRECHE COMUNITÁRIA AURINA</v>
          </cell>
          <cell r="F334">
            <v>22</v>
          </cell>
          <cell r="G334">
            <v>18</v>
          </cell>
          <cell r="H334">
            <v>40</v>
          </cell>
        </row>
        <row r="335">
          <cell r="B335">
            <v>9039</v>
          </cell>
          <cell r="C335" t="str">
            <v>CP CRECHE COMUNITÁRIA ESTRELINHA DO SABER</v>
          </cell>
          <cell r="E335">
            <v>24</v>
          </cell>
          <cell r="F335">
            <v>15</v>
          </cell>
          <cell r="G335">
            <v>11</v>
          </cell>
          <cell r="H335">
            <v>50</v>
          </cell>
        </row>
        <row r="336">
          <cell r="B336">
            <v>9040</v>
          </cell>
          <cell r="C336" t="str">
            <v>CP CRECHE E ESCOLA COMUNITARIA GENTE BAIXINHA - UNIDADE COSMOS</v>
          </cell>
          <cell r="E336">
            <v>13</v>
          </cell>
          <cell r="F336">
            <v>21</v>
          </cell>
          <cell r="G336">
            <v>13</v>
          </cell>
          <cell r="H336">
            <v>47</v>
          </cell>
        </row>
        <row r="337">
          <cell r="B337">
            <v>9043</v>
          </cell>
          <cell r="C337" t="str">
            <v>CP CRECHE COMUNITÁRIA RIBEIRO</v>
          </cell>
          <cell r="F337">
            <v>25</v>
          </cell>
          <cell r="G337">
            <v>25</v>
          </cell>
          <cell r="H337">
            <v>50</v>
          </cell>
        </row>
        <row r="338">
          <cell r="B338">
            <v>9044</v>
          </cell>
          <cell r="C338" t="str">
            <v>CP CRECHE COMUNITÁRIA JARDIM FELIZ</v>
          </cell>
          <cell r="E338">
            <v>35</v>
          </cell>
          <cell r="F338">
            <v>45</v>
          </cell>
          <cell r="G338">
            <v>29</v>
          </cell>
          <cell r="H338">
            <v>109</v>
          </cell>
        </row>
        <row r="339">
          <cell r="B339">
            <v>9046</v>
          </cell>
          <cell r="C339" t="str">
            <v>CP CRECHE COMUNITÁRIA URSINHO PIMPÃO</v>
          </cell>
          <cell r="E339">
            <v>15</v>
          </cell>
          <cell r="F339">
            <v>43</v>
          </cell>
          <cell r="G339">
            <v>14</v>
          </cell>
          <cell r="H339">
            <v>72</v>
          </cell>
        </row>
        <row r="340">
          <cell r="B340">
            <v>9023</v>
          </cell>
          <cell r="C340" t="str">
            <v>CP ESPAÇO CRIATIVO SALOMÃO</v>
          </cell>
          <cell r="E340">
            <v>20</v>
          </cell>
          <cell r="F340">
            <v>18</v>
          </cell>
          <cell r="G340">
            <v>32</v>
          </cell>
          <cell r="H340">
            <v>70</v>
          </cell>
        </row>
        <row r="341">
          <cell r="B341">
            <v>9008</v>
          </cell>
          <cell r="C341" t="str">
            <v>CP CRECHE COMUNITÁRIA ANA &amp; LU</v>
          </cell>
          <cell r="E341">
            <v>22</v>
          </cell>
          <cell r="F341">
            <v>25</v>
          </cell>
          <cell r="G341">
            <v>19</v>
          </cell>
          <cell r="H341">
            <v>66</v>
          </cell>
        </row>
        <row r="342">
          <cell r="B342">
            <v>9011</v>
          </cell>
          <cell r="C342" t="str">
            <v>CP CRECHE NOVA JERUSALÉM EM CAMPO GRANDE</v>
          </cell>
          <cell r="E342">
            <v>46</v>
          </cell>
          <cell r="F342">
            <v>49</v>
          </cell>
          <cell r="G342">
            <v>50</v>
          </cell>
          <cell r="H342">
            <v>145</v>
          </cell>
        </row>
        <row r="343">
          <cell r="B343">
            <v>9012</v>
          </cell>
          <cell r="C343" t="str">
            <v>CP CRECHE COMUNITÁRIA TIA NEIDE - CAMPO GRANDE</v>
          </cell>
          <cell r="E343">
            <v>18</v>
          </cell>
          <cell r="F343">
            <v>73</v>
          </cell>
          <cell r="G343">
            <v>61</v>
          </cell>
          <cell r="H343">
            <v>152</v>
          </cell>
        </row>
        <row r="344">
          <cell r="B344">
            <v>9019</v>
          </cell>
          <cell r="C344" t="str">
            <v>CP ASSOCIAÇÃO DE MORADORES UNIÃO DAS BASES DE URUCÂNIA E ADJACÊNCIAS - COSMOS</v>
          </cell>
          <cell r="E344">
            <v>23</v>
          </cell>
          <cell r="F344">
            <v>29</v>
          </cell>
          <cell r="G344">
            <v>41</v>
          </cell>
          <cell r="H344">
            <v>93</v>
          </cell>
        </row>
        <row r="345">
          <cell r="B345">
            <v>9032</v>
          </cell>
          <cell r="C345" t="str">
            <v>CP CRECHE COMUNITÁRIA SOLDADINHO DE DEUS</v>
          </cell>
          <cell r="E345">
            <v>44</v>
          </cell>
          <cell r="F345">
            <v>29</v>
          </cell>
          <cell r="G345">
            <v>15</v>
          </cell>
          <cell r="H345">
            <v>88</v>
          </cell>
        </row>
        <row r="346">
          <cell r="B346">
            <v>9038</v>
          </cell>
          <cell r="C346" t="str">
            <v>CP CRECHE ESCOLA MACHADO UNIDADE II</v>
          </cell>
          <cell r="E346">
            <v>96</v>
          </cell>
          <cell r="F346">
            <v>81</v>
          </cell>
          <cell r="G346">
            <v>20</v>
          </cell>
          <cell r="H346">
            <v>197</v>
          </cell>
        </row>
        <row r="347">
          <cell r="B347">
            <v>9042</v>
          </cell>
          <cell r="C347" t="str">
            <v>CP CRECHE PEQUENA CANAÃ</v>
          </cell>
          <cell r="E347">
            <v>10</v>
          </cell>
          <cell r="F347">
            <v>12</v>
          </cell>
          <cell r="G347">
            <v>7</v>
          </cell>
          <cell r="H347">
            <v>29</v>
          </cell>
        </row>
        <row r="348">
          <cell r="B348">
            <v>9017</v>
          </cell>
          <cell r="C348" t="str">
            <v>CP ESPAÇO CRESCER</v>
          </cell>
          <cell r="E348">
            <v>13</v>
          </cell>
          <cell r="F348">
            <v>77</v>
          </cell>
          <cell r="G348">
            <v>90</v>
          </cell>
          <cell r="H348">
            <v>180</v>
          </cell>
        </row>
        <row r="349">
          <cell r="B349">
            <v>9025</v>
          </cell>
          <cell r="C349" t="str">
            <v>CP INSTITUTO Ô LUAR</v>
          </cell>
          <cell r="E349">
            <v>12</v>
          </cell>
          <cell r="F349">
            <v>27</v>
          </cell>
          <cell r="G349">
            <v>23</v>
          </cell>
          <cell r="H349">
            <v>62</v>
          </cell>
        </row>
        <row r="350">
          <cell r="B350">
            <v>9033</v>
          </cell>
          <cell r="C350" t="str">
            <v>CP INSTITUTO TEMPO DE CRIANÇA</v>
          </cell>
          <cell r="D350">
            <v>4</v>
          </cell>
          <cell r="E350">
            <v>6</v>
          </cell>
          <cell r="F350">
            <v>21</v>
          </cell>
          <cell r="G350">
            <v>15</v>
          </cell>
          <cell r="H350">
            <v>46</v>
          </cell>
        </row>
        <row r="351">
          <cell r="B351">
            <v>9041</v>
          </cell>
          <cell r="C351" t="str">
            <v>CP CRECHE COMUNITÁRIA PEQUENOS PASSOS</v>
          </cell>
          <cell r="E351">
            <v>12</v>
          </cell>
          <cell r="F351">
            <v>24</v>
          </cell>
          <cell r="G351">
            <v>24</v>
          </cell>
          <cell r="H351">
            <v>60</v>
          </cell>
        </row>
        <row r="352">
          <cell r="B352">
            <v>9045</v>
          </cell>
          <cell r="C352" t="str">
            <v>CP CRECHE PINTANDO SONHOS</v>
          </cell>
          <cell r="E352">
            <v>17</v>
          </cell>
          <cell r="F352">
            <v>21</v>
          </cell>
          <cell r="H352">
            <v>38</v>
          </cell>
        </row>
        <row r="353">
          <cell r="B353">
            <v>9026</v>
          </cell>
          <cell r="C353" t="str">
            <v>CP CRECHE COMUNITÁRIA LEÃOZINHO FELIZ</v>
          </cell>
          <cell r="E353">
            <v>25</v>
          </cell>
          <cell r="F353">
            <v>60</v>
          </cell>
          <cell r="G353">
            <v>38</v>
          </cell>
          <cell r="H353">
            <v>123</v>
          </cell>
        </row>
        <row r="354">
          <cell r="D354">
            <v>615</v>
          </cell>
          <cell r="E354">
            <v>8481</v>
          </cell>
          <cell r="F354">
            <v>16105</v>
          </cell>
          <cell r="G354">
            <v>17288</v>
          </cell>
          <cell r="H354">
            <v>42489</v>
          </cell>
        </row>
      </sheetData>
      <sheetData sheetId="1">
        <row r="1">
          <cell r="B1" t="str">
            <v>(vazio)</v>
          </cell>
        </row>
        <row r="3">
          <cell r="D3" t="str">
            <v>Rótulos de Coluna</v>
          </cell>
        </row>
        <row r="4">
          <cell r="B4" t="str">
            <v>DESIGNAÇÃO</v>
          </cell>
          <cell r="C4" t="str">
            <v>DENOMINAÇÃO</v>
          </cell>
          <cell r="D4" t="str">
            <v>Berçário I</v>
          </cell>
          <cell r="E4" t="str">
            <v>Berçário II</v>
          </cell>
          <cell r="F4" t="str">
            <v>Maternal I</v>
          </cell>
          <cell r="G4" t="str">
            <v>Maternal II</v>
          </cell>
          <cell r="H4" t="str">
            <v>Total Geral</v>
          </cell>
        </row>
        <row r="5">
          <cell r="B5">
            <v>1004</v>
          </cell>
          <cell r="C5" t="str">
            <v>CP CRECHE CANTINHO FELIZ DE SANTA TERESA</v>
          </cell>
        </row>
        <row r="6">
          <cell r="B6">
            <v>1005</v>
          </cell>
          <cell r="C6" t="str">
            <v>CP CASA MATERNAL CORAÇÃO DE MÃE</v>
          </cell>
        </row>
        <row r="7">
          <cell r="B7">
            <v>1006</v>
          </cell>
          <cell r="C7" t="str">
            <v>CP CRECHE DO TUIUTI</v>
          </cell>
        </row>
        <row r="8">
          <cell r="B8">
            <v>1007</v>
          </cell>
          <cell r="C8" t="str">
            <v>CP EDUCANDÁRIO NOSSA SENHORA DE NAZARÉ</v>
          </cell>
          <cell r="G8">
            <v>1</v>
          </cell>
          <cell r="H8">
            <v>1</v>
          </cell>
        </row>
        <row r="9">
          <cell r="B9">
            <v>1009</v>
          </cell>
          <cell r="C9" t="str">
            <v>CP CRECHE COMUNITÁRIA ANITA WAY</v>
          </cell>
          <cell r="G9">
            <v>2</v>
          </cell>
          <cell r="H9">
            <v>2</v>
          </cell>
        </row>
        <row r="10">
          <cell r="B10">
            <v>1010</v>
          </cell>
          <cell r="C10" t="str">
            <v>CP CENTRO CULTURAL MONTESSORI - SÃO CRISTÓVÃO</v>
          </cell>
          <cell r="G10">
            <v>2</v>
          </cell>
          <cell r="H10">
            <v>2</v>
          </cell>
        </row>
        <row r="11">
          <cell r="B11">
            <v>2001</v>
          </cell>
          <cell r="C11" t="str">
            <v>CP CRECHE ESPAÇO SEMENTE</v>
          </cell>
          <cell r="F11">
            <v>1</v>
          </cell>
          <cell r="H11">
            <v>1</v>
          </cell>
        </row>
        <row r="12">
          <cell r="B12">
            <v>2002</v>
          </cell>
          <cell r="C12" t="str">
            <v>CP EDUCANDÁRIO CASA DE JACIRA</v>
          </cell>
        </row>
        <row r="13">
          <cell r="B13">
            <v>2003</v>
          </cell>
          <cell r="C13" t="str">
            <v>CP CENTRO COMUNITÁRIO DA RUA UM UNIÃO FAZ A FORÇA</v>
          </cell>
          <cell r="F13">
            <v>1</v>
          </cell>
          <cell r="G13">
            <v>1</v>
          </cell>
          <cell r="H13">
            <v>2</v>
          </cell>
        </row>
        <row r="14">
          <cell r="B14">
            <v>2004</v>
          </cell>
          <cell r="C14" t="str">
            <v>CP AÇÃO SOCIAL PADRE ANCHIETA - ASPA</v>
          </cell>
          <cell r="F14">
            <v>5</v>
          </cell>
          <cell r="G14">
            <v>1</v>
          </cell>
          <cell r="H14">
            <v>6</v>
          </cell>
        </row>
        <row r="15">
          <cell r="B15">
            <v>2005</v>
          </cell>
          <cell r="C15" t="str">
            <v>CP ESCOLA COMUNITÁRIA DO CANTAGALO</v>
          </cell>
        </row>
        <row r="16">
          <cell r="B16">
            <v>2006</v>
          </cell>
          <cell r="C16" t="str">
            <v>CP CRECHE PRÉ-ESCOLA COMUNITÁRIA DOIS IRMÃOS</v>
          </cell>
          <cell r="F16">
            <v>1</v>
          </cell>
          <cell r="G16">
            <v>1</v>
          </cell>
          <cell r="H16">
            <v>2</v>
          </cell>
        </row>
        <row r="17">
          <cell r="B17">
            <v>2009</v>
          </cell>
          <cell r="C17" t="str">
            <v>CP ABRIGO TERESA DE JESUS</v>
          </cell>
          <cell r="G17">
            <v>2</v>
          </cell>
          <cell r="H17">
            <v>2</v>
          </cell>
        </row>
        <row r="18">
          <cell r="B18">
            <v>2010</v>
          </cell>
          <cell r="C18" t="str">
            <v>CP CRECHE PATINHO FELIZ</v>
          </cell>
          <cell r="E18">
            <v>1</v>
          </cell>
          <cell r="F18">
            <v>2</v>
          </cell>
          <cell r="G18">
            <v>3</v>
          </cell>
          <cell r="H18">
            <v>6</v>
          </cell>
        </row>
        <row r="19">
          <cell r="B19">
            <v>2011</v>
          </cell>
          <cell r="C19" t="str">
            <v>CP SOCIEDADE CIVIL DE ASSISTÊNCIA A MENORES - CASA DA DINDA</v>
          </cell>
          <cell r="G19">
            <v>1</v>
          </cell>
          <cell r="H19">
            <v>1</v>
          </cell>
        </row>
        <row r="20">
          <cell r="B20">
            <v>2012</v>
          </cell>
          <cell r="C20" t="str">
            <v>CP GRUPO COMUNITÁRIO CRECHE ESCOLA TIA MAURA</v>
          </cell>
        </row>
        <row r="21">
          <cell r="B21">
            <v>2013</v>
          </cell>
          <cell r="C21" t="str">
            <v>CP CENTRO DE EDUCAÇÃO INFANTIL CRISTO REDENTOR</v>
          </cell>
        </row>
        <row r="22">
          <cell r="B22">
            <v>2014</v>
          </cell>
          <cell r="C22" t="str">
            <v>CP CRUZADA PELA INFÂNCIA DO LEME</v>
          </cell>
          <cell r="G22">
            <v>2</v>
          </cell>
          <cell r="H22">
            <v>2</v>
          </cell>
        </row>
        <row r="23">
          <cell r="B23">
            <v>2015</v>
          </cell>
          <cell r="C23" t="str">
            <v>CP CRECHE SANT ANNA</v>
          </cell>
          <cell r="G23">
            <v>1</v>
          </cell>
          <cell r="H23">
            <v>1</v>
          </cell>
        </row>
        <row r="24">
          <cell r="B24">
            <v>2016</v>
          </cell>
          <cell r="C24" t="str">
            <v>CP CASA MATERNAL MELLO MATTOS</v>
          </cell>
          <cell r="G24">
            <v>1</v>
          </cell>
          <cell r="H24">
            <v>1</v>
          </cell>
        </row>
        <row r="25">
          <cell r="B25">
            <v>2018</v>
          </cell>
          <cell r="C25" t="str">
            <v>CP FUNDAÇÃO CASA SANTA IGNEZ</v>
          </cell>
          <cell r="G25">
            <v>3</v>
          </cell>
          <cell r="H25">
            <v>3</v>
          </cell>
        </row>
        <row r="26">
          <cell r="B26">
            <v>2019</v>
          </cell>
          <cell r="C26" t="str">
            <v>CP UNIDAS - OBRAS SOCIAIS UNIDAS DE SANTA MARTA</v>
          </cell>
        </row>
        <row r="27">
          <cell r="B27">
            <v>2020</v>
          </cell>
          <cell r="C27" t="str">
            <v>CP CASA ESPÍRITA CRISTÃ MARIA DE NAZARÉ</v>
          </cell>
        </row>
        <row r="28">
          <cell r="B28">
            <v>2022</v>
          </cell>
          <cell r="C28" t="str">
            <v>CP CRECHE CHAPEUZINHO MARROM</v>
          </cell>
        </row>
        <row r="29">
          <cell r="B29">
            <v>2024</v>
          </cell>
          <cell r="C29" t="str">
            <v>CP CRECHE ESCADINHA DO SABER</v>
          </cell>
        </row>
        <row r="30">
          <cell r="B30">
            <v>2025</v>
          </cell>
          <cell r="C30" t="str">
            <v>CP CRECHE BEZERRA DE MENEZES - BOTAFOGO</v>
          </cell>
          <cell r="G30">
            <v>1</v>
          </cell>
          <cell r="H30">
            <v>1</v>
          </cell>
        </row>
        <row r="31">
          <cell r="B31">
            <v>2026</v>
          </cell>
          <cell r="C31" t="str">
            <v>CP CRECHE MONSENHOR FRANCA</v>
          </cell>
          <cell r="F31">
            <v>1</v>
          </cell>
          <cell r="G31">
            <v>2</v>
          </cell>
          <cell r="H31">
            <v>3</v>
          </cell>
        </row>
        <row r="32">
          <cell r="B32">
            <v>2028</v>
          </cell>
          <cell r="C32" t="str">
            <v>CP OBRAS SOCIAIS PADRE ALEIXO</v>
          </cell>
          <cell r="G32">
            <v>1</v>
          </cell>
          <cell r="H32">
            <v>1</v>
          </cell>
        </row>
        <row r="33">
          <cell r="B33">
            <v>2029</v>
          </cell>
          <cell r="C33" t="str">
            <v>CP CASA DA CRIANÇA</v>
          </cell>
          <cell r="F33">
            <v>2</v>
          </cell>
          <cell r="G33">
            <v>2</v>
          </cell>
          <cell r="H33">
            <v>4</v>
          </cell>
        </row>
        <row r="34">
          <cell r="B34">
            <v>2031</v>
          </cell>
          <cell r="C34" t="str">
            <v>CP CENTRO COMUNITÁRIO ALEGRIA DAS CRIANÇAS</v>
          </cell>
          <cell r="G34">
            <v>1</v>
          </cell>
          <cell r="H34">
            <v>1</v>
          </cell>
        </row>
        <row r="35">
          <cell r="B35">
            <v>2032</v>
          </cell>
          <cell r="C35" t="str">
            <v>CP PATRONATO OPERÁRIO DA GÁVEA</v>
          </cell>
          <cell r="G35">
            <v>4</v>
          </cell>
          <cell r="H35">
            <v>4</v>
          </cell>
        </row>
        <row r="36">
          <cell r="B36">
            <v>2034</v>
          </cell>
          <cell r="C36" t="str">
            <v>CP CENTRO SOCIAL DA MULHER UÊGA</v>
          </cell>
          <cell r="F36">
            <v>1</v>
          </cell>
          <cell r="G36">
            <v>1</v>
          </cell>
          <cell r="H36">
            <v>2</v>
          </cell>
        </row>
        <row r="37">
          <cell r="B37">
            <v>2035</v>
          </cell>
          <cell r="C37" t="str">
            <v>CP CENTRO SOCIAL E AÍ COMO É QUE FICA ?</v>
          </cell>
        </row>
        <row r="38">
          <cell r="B38">
            <v>2036</v>
          </cell>
          <cell r="C38" t="str">
            <v>CP CRECHE BERÇÁRIO MARIA HELENA DA ROCINHA</v>
          </cell>
          <cell r="G38">
            <v>2</v>
          </cell>
          <cell r="H38">
            <v>2</v>
          </cell>
        </row>
        <row r="39">
          <cell r="B39">
            <v>2037</v>
          </cell>
          <cell r="C39" t="str">
            <v>CP CRECHE COMUNITÁRIA CANTINHO DA NATUREZA</v>
          </cell>
          <cell r="F39">
            <v>1</v>
          </cell>
          <cell r="G39">
            <v>1</v>
          </cell>
          <cell r="H39">
            <v>2</v>
          </cell>
        </row>
        <row r="40">
          <cell r="B40">
            <v>2038</v>
          </cell>
          <cell r="C40" t="str">
            <v>CP CRECHE CHÁCARA DO CÉU</v>
          </cell>
          <cell r="F40">
            <v>1</v>
          </cell>
          <cell r="H40">
            <v>1</v>
          </cell>
        </row>
        <row r="41">
          <cell r="B41">
            <v>2039</v>
          </cell>
          <cell r="C41" t="str">
            <v>CP CRECHE ESCOLA MENINOS DE LUZ</v>
          </cell>
        </row>
        <row r="42">
          <cell r="B42">
            <v>2040</v>
          </cell>
          <cell r="C42" t="str">
            <v>CP CRECHE MARIA MARIA</v>
          </cell>
        </row>
        <row r="43">
          <cell r="B43">
            <v>2041</v>
          </cell>
          <cell r="C43" t="str">
            <v>CP CRECHE E PRÉ-ESCOLA COMUNITÁRIA DO 199 PINGO DE GENTE</v>
          </cell>
          <cell r="G43">
            <v>1</v>
          </cell>
          <cell r="H43">
            <v>1</v>
          </cell>
        </row>
        <row r="44">
          <cell r="B44">
            <v>2042</v>
          </cell>
          <cell r="C44" t="str">
            <v>CP CRECHE SANTA CLARA</v>
          </cell>
          <cell r="F44">
            <v>1</v>
          </cell>
          <cell r="G44">
            <v>1</v>
          </cell>
          <cell r="H44">
            <v>2</v>
          </cell>
        </row>
        <row r="45">
          <cell r="B45">
            <v>2043</v>
          </cell>
          <cell r="C45" t="str">
            <v>CP CRECHE SANTA MÔNICA</v>
          </cell>
          <cell r="E45">
            <v>1</v>
          </cell>
          <cell r="H45">
            <v>1</v>
          </cell>
        </row>
        <row r="46">
          <cell r="B46">
            <v>2044</v>
          </cell>
          <cell r="C46" t="str">
            <v>CP CRECHE SÃO COSME E SÃO DAMIÃO</v>
          </cell>
          <cell r="G46">
            <v>2</v>
          </cell>
          <cell r="H46">
            <v>2</v>
          </cell>
        </row>
        <row r="47">
          <cell r="B47">
            <v>2045</v>
          </cell>
          <cell r="C47" t="str">
            <v>CP CREI - CENTRO DE RECUPERAÇÃO INFANTIL</v>
          </cell>
        </row>
        <row r="48">
          <cell r="B48">
            <v>2046</v>
          </cell>
          <cell r="C48" t="str">
            <v>CP ESPAÇO SANTA TEREZINHA - EST</v>
          </cell>
          <cell r="G48">
            <v>3</v>
          </cell>
          <cell r="H48">
            <v>3</v>
          </cell>
        </row>
        <row r="49">
          <cell r="B49">
            <v>2047</v>
          </cell>
          <cell r="C49" t="str">
            <v>CP GRUPO COMUNITÁRIO MORRO DA ALEGRIA</v>
          </cell>
          <cell r="G49">
            <v>2</v>
          </cell>
          <cell r="H49">
            <v>2</v>
          </cell>
        </row>
        <row r="50">
          <cell r="B50">
            <v>2048</v>
          </cell>
          <cell r="C50" t="str">
            <v>CP LAR CANTINHO FELIZ</v>
          </cell>
          <cell r="F50">
            <v>1</v>
          </cell>
          <cell r="G50">
            <v>1</v>
          </cell>
          <cell r="H50">
            <v>2</v>
          </cell>
        </row>
        <row r="51">
          <cell r="B51">
            <v>2049</v>
          </cell>
          <cell r="C51" t="str">
            <v>CP OBRA DO BERÇO</v>
          </cell>
          <cell r="D51">
            <v>1</v>
          </cell>
          <cell r="E51">
            <v>1</v>
          </cell>
          <cell r="F51">
            <v>1</v>
          </cell>
          <cell r="G51">
            <v>1</v>
          </cell>
          <cell r="H51">
            <v>4</v>
          </cell>
        </row>
        <row r="52">
          <cell r="B52">
            <v>2052</v>
          </cell>
          <cell r="C52" t="str">
            <v>CP CRECHE CASA SANTA MARTA</v>
          </cell>
          <cell r="G52">
            <v>2</v>
          </cell>
          <cell r="H52">
            <v>2</v>
          </cell>
        </row>
        <row r="53">
          <cell r="B53">
            <v>2053</v>
          </cell>
          <cell r="C53" t="str">
            <v>CP CRECHE ESPERANÇA</v>
          </cell>
          <cell r="G53">
            <v>1</v>
          </cell>
          <cell r="H53">
            <v>1</v>
          </cell>
        </row>
        <row r="54">
          <cell r="B54">
            <v>2054</v>
          </cell>
          <cell r="C54" t="str">
            <v>CP UNIÃO DE MULHERES PRO-MELHORAMENTO DA ROUPA SUJA</v>
          </cell>
        </row>
        <row r="55">
          <cell r="B55">
            <v>2055</v>
          </cell>
          <cell r="C55" t="str">
            <v>CP CRECHE CASA DO POBRE DE NOSSA SENHORA DE COPACABANA</v>
          </cell>
          <cell r="F55">
            <v>2</v>
          </cell>
          <cell r="G55">
            <v>1</v>
          </cell>
          <cell r="H55">
            <v>3</v>
          </cell>
        </row>
        <row r="56">
          <cell r="B56">
            <v>2056</v>
          </cell>
          <cell r="C56" t="str">
            <v>CP CRECHE SANTA CLARA DE ASSIS NA PROVIDÊNCIA DE DEUS</v>
          </cell>
          <cell r="G56">
            <v>1</v>
          </cell>
          <cell r="H56">
            <v>1</v>
          </cell>
        </row>
        <row r="57">
          <cell r="B57">
            <v>2057</v>
          </cell>
          <cell r="C57" t="str">
            <v>CP CENTRO EDUCACIONAL ESPERANÇA</v>
          </cell>
        </row>
        <row r="58">
          <cell r="B58">
            <v>2058</v>
          </cell>
          <cell r="C58" t="str">
            <v>CP NASCEER - NÚCLEO DE ASSIST. SOCIAL CULTURAL EDUC. ECOLÓGICO DA ROCINHA</v>
          </cell>
          <cell r="G58">
            <v>1</v>
          </cell>
          <cell r="H58">
            <v>1</v>
          </cell>
        </row>
        <row r="59">
          <cell r="B59">
            <v>2060</v>
          </cell>
          <cell r="C59" t="str">
            <v>CP ASSOCIAÇÃO CENTRO EDUCACIONAL REBRAL - ROCINHA</v>
          </cell>
        </row>
        <row r="60">
          <cell r="B60">
            <v>2061</v>
          </cell>
          <cell r="C60" t="str">
            <v>CP CRECHE INSTITUTO MACINTYRE</v>
          </cell>
          <cell r="F60">
            <v>3</v>
          </cell>
          <cell r="G60">
            <v>1</v>
          </cell>
          <cell r="H60">
            <v>4</v>
          </cell>
        </row>
        <row r="61">
          <cell r="B61">
            <v>2062</v>
          </cell>
          <cell r="C61" t="str">
            <v>CP CENTRO EDUCACIONAL ROUPA FELIZ</v>
          </cell>
        </row>
        <row r="62">
          <cell r="B62">
            <v>2063</v>
          </cell>
          <cell r="C62" t="str">
            <v>CP ASSOCIAÇÃO EDUCACIONAL ANJOS DO BEM</v>
          </cell>
          <cell r="F62">
            <v>1</v>
          </cell>
          <cell r="H62">
            <v>1</v>
          </cell>
        </row>
        <row r="63">
          <cell r="B63">
            <v>3001</v>
          </cell>
          <cell r="C63" t="str">
            <v>CP ASSOCIAÇÃO PRESBITERIANA CUIDANDO DO AMANHÃ - APCA</v>
          </cell>
          <cell r="G63">
            <v>1</v>
          </cell>
          <cell r="H63">
            <v>1</v>
          </cell>
        </row>
        <row r="64">
          <cell r="B64">
            <v>3002</v>
          </cell>
          <cell r="C64" t="str">
            <v>CP ABRIGO MARIA IMACULADA</v>
          </cell>
          <cell r="F64">
            <v>1</v>
          </cell>
          <cell r="G64">
            <v>3</v>
          </cell>
          <cell r="H64">
            <v>4</v>
          </cell>
        </row>
        <row r="65">
          <cell r="B65">
            <v>3003</v>
          </cell>
          <cell r="C65" t="str">
            <v>CP CASA SÃO ROQUE</v>
          </cell>
          <cell r="F65">
            <v>2</v>
          </cell>
          <cell r="G65">
            <v>2</v>
          </cell>
          <cell r="H65">
            <v>4</v>
          </cell>
        </row>
        <row r="66">
          <cell r="B66">
            <v>3004</v>
          </cell>
          <cell r="C66" t="str">
            <v>CP CENTRO COMUNITÁRIO NOSSA SENHORA APARECIDA - CRECHE</v>
          </cell>
        </row>
        <row r="67">
          <cell r="B67">
            <v>3005</v>
          </cell>
          <cell r="C67" t="str">
            <v>CP COLÉGIO RUTH SANT ANNA / JARDIM DE INFÂNCIA CIRANDA CIRANDINHA</v>
          </cell>
          <cell r="G67">
            <v>6</v>
          </cell>
          <cell r="H67">
            <v>6</v>
          </cell>
        </row>
        <row r="68">
          <cell r="B68">
            <v>3006</v>
          </cell>
          <cell r="C68" t="str">
            <v>CP CRECHE CASA VIVA</v>
          </cell>
          <cell r="G68">
            <v>1</v>
          </cell>
          <cell r="H68">
            <v>1</v>
          </cell>
        </row>
        <row r="69">
          <cell r="B69">
            <v>3007</v>
          </cell>
          <cell r="C69" t="str">
            <v>CP CRECHE CHAMEGUINHO</v>
          </cell>
        </row>
        <row r="70">
          <cell r="B70">
            <v>3008</v>
          </cell>
          <cell r="C70" t="str">
            <v>CP CRECHE COMUNITÁRIA ELIANA SATURNINO BRAGA</v>
          </cell>
        </row>
        <row r="71">
          <cell r="B71">
            <v>3009</v>
          </cell>
          <cell r="C71" t="str">
            <v>CP CRECHE COMUNITÁRIA JOÃO FERREIRA</v>
          </cell>
          <cell r="G71">
            <v>1</v>
          </cell>
          <cell r="H71">
            <v>1</v>
          </cell>
        </row>
        <row r="72">
          <cell r="B72">
            <v>3010</v>
          </cell>
          <cell r="C72" t="str">
            <v>CP CRECHE ESCOLA COMUNITÁRIA MÃE SOCIAL</v>
          </cell>
        </row>
        <row r="73">
          <cell r="B73">
            <v>3011</v>
          </cell>
          <cell r="C73" t="str">
            <v>CP CRECHE DO CENTRO PASTORAL SOCIAL PADRE JUSTINO RUSSOLILLO</v>
          </cell>
        </row>
        <row r="74">
          <cell r="B74">
            <v>3012</v>
          </cell>
          <cell r="C74" t="str">
            <v>CP CRECHE MÃE DO DIVINO SALVADOR</v>
          </cell>
        </row>
        <row r="75">
          <cell r="B75">
            <v>3013</v>
          </cell>
          <cell r="C75" t="str">
            <v>CP CRECHE JACAREZINHO</v>
          </cell>
          <cell r="G75">
            <v>1</v>
          </cell>
          <cell r="H75">
            <v>1</v>
          </cell>
        </row>
        <row r="76">
          <cell r="B76">
            <v>3014</v>
          </cell>
          <cell r="C76" t="str">
            <v>CP CRECHE PLANTANDO O AMANHÃ</v>
          </cell>
          <cell r="E76">
            <v>1</v>
          </cell>
          <cell r="F76">
            <v>3</v>
          </cell>
          <cell r="G76">
            <v>8</v>
          </cell>
          <cell r="H76">
            <v>12</v>
          </cell>
        </row>
        <row r="77">
          <cell r="B77">
            <v>3015</v>
          </cell>
          <cell r="C77" t="str">
            <v>CP CRECHE MARIETTA NAVARRO GAIO</v>
          </cell>
        </row>
        <row r="78">
          <cell r="B78">
            <v>3016</v>
          </cell>
          <cell r="C78" t="str">
            <v>CP CRECHE SÃO PEDRO NOLASCO</v>
          </cell>
          <cell r="G78">
            <v>1</v>
          </cell>
          <cell r="H78">
            <v>1</v>
          </cell>
        </row>
        <row r="79">
          <cell r="B79">
            <v>3017</v>
          </cell>
          <cell r="C79" t="str">
            <v>CP CRECHE TERNURINHA</v>
          </cell>
        </row>
        <row r="80">
          <cell r="B80">
            <v>3018</v>
          </cell>
          <cell r="C80" t="str">
            <v>CP FRATERNIDADE ASSISTENCIAL CRISTÃ</v>
          </cell>
          <cell r="F80">
            <v>1</v>
          </cell>
          <cell r="G80">
            <v>1</v>
          </cell>
          <cell r="H80">
            <v>2</v>
          </cell>
        </row>
        <row r="81">
          <cell r="B81">
            <v>3019</v>
          </cell>
          <cell r="C81" t="str">
            <v>CP INSTITUTO EDUCACIONAL CRESCENDO E APRENDENDO ALGODÃO DOCE</v>
          </cell>
        </row>
        <row r="82">
          <cell r="B82">
            <v>3020</v>
          </cell>
          <cell r="C82" t="str">
            <v>CP LAR DA CRIANÇA JESUS BOM PASTOR</v>
          </cell>
          <cell r="G82">
            <v>2</v>
          </cell>
          <cell r="H82">
            <v>2</v>
          </cell>
        </row>
        <row r="83">
          <cell r="B83">
            <v>3021</v>
          </cell>
          <cell r="C83" t="str">
            <v>CP CRECHE COMUNITÁRIA TIA ALICE</v>
          </cell>
          <cell r="E83">
            <v>1</v>
          </cell>
          <cell r="H83">
            <v>1</v>
          </cell>
        </row>
        <row r="84">
          <cell r="B84">
            <v>3022</v>
          </cell>
          <cell r="C84" t="str">
            <v>CP INSTITUTO AVANTE ELITE DO FUTURO</v>
          </cell>
          <cell r="G84">
            <v>1</v>
          </cell>
          <cell r="H84">
            <v>1</v>
          </cell>
        </row>
        <row r="85">
          <cell r="B85">
            <v>3023</v>
          </cell>
          <cell r="C85" t="str">
            <v>CP LAR DE MARIA DOLORES</v>
          </cell>
          <cell r="G85">
            <v>1</v>
          </cell>
          <cell r="H85">
            <v>1</v>
          </cell>
        </row>
        <row r="86">
          <cell r="B86">
            <v>3024</v>
          </cell>
          <cell r="C86" t="str">
            <v>CP CASA DE LEYLÁ</v>
          </cell>
          <cell r="F86">
            <v>1</v>
          </cell>
          <cell r="G86">
            <v>2</v>
          </cell>
          <cell r="H86">
            <v>3</v>
          </cell>
        </row>
        <row r="87">
          <cell r="B87">
            <v>3025</v>
          </cell>
          <cell r="C87" t="str">
            <v>CP CENTRO CULTURAL EDUCAR - UNIDADE II</v>
          </cell>
        </row>
        <row r="88">
          <cell r="B88">
            <v>3026</v>
          </cell>
          <cell r="C88" t="str">
            <v>CP CHALÉ SEMENTINHA</v>
          </cell>
          <cell r="F88">
            <v>2</v>
          </cell>
          <cell r="G88">
            <v>3</v>
          </cell>
          <cell r="H88">
            <v>5</v>
          </cell>
        </row>
        <row r="89">
          <cell r="B89">
            <v>3027</v>
          </cell>
          <cell r="C89" t="str">
            <v>CP CRECHE ALFA MASTER</v>
          </cell>
        </row>
        <row r="90">
          <cell r="B90">
            <v>3028</v>
          </cell>
          <cell r="C90" t="str">
            <v>CP ESTRELINHA DO MAR</v>
          </cell>
          <cell r="G90">
            <v>2</v>
          </cell>
          <cell r="H90">
            <v>2</v>
          </cell>
        </row>
        <row r="91">
          <cell r="B91">
            <v>3029</v>
          </cell>
          <cell r="C91" t="str">
            <v>CP CRECHE BRINCANDO COM O JUNINHO</v>
          </cell>
        </row>
        <row r="92">
          <cell r="B92">
            <v>3030</v>
          </cell>
          <cell r="C92" t="str">
            <v>CP CRECHE TIO KITO</v>
          </cell>
        </row>
        <row r="93">
          <cell r="B93">
            <v>3031</v>
          </cell>
          <cell r="C93" t="str">
            <v>CP ESCOLA COMUNITÁRIA JARDIM ARCO-ÍRIS - UNIDADE I</v>
          </cell>
          <cell r="G93">
            <v>3</v>
          </cell>
          <cell r="H93">
            <v>3</v>
          </cell>
        </row>
        <row r="94">
          <cell r="B94">
            <v>3032</v>
          </cell>
          <cell r="C94" t="str">
            <v>CP NÚCLEO RECREATIVO RAIOZINHO DE SOL</v>
          </cell>
          <cell r="F94">
            <v>1</v>
          </cell>
          <cell r="G94">
            <v>2</v>
          </cell>
          <cell r="H94">
            <v>3</v>
          </cell>
        </row>
        <row r="95">
          <cell r="B95">
            <v>3033</v>
          </cell>
          <cell r="C95" t="str">
            <v>CP INSTITUTO EDUCACIONAL T &amp; P CONQUISTA</v>
          </cell>
        </row>
        <row r="96">
          <cell r="B96">
            <v>3034</v>
          </cell>
          <cell r="C96" t="str">
            <v>CP CRECHE RISCO E RABISCO</v>
          </cell>
          <cell r="F96">
            <v>2</v>
          </cell>
          <cell r="G96">
            <v>1</v>
          </cell>
          <cell r="H96">
            <v>3</v>
          </cell>
        </row>
        <row r="97">
          <cell r="B97">
            <v>3035</v>
          </cell>
          <cell r="C97" t="str">
            <v>CP CENTRO EDUCACIONAL SÃO VICENTE DE PAULO</v>
          </cell>
          <cell r="G97">
            <v>1</v>
          </cell>
          <cell r="H97">
            <v>1</v>
          </cell>
        </row>
        <row r="98">
          <cell r="B98">
            <v>3036</v>
          </cell>
          <cell r="C98" t="str">
            <v>CP CENTRO CULTURAL EVOLUIR</v>
          </cell>
          <cell r="G98">
            <v>2</v>
          </cell>
          <cell r="H98">
            <v>2</v>
          </cell>
        </row>
        <row r="99">
          <cell r="B99">
            <v>3037</v>
          </cell>
          <cell r="C99" t="str">
            <v>CP CRECHE FRUTOS DO AMANHÃ I</v>
          </cell>
          <cell r="G99">
            <v>3</v>
          </cell>
          <cell r="H99">
            <v>3</v>
          </cell>
        </row>
        <row r="100">
          <cell r="B100">
            <v>3038</v>
          </cell>
          <cell r="C100" t="str">
            <v>CP CRECHE FRUTOS DO AMANHÃ II</v>
          </cell>
          <cell r="F100">
            <v>2</v>
          </cell>
          <cell r="G100">
            <v>2</v>
          </cell>
          <cell r="H100">
            <v>4</v>
          </cell>
        </row>
        <row r="101">
          <cell r="B101">
            <v>3039</v>
          </cell>
          <cell r="C101" t="str">
            <v>CP CRECHE COMUNITÁRIA CÉU AZUL</v>
          </cell>
        </row>
        <row r="102">
          <cell r="B102">
            <v>3040</v>
          </cell>
          <cell r="C102" t="str">
            <v>CP ASSOCIAÇÃO CRESCENCIO UNIDADE II</v>
          </cell>
          <cell r="F102">
            <v>2</v>
          </cell>
          <cell r="H102">
            <v>2</v>
          </cell>
        </row>
        <row r="103">
          <cell r="B103">
            <v>3041</v>
          </cell>
          <cell r="C103" t="str">
            <v>CP CENTRO DE DESENVOLVIMENTO INFANTIL ESPELHO D'AGUA</v>
          </cell>
          <cell r="F103">
            <v>1</v>
          </cell>
          <cell r="G103">
            <v>2</v>
          </cell>
          <cell r="H103">
            <v>3</v>
          </cell>
        </row>
        <row r="104">
          <cell r="B104">
            <v>4001</v>
          </cell>
          <cell r="C104" t="str">
            <v>CP CENTRO EDUCACIONAL APRENDIZ DA MARÉ</v>
          </cell>
        </row>
        <row r="105">
          <cell r="B105">
            <v>4002</v>
          </cell>
          <cell r="C105" t="str">
            <v>CP INSTITUTO EDUCACIONAL LUIZ ANTONIO - IELA</v>
          </cell>
          <cell r="F105">
            <v>2</v>
          </cell>
          <cell r="H105">
            <v>2</v>
          </cell>
        </row>
        <row r="106">
          <cell r="B106">
            <v>4003</v>
          </cell>
          <cell r="C106" t="str">
            <v>CP ASSOCIAÇÃO CIVIL CENTRO EDUCACIONAL COMUNITÁRIO ESTAÇÃO DO SABER</v>
          </cell>
        </row>
        <row r="107">
          <cell r="B107">
            <v>4004</v>
          </cell>
          <cell r="C107" t="str">
            <v>CP CRECHE DO CENTRO COMUNITÁRIO DA VILA PROLETÁRIA DA PENHA</v>
          </cell>
        </row>
        <row r="108">
          <cell r="B108">
            <v>4005</v>
          </cell>
          <cell r="C108" t="str">
            <v>CP CASA DE JOEL</v>
          </cell>
          <cell r="G108">
            <v>2</v>
          </cell>
          <cell r="H108">
            <v>2</v>
          </cell>
        </row>
        <row r="109">
          <cell r="B109">
            <v>4006</v>
          </cell>
          <cell r="C109" t="str">
            <v>CP COMUNIDADE INSTITUCIONAL ADULÃO TEMPO FELIZ</v>
          </cell>
          <cell r="G109">
            <v>2</v>
          </cell>
          <cell r="H109">
            <v>2</v>
          </cell>
        </row>
        <row r="110">
          <cell r="B110">
            <v>4007</v>
          </cell>
          <cell r="C110" t="str">
            <v>CP CRECHE CASULO BOM JESUS DA PENHA</v>
          </cell>
        </row>
        <row r="111">
          <cell r="B111">
            <v>4008</v>
          </cell>
          <cell r="C111" t="str">
            <v>CP CRECHE COMUNITÁRIA CASULO DO PARQUE PROLETÁRIO DA PENHA</v>
          </cell>
        </row>
        <row r="112">
          <cell r="B112">
            <v>4009</v>
          </cell>
          <cell r="C112" t="str">
            <v>CP CRECHE COMUNITÁRIA DE MANGUINHOS</v>
          </cell>
        </row>
        <row r="113">
          <cell r="B113">
            <v>4010</v>
          </cell>
          <cell r="C113" t="str">
            <v>CP CRECHE COMUNITÁRIA SAGRADO CORAÇÃO DE MARIA</v>
          </cell>
        </row>
        <row r="114">
          <cell r="B114">
            <v>4011</v>
          </cell>
          <cell r="C114" t="str">
            <v>CP CRECHE E PRÉ-ESCOLA NOVA JERUSALÉM</v>
          </cell>
          <cell r="F114">
            <v>1</v>
          </cell>
          <cell r="H114">
            <v>1</v>
          </cell>
        </row>
        <row r="115">
          <cell r="B115">
            <v>4012</v>
          </cell>
          <cell r="C115" t="str">
            <v>CP CRECHE ESCOLA MIMI I</v>
          </cell>
        </row>
        <row r="116">
          <cell r="B116">
            <v>4013</v>
          </cell>
          <cell r="C116" t="str">
            <v>CP RECANTO DA CRIANÇA FELIZ</v>
          </cell>
          <cell r="G116">
            <v>3</v>
          </cell>
          <cell r="H116">
            <v>3</v>
          </cell>
        </row>
        <row r="117">
          <cell r="B117">
            <v>4014</v>
          </cell>
          <cell r="C117" t="str">
            <v>CP CRECHE SAGRADO CORAÇÃO DE MARIA E SANTO ANTÔNIO</v>
          </cell>
          <cell r="F117">
            <v>3</v>
          </cell>
          <cell r="G117">
            <v>2</v>
          </cell>
          <cell r="H117">
            <v>5</v>
          </cell>
        </row>
        <row r="118">
          <cell r="B118">
            <v>4015</v>
          </cell>
          <cell r="C118" t="str">
            <v>CP ESPAÇO DE EDUCAÇÃO INFANTIL VILA DO JOÃO</v>
          </cell>
          <cell r="E118">
            <v>1</v>
          </cell>
          <cell r="G118">
            <v>1</v>
          </cell>
          <cell r="H118">
            <v>2</v>
          </cell>
        </row>
        <row r="119">
          <cell r="B119">
            <v>4016</v>
          </cell>
          <cell r="C119" t="str">
            <v>CP CRECHE LAR IRMÃO FRANCISCO</v>
          </cell>
          <cell r="F119">
            <v>1</v>
          </cell>
          <cell r="G119">
            <v>1</v>
          </cell>
          <cell r="H119">
            <v>2</v>
          </cell>
        </row>
        <row r="120">
          <cell r="B120">
            <v>4017</v>
          </cell>
          <cell r="C120" t="str">
            <v>CP ASSOCIAÇÃO CENTRO EDUCACIONAL REBRAL I</v>
          </cell>
          <cell r="F120">
            <v>2</v>
          </cell>
          <cell r="G120">
            <v>4</v>
          </cell>
          <cell r="H120">
            <v>6</v>
          </cell>
        </row>
        <row r="121">
          <cell r="B121">
            <v>4018</v>
          </cell>
          <cell r="C121" t="str">
            <v>CP SOCIEDADE DE ENSINO TEREZA CRISTINA</v>
          </cell>
          <cell r="F121">
            <v>1</v>
          </cell>
          <cell r="G121">
            <v>2</v>
          </cell>
          <cell r="H121">
            <v>3</v>
          </cell>
        </row>
        <row r="122">
          <cell r="B122">
            <v>4020</v>
          </cell>
          <cell r="C122" t="str">
            <v>CP CENTRO CULTURAL EDUCAR</v>
          </cell>
          <cell r="F122">
            <v>1</v>
          </cell>
          <cell r="H122">
            <v>1</v>
          </cell>
        </row>
        <row r="123">
          <cell r="B123">
            <v>4021</v>
          </cell>
          <cell r="C123" t="str">
            <v>CP ASSOCIAÇÃO CENTRO EDUCACIONAL REBRAL II</v>
          </cell>
          <cell r="F123">
            <v>1</v>
          </cell>
          <cell r="G123">
            <v>2</v>
          </cell>
          <cell r="H123">
            <v>3</v>
          </cell>
        </row>
        <row r="124">
          <cell r="B124">
            <v>4022</v>
          </cell>
          <cell r="C124" t="str">
            <v>CP CRECHE VALE DO SOL NO GROTÃO</v>
          </cell>
          <cell r="F124">
            <v>1</v>
          </cell>
          <cell r="G124">
            <v>3</v>
          </cell>
          <cell r="H124">
            <v>4</v>
          </cell>
        </row>
        <row r="125">
          <cell r="B125">
            <v>4023</v>
          </cell>
          <cell r="C125" t="str">
            <v>CP CENTRO CULTURAL EDUCAR - UNIDADE III</v>
          </cell>
          <cell r="F125">
            <v>1</v>
          </cell>
          <cell r="G125">
            <v>2</v>
          </cell>
          <cell r="H125">
            <v>3</v>
          </cell>
        </row>
        <row r="126">
          <cell r="B126">
            <v>4024</v>
          </cell>
          <cell r="C126" t="str">
            <v>CP CRECHE VALE DO SOL</v>
          </cell>
        </row>
        <row r="127">
          <cell r="B127">
            <v>4025</v>
          </cell>
          <cell r="C127" t="str">
            <v>CP CRECHE E PRÉ-ESCOLA NOVA JERUSALÉM NO CORDOVIL</v>
          </cell>
          <cell r="F127">
            <v>1</v>
          </cell>
          <cell r="H127">
            <v>1</v>
          </cell>
        </row>
        <row r="128">
          <cell r="B128">
            <v>4026</v>
          </cell>
          <cell r="C128" t="str">
            <v>CP CRECHE ESCOLA PATINHO ESTUDIOSO</v>
          </cell>
          <cell r="G128">
            <v>1</v>
          </cell>
          <cell r="H128">
            <v>1</v>
          </cell>
        </row>
        <row r="129">
          <cell r="B129">
            <v>4027</v>
          </cell>
          <cell r="C129" t="str">
            <v>CP ASSOCIAÇÃO CENTRO EDUCACIONAL REBRAL IV</v>
          </cell>
          <cell r="F129">
            <v>1</v>
          </cell>
          <cell r="H129">
            <v>1</v>
          </cell>
        </row>
        <row r="130">
          <cell r="B130">
            <v>4028</v>
          </cell>
          <cell r="C130" t="str">
            <v>CP CRECHE TIA NANE I</v>
          </cell>
          <cell r="F130">
            <v>1</v>
          </cell>
          <cell r="G130">
            <v>3</v>
          </cell>
          <cell r="H130">
            <v>4</v>
          </cell>
        </row>
        <row r="131">
          <cell r="B131">
            <v>4029</v>
          </cell>
          <cell r="C131" t="str">
            <v>CP SOLZINHO</v>
          </cell>
          <cell r="E131">
            <v>1</v>
          </cell>
          <cell r="F131">
            <v>1</v>
          </cell>
          <cell r="G131">
            <v>1</v>
          </cell>
          <cell r="H131">
            <v>3</v>
          </cell>
        </row>
        <row r="132">
          <cell r="B132">
            <v>4030</v>
          </cell>
          <cell r="C132" t="str">
            <v>CP CRECHE VALE DO SOL II</v>
          </cell>
          <cell r="F132">
            <v>1</v>
          </cell>
          <cell r="G132">
            <v>2</v>
          </cell>
          <cell r="H132">
            <v>3</v>
          </cell>
        </row>
        <row r="133">
          <cell r="B133">
            <v>4032</v>
          </cell>
          <cell r="C133" t="str">
            <v>CP ASSOCIAÇÃO CENTRO EDUCACIONAL REBRAL V</v>
          </cell>
          <cell r="F133">
            <v>1</v>
          </cell>
          <cell r="G133">
            <v>3</v>
          </cell>
          <cell r="H133">
            <v>4</v>
          </cell>
        </row>
        <row r="134">
          <cell r="B134">
            <v>4034</v>
          </cell>
          <cell r="C134" t="str">
            <v>CP CASA DE JOEL II</v>
          </cell>
          <cell r="G134">
            <v>2</v>
          </cell>
          <cell r="H134">
            <v>2</v>
          </cell>
        </row>
        <row r="135">
          <cell r="B135">
            <v>4035</v>
          </cell>
          <cell r="C135" t="str">
            <v>CP INSTITUTO DE EDUCAÇÃO EUCLIDES DOS SANTOS</v>
          </cell>
        </row>
        <row r="136">
          <cell r="B136">
            <v>4036</v>
          </cell>
          <cell r="C136" t="str">
            <v>CP CRECHE GIZ COLORIDO</v>
          </cell>
        </row>
        <row r="137">
          <cell r="B137">
            <v>4037</v>
          </cell>
          <cell r="C137" t="str">
            <v>CP CRECHE ESCOLA MIMI II</v>
          </cell>
          <cell r="G137">
            <v>1</v>
          </cell>
          <cell r="H137">
            <v>1</v>
          </cell>
        </row>
        <row r="138">
          <cell r="B138">
            <v>4038</v>
          </cell>
          <cell r="C138" t="str">
            <v>CP ASSOCIAÇÃO CENTRO EDUCACIONAL REBRAL VIII</v>
          </cell>
          <cell r="E138">
            <v>1</v>
          </cell>
          <cell r="G138">
            <v>2</v>
          </cell>
          <cell r="H138">
            <v>3</v>
          </cell>
        </row>
        <row r="139">
          <cell r="B139">
            <v>4039</v>
          </cell>
          <cell r="C139" t="str">
            <v>CP ASSOCIAÇÃO CENTRO EDUCACIONAL REBRAL IX</v>
          </cell>
        </row>
        <row r="140">
          <cell r="B140">
            <v>4040</v>
          </cell>
          <cell r="C140" t="str">
            <v>CP ASSOCIAÇÃO CENTRO EDUCACIONAL REBRAL X</v>
          </cell>
          <cell r="G140">
            <v>3</v>
          </cell>
          <cell r="H140">
            <v>3</v>
          </cell>
        </row>
        <row r="141">
          <cell r="B141">
            <v>4041</v>
          </cell>
          <cell r="C141" t="str">
            <v>CP CRECHE ESCOLA OTACÍLIO BATISTA</v>
          </cell>
          <cell r="G141">
            <v>1</v>
          </cell>
          <cell r="H141">
            <v>1</v>
          </cell>
        </row>
        <row r="142">
          <cell r="B142">
            <v>4042</v>
          </cell>
          <cell r="C142" t="str">
            <v>CP CENTRO CULTURAL PEDACINHO DO CÉU</v>
          </cell>
          <cell r="F142">
            <v>2</v>
          </cell>
          <cell r="G142">
            <v>6</v>
          </cell>
          <cell r="H142">
            <v>8</v>
          </cell>
        </row>
        <row r="143">
          <cell r="B143">
            <v>4043</v>
          </cell>
          <cell r="C143" t="str">
            <v>CP ASSOCIAÇÃO COMUNITÁRIA EDUCACIONAL FLORESCER</v>
          </cell>
          <cell r="G143">
            <v>1</v>
          </cell>
          <cell r="H143">
            <v>1</v>
          </cell>
        </row>
        <row r="144">
          <cell r="B144">
            <v>4044</v>
          </cell>
          <cell r="C144" t="str">
            <v>CP ASSOCIAÇÃO HOUSE BABY - BONSUCESSO</v>
          </cell>
          <cell r="G144">
            <v>5</v>
          </cell>
          <cell r="H144">
            <v>5</v>
          </cell>
        </row>
        <row r="145">
          <cell r="B145">
            <v>4045</v>
          </cell>
          <cell r="C145" t="str">
            <v>CP CRECHE CRIANÇA FELIZ EM LUCAS</v>
          </cell>
        </row>
        <row r="146">
          <cell r="B146">
            <v>4046</v>
          </cell>
          <cell r="C146" t="str">
            <v>CP CRECHE TIA NANE III</v>
          </cell>
          <cell r="G146">
            <v>3</v>
          </cell>
          <cell r="H146">
            <v>3</v>
          </cell>
        </row>
        <row r="147">
          <cell r="B147">
            <v>4047</v>
          </cell>
          <cell r="C147" t="str">
            <v>CP CRECHE VALE DO SOL III</v>
          </cell>
          <cell r="E147">
            <v>1</v>
          </cell>
          <cell r="F147">
            <v>3</v>
          </cell>
          <cell r="G147">
            <v>6</v>
          </cell>
          <cell r="H147">
            <v>10</v>
          </cell>
        </row>
        <row r="148">
          <cell r="B148">
            <v>4048</v>
          </cell>
          <cell r="C148" t="str">
            <v>CP INSTITUTO DE EDUCAÇÃO EUCLIDES DOS SANTOS II</v>
          </cell>
        </row>
        <row r="149">
          <cell r="B149">
            <v>4049</v>
          </cell>
          <cell r="C149" t="str">
            <v>CP INSTITUTO JOSEFA LAURENTINO</v>
          </cell>
        </row>
        <row r="150">
          <cell r="B150">
            <v>4050</v>
          </cell>
          <cell r="C150" t="str">
            <v>CP CENTRO EDUCACIONAL CARIOQUINHA</v>
          </cell>
          <cell r="F150">
            <v>2</v>
          </cell>
          <cell r="G150">
            <v>1</v>
          </cell>
          <cell r="H150">
            <v>3</v>
          </cell>
        </row>
        <row r="151">
          <cell r="B151">
            <v>5001</v>
          </cell>
          <cell r="C151" t="str">
            <v>CP ASSOCIAÇÃO AMIGOS DA CRIANÇA - CRECHE ROCHA MIRANDA</v>
          </cell>
        </row>
        <row r="152">
          <cell r="B152">
            <v>5002</v>
          </cell>
          <cell r="C152" t="str">
            <v>CP CRECHE EFFATÁ</v>
          </cell>
          <cell r="F152">
            <v>1</v>
          </cell>
          <cell r="G152">
            <v>1</v>
          </cell>
          <cell r="H152">
            <v>2</v>
          </cell>
        </row>
        <row r="153">
          <cell r="B153">
            <v>5003</v>
          </cell>
          <cell r="C153" t="str">
            <v>CP CRECHE PINTINHO DOURADO</v>
          </cell>
          <cell r="G153">
            <v>2</v>
          </cell>
          <cell r="H153">
            <v>2</v>
          </cell>
        </row>
        <row r="154">
          <cell r="B154">
            <v>5004</v>
          </cell>
          <cell r="C154" t="str">
            <v>CP CRECHE CASULO SÃO RAFAEL ARCANJO</v>
          </cell>
          <cell r="F154">
            <v>1</v>
          </cell>
          <cell r="G154">
            <v>1</v>
          </cell>
          <cell r="H154">
            <v>2</v>
          </cell>
        </row>
        <row r="155">
          <cell r="B155">
            <v>5005</v>
          </cell>
          <cell r="C155" t="str">
            <v>CP CRECHE APÓSTOLO SÃO PEDRO</v>
          </cell>
          <cell r="F155">
            <v>1</v>
          </cell>
          <cell r="H155">
            <v>1</v>
          </cell>
        </row>
        <row r="156">
          <cell r="B156">
            <v>5006</v>
          </cell>
          <cell r="C156" t="str">
            <v>CP CRECHE CARDEAL CÂMARA</v>
          </cell>
          <cell r="F156">
            <v>4</v>
          </cell>
          <cell r="G156">
            <v>2</v>
          </cell>
          <cell r="H156">
            <v>6</v>
          </cell>
        </row>
        <row r="157">
          <cell r="B157">
            <v>5007</v>
          </cell>
          <cell r="C157" t="str">
            <v>CP CENTRO COMUNITÁRIO FLOR DO AMANHÃ</v>
          </cell>
        </row>
        <row r="158">
          <cell r="B158">
            <v>5008</v>
          </cell>
          <cell r="C158" t="str">
            <v>CP ASSOCIAÇÃO HOUSE BABY - VILA KOSMOS</v>
          </cell>
          <cell r="G158">
            <v>2</v>
          </cell>
          <cell r="H158">
            <v>2</v>
          </cell>
        </row>
        <row r="159">
          <cell r="B159">
            <v>5009</v>
          </cell>
          <cell r="C159" t="str">
            <v>CP ASSOCIAÇÃO CRECHE ESPERANÇA - IRAJÁ</v>
          </cell>
          <cell r="G159">
            <v>2</v>
          </cell>
          <cell r="H159">
            <v>2</v>
          </cell>
        </row>
        <row r="160">
          <cell r="B160">
            <v>5010</v>
          </cell>
          <cell r="C160" t="str">
            <v>CP ASSOCIAÇÃO CENTRO EDUCACIONAL REBRAL VII</v>
          </cell>
          <cell r="F160">
            <v>2</v>
          </cell>
          <cell r="G160">
            <v>5</v>
          </cell>
          <cell r="H160">
            <v>7</v>
          </cell>
        </row>
        <row r="161">
          <cell r="B161">
            <v>5012</v>
          </cell>
          <cell r="C161" t="str">
            <v>CP ASSOCIAÇÃO CENTRO EDUCACIONAL REBRAL XI</v>
          </cell>
          <cell r="F161">
            <v>3</v>
          </cell>
          <cell r="G161">
            <v>7</v>
          </cell>
          <cell r="H161">
            <v>10</v>
          </cell>
        </row>
        <row r="162">
          <cell r="B162">
            <v>5013</v>
          </cell>
          <cell r="C162" t="str">
            <v>CP CENTRO EDUCACIONAL SOMAR</v>
          </cell>
          <cell r="G162">
            <v>1</v>
          </cell>
          <cell r="H162">
            <v>1</v>
          </cell>
        </row>
        <row r="163">
          <cell r="B163">
            <v>5014</v>
          </cell>
          <cell r="C163" t="str">
            <v>CP AEMMAC - MARECHAL HERMES</v>
          </cell>
          <cell r="G163">
            <v>3</v>
          </cell>
          <cell r="H163">
            <v>3</v>
          </cell>
        </row>
        <row r="164">
          <cell r="B164">
            <v>5015</v>
          </cell>
          <cell r="C164" t="str">
            <v>CP AEMMAC - ROCHA MIRANDA</v>
          </cell>
          <cell r="F164">
            <v>7</v>
          </cell>
          <cell r="G164">
            <v>4</v>
          </cell>
          <cell r="H164">
            <v>11</v>
          </cell>
        </row>
        <row r="165">
          <cell r="B165">
            <v>5016</v>
          </cell>
          <cell r="C165" t="str">
            <v>CP ASSOCIAÇÃO EDUCACIONAL E CULTURAL SÃO BERNARDO - CSB</v>
          </cell>
          <cell r="F165">
            <v>1</v>
          </cell>
          <cell r="G165">
            <v>1</v>
          </cell>
          <cell r="H165">
            <v>2</v>
          </cell>
        </row>
        <row r="166">
          <cell r="B166">
            <v>6001</v>
          </cell>
          <cell r="C166" t="str">
            <v>CP ESCOLA PATRONATO NOSSA SENHORA DE NAZARÉ</v>
          </cell>
          <cell r="F166">
            <v>1</v>
          </cell>
          <cell r="G166">
            <v>3</v>
          </cell>
          <cell r="H166">
            <v>4</v>
          </cell>
        </row>
        <row r="167">
          <cell r="B167">
            <v>6002</v>
          </cell>
          <cell r="C167" t="str">
            <v>CP CRECHE GUADALUPE</v>
          </cell>
          <cell r="G167">
            <v>1</v>
          </cell>
          <cell r="H167">
            <v>1</v>
          </cell>
        </row>
        <row r="168">
          <cell r="B168">
            <v>6003</v>
          </cell>
          <cell r="C168" t="str">
            <v>CP CRECHE NOSSO LAR</v>
          </cell>
          <cell r="G168">
            <v>3</v>
          </cell>
          <cell r="H168">
            <v>3</v>
          </cell>
        </row>
        <row r="169">
          <cell r="B169">
            <v>6004</v>
          </cell>
          <cell r="C169" t="str">
            <v>CP CENTRO COMUNITÁRIO PARQUE UNIDOS DE ACARI</v>
          </cell>
          <cell r="G169">
            <v>2</v>
          </cell>
          <cell r="H169">
            <v>2</v>
          </cell>
        </row>
        <row r="170">
          <cell r="B170">
            <v>6005</v>
          </cell>
          <cell r="C170" t="str">
            <v>CP CRECHE DON GUANELLA</v>
          </cell>
        </row>
        <row r="171">
          <cell r="B171">
            <v>6006</v>
          </cell>
          <cell r="C171" t="str">
            <v>CP CRECHE ESCOLA COMUNITÁRIA TIO PATINHAS</v>
          </cell>
          <cell r="G171">
            <v>1</v>
          </cell>
          <cell r="H171">
            <v>1</v>
          </cell>
        </row>
        <row r="172">
          <cell r="B172">
            <v>6007</v>
          </cell>
          <cell r="C172" t="str">
            <v>CP CRECHE ABRINDO PORTAS</v>
          </cell>
          <cell r="F172">
            <v>1</v>
          </cell>
          <cell r="G172">
            <v>1</v>
          </cell>
          <cell r="H172">
            <v>2</v>
          </cell>
        </row>
        <row r="173">
          <cell r="B173">
            <v>6009</v>
          </cell>
          <cell r="C173" t="str">
            <v>CP CENTRO EDUCACIONAL NOSSA SENHORA APARECIDA</v>
          </cell>
          <cell r="F173">
            <v>2</v>
          </cell>
          <cell r="G173">
            <v>9</v>
          </cell>
          <cell r="H173">
            <v>11</v>
          </cell>
        </row>
        <row r="174">
          <cell r="B174">
            <v>6012</v>
          </cell>
          <cell r="C174" t="str">
            <v>CP ASSOCIAÇÃO CRESCÊNCIO</v>
          </cell>
          <cell r="G174">
            <v>2</v>
          </cell>
          <cell r="H174">
            <v>2</v>
          </cell>
        </row>
        <row r="175">
          <cell r="B175">
            <v>6013</v>
          </cell>
          <cell r="C175" t="str">
            <v>CP CRECHE COMUNITÁRIA AQUARELA</v>
          </cell>
          <cell r="E175">
            <v>1</v>
          </cell>
          <cell r="H175">
            <v>1</v>
          </cell>
        </row>
        <row r="176">
          <cell r="B176">
            <v>6015</v>
          </cell>
          <cell r="C176" t="str">
            <v>CP AEMMAC - PAVUNA</v>
          </cell>
          <cell r="F176">
            <v>3</v>
          </cell>
          <cell r="G176">
            <v>4</v>
          </cell>
          <cell r="H176">
            <v>7</v>
          </cell>
        </row>
        <row r="177">
          <cell r="B177">
            <v>6016</v>
          </cell>
          <cell r="C177" t="str">
            <v>CP CRECHE NOSSO LAR II</v>
          </cell>
          <cell r="E177">
            <v>1</v>
          </cell>
          <cell r="G177">
            <v>4</v>
          </cell>
          <cell r="H177">
            <v>5</v>
          </cell>
        </row>
        <row r="178">
          <cell r="B178">
            <v>6017</v>
          </cell>
          <cell r="C178" t="str">
            <v>CP CRECHE JOÃO E MARIA</v>
          </cell>
        </row>
        <row r="179">
          <cell r="B179">
            <v>6018</v>
          </cell>
          <cell r="C179" t="str">
            <v>CP ASSOCIAÇÃO CRECHE ESPERANÇA - COELHO NETO</v>
          </cell>
          <cell r="F179">
            <v>1</v>
          </cell>
          <cell r="G179">
            <v>2</v>
          </cell>
          <cell r="H179">
            <v>3</v>
          </cell>
        </row>
        <row r="180">
          <cell r="B180">
            <v>7001</v>
          </cell>
          <cell r="C180" t="str">
            <v>CP CRECHE NOVO PALMARES</v>
          </cell>
        </row>
        <row r="181">
          <cell r="B181">
            <v>7002</v>
          </cell>
          <cell r="C181" t="str">
            <v>CP CRECHE CANTINHO FELIZ</v>
          </cell>
          <cell r="G181">
            <v>1</v>
          </cell>
          <cell r="H181">
            <v>1</v>
          </cell>
        </row>
        <row r="182">
          <cell r="B182">
            <v>7004</v>
          </cell>
          <cell r="C182" t="str">
            <v>CP CASA EMILIEN LACAY</v>
          </cell>
          <cell r="F182">
            <v>1</v>
          </cell>
          <cell r="G182">
            <v>1</v>
          </cell>
          <cell r="H182">
            <v>2</v>
          </cell>
        </row>
        <row r="183">
          <cell r="B183">
            <v>7007</v>
          </cell>
          <cell r="C183" t="str">
            <v>CP SEMENTE DE AMOR</v>
          </cell>
          <cell r="F183">
            <v>1</v>
          </cell>
          <cell r="G183">
            <v>1</v>
          </cell>
          <cell r="H183">
            <v>2</v>
          </cell>
        </row>
        <row r="184">
          <cell r="B184">
            <v>7008</v>
          </cell>
          <cell r="C184" t="str">
            <v>CP CRECHE SÃO PAULO APÓSTOLO</v>
          </cell>
        </row>
        <row r="185">
          <cell r="B185">
            <v>7010</v>
          </cell>
          <cell r="C185" t="str">
            <v>CP CRECHE NOVA ESPERANÇA</v>
          </cell>
          <cell r="G185">
            <v>1</v>
          </cell>
          <cell r="H185">
            <v>1</v>
          </cell>
        </row>
        <row r="186">
          <cell r="B186">
            <v>7011</v>
          </cell>
          <cell r="C186" t="str">
            <v>CP CRECHE RITA ALEXANDRINA FERREIRA</v>
          </cell>
          <cell r="F186">
            <v>1</v>
          </cell>
          <cell r="G186">
            <v>1</v>
          </cell>
          <cell r="H186">
            <v>2</v>
          </cell>
        </row>
        <row r="187">
          <cell r="B187">
            <v>7013</v>
          </cell>
          <cell r="C187" t="str">
            <v>CP ESPAÇO DE EDUCAÇÃO INFANTIL CIDADE DE DEUS</v>
          </cell>
          <cell r="F187">
            <v>1</v>
          </cell>
          <cell r="G187">
            <v>1</v>
          </cell>
          <cell r="H187">
            <v>2</v>
          </cell>
        </row>
        <row r="188">
          <cell r="B188">
            <v>7014</v>
          </cell>
          <cell r="C188" t="str">
            <v>CP CENTRO INTEGRADO SÃO JOSÉ</v>
          </cell>
          <cell r="E188">
            <v>1</v>
          </cell>
          <cell r="G188">
            <v>1</v>
          </cell>
          <cell r="H188">
            <v>2</v>
          </cell>
        </row>
        <row r="189">
          <cell r="B189">
            <v>7015</v>
          </cell>
          <cell r="C189" t="str">
            <v>CP CRECHE CANTINHO FELIZ II</v>
          </cell>
          <cell r="G189">
            <v>2</v>
          </cell>
          <cell r="H189">
            <v>2</v>
          </cell>
        </row>
        <row r="190">
          <cell r="B190">
            <v>7019</v>
          </cell>
          <cell r="C190" t="str">
            <v>CP JARDIM ESCOLA TURMINHA DA ARCA - JETA</v>
          </cell>
          <cell r="F190">
            <v>2</v>
          </cell>
          <cell r="G190">
            <v>1</v>
          </cell>
          <cell r="H190">
            <v>3</v>
          </cell>
        </row>
        <row r="191">
          <cell r="B191">
            <v>7027</v>
          </cell>
          <cell r="C191" t="str">
            <v>CP CRECHE MUNDO MÁGICO I</v>
          </cell>
          <cell r="F191">
            <v>3</v>
          </cell>
          <cell r="G191">
            <v>1</v>
          </cell>
          <cell r="H191">
            <v>4</v>
          </cell>
        </row>
        <row r="192">
          <cell r="B192">
            <v>7034</v>
          </cell>
          <cell r="C192" t="str">
            <v>CP INSTITUTO EDUCACIONAL DIVA ALVES</v>
          </cell>
          <cell r="F192">
            <v>1</v>
          </cell>
          <cell r="G192">
            <v>1</v>
          </cell>
          <cell r="H192">
            <v>2</v>
          </cell>
        </row>
        <row r="193">
          <cell r="B193">
            <v>7035</v>
          </cell>
          <cell r="C193" t="str">
            <v>CP AEMMAC - ANIL</v>
          </cell>
          <cell r="F193">
            <v>4</v>
          </cell>
          <cell r="G193">
            <v>11</v>
          </cell>
          <cell r="H193">
            <v>15</v>
          </cell>
        </row>
        <row r="194">
          <cell r="B194">
            <v>7036</v>
          </cell>
          <cell r="C194" t="str">
            <v>CP CAAD UNIVERSO ENCANTADO</v>
          </cell>
          <cell r="E194">
            <v>1</v>
          </cell>
          <cell r="F194">
            <v>1</v>
          </cell>
          <cell r="G194">
            <v>2</v>
          </cell>
          <cell r="H194">
            <v>4</v>
          </cell>
        </row>
        <row r="195">
          <cell r="B195">
            <v>7037</v>
          </cell>
          <cell r="C195" t="str">
            <v>CP CAAD UNIVERSO DA CRIANÇA</v>
          </cell>
          <cell r="F195">
            <v>1</v>
          </cell>
          <cell r="G195">
            <v>5</v>
          </cell>
          <cell r="H195">
            <v>6</v>
          </cell>
        </row>
        <row r="196">
          <cell r="B196">
            <v>7038</v>
          </cell>
          <cell r="C196" t="str">
            <v>CP CAAD UNIVERSO DAS FLORES</v>
          </cell>
          <cell r="F196">
            <v>2</v>
          </cell>
          <cell r="G196">
            <v>2</v>
          </cell>
          <cell r="H196">
            <v>4</v>
          </cell>
        </row>
        <row r="197">
          <cell r="B197">
            <v>7039</v>
          </cell>
          <cell r="C197" t="str">
            <v>CP CRECHE JARDIM CLARICE</v>
          </cell>
          <cell r="F197">
            <v>4</v>
          </cell>
          <cell r="G197">
            <v>5</v>
          </cell>
          <cell r="H197">
            <v>9</v>
          </cell>
        </row>
        <row r="198">
          <cell r="B198">
            <v>7042</v>
          </cell>
          <cell r="C198" t="str">
            <v>CP INSTITUTO EDUCACIONAL DIVA ALVES II</v>
          </cell>
          <cell r="F198">
            <v>1</v>
          </cell>
          <cell r="G198">
            <v>1</v>
          </cell>
          <cell r="H198">
            <v>2</v>
          </cell>
        </row>
        <row r="199">
          <cell r="B199">
            <v>7043</v>
          </cell>
          <cell r="C199" t="str">
            <v>CP ESPAÇO DE EDUCAÇÃO INFANTIL PEQUENO APRENDIZ</v>
          </cell>
          <cell r="G199">
            <v>3</v>
          </cell>
          <cell r="H199">
            <v>3</v>
          </cell>
        </row>
        <row r="200">
          <cell r="B200">
            <v>7045</v>
          </cell>
          <cell r="C200" t="str">
            <v>CP JARDIM ESCOLA TURMINHA DA ARCA - JETA II</v>
          </cell>
          <cell r="F200">
            <v>1</v>
          </cell>
          <cell r="G200">
            <v>1</v>
          </cell>
          <cell r="H200">
            <v>2</v>
          </cell>
        </row>
        <row r="201">
          <cell r="B201">
            <v>7003</v>
          </cell>
          <cell r="C201" t="str">
            <v>CP CRECHE ESCOLA MÃE ASTÉRIA</v>
          </cell>
          <cell r="E201">
            <v>1</v>
          </cell>
          <cell r="F201">
            <v>3</v>
          </cell>
          <cell r="G201">
            <v>6</v>
          </cell>
          <cell r="H201">
            <v>10</v>
          </cell>
        </row>
        <row r="202">
          <cell r="B202">
            <v>7017</v>
          </cell>
          <cell r="C202" t="str">
            <v>CP CRECHE RAIMUNDA NONATA DA SILVA</v>
          </cell>
          <cell r="G202">
            <v>4</v>
          </cell>
          <cell r="H202">
            <v>4</v>
          </cell>
        </row>
        <row r="203">
          <cell r="B203">
            <v>7018</v>
          </cell>
          <cell r="C203" t="str">
            <v>CP CRECHE SANT ANA IRMÃ ANCILA</v>
          </cell>
          <cell r="G203">
            <v>2</v>
          </cell>
          <cell r="H203">
            <v>2</v>
          </cell>
        </row>
        <row r="204">
          <cell r="B204">
            <v>7020</v>
          </cell>
          <cell r="C204" t="str">
            <v>CP JARDIM ESCOLA CRESCENDO E APRENDENDO</v>
          </cell>
          <cell r="G204">
            <v>1</v>
          </cell>
          <cell r="H204">
            <v>1</v>
          </cell>
        </row>
        <row r="205">
          <cell r="B205">
            <v>7025</v>
          </cell>
          <cell r="C205" t="str">
            <v>CP INSTITUTO CONSUELO PINHEIRO</v>
          </cell>
          <cell r="F205">
            <v>2</v>
          </cell>
          <cell r="G205">
            <v>3</v>
          </cell>
          <cell r="H205">
            <v>5</v>
          </cell>
        </row>
        <row r="206">
          <cell r="B206">
            <v>7040</v>
          </cell>
          <cell r="C206" t="str">
            <v>CP CRECHE VALE DO SOL PRAÇA SECA</v>
          </cell>
          <cell r="G206">
            <v>3</v>
          </cell>
          <cell r="H206">
            <v>3</v>
          </cell>
        </row>
        <row r="207">
          <cell r="B207">
            <v>7041</v>
          </cell>
          <cell r="C207" t="str">
            <v>CP CRECHE VALE DO SOL TAQUARA</v>
          </cell>
          <cell r="G207">
            <v>2</v>
          </cell>
          <cell r="H207">
            <v>2</v>
          </cell>
        </row>
        <row r="208">
          <cell r="B208">
            <v>7044</v>
          </cell>
          <cell r="C208" t="str">
            <v>CP CRECHE AMOR DE MÃE</v>
          </cell>
          <cell r="G208">
            <v>2</v>
          </cell>
          <cell r="H208">
            <v>2</v>
          </cell>
        </row>
        <row r="209">
          <cell r="B209">
            <v>8002</v>
          </cell>
          <cell r="C209" t="str">
            <v>CP CRECHE ESPÍRITA FRANCISCO DE ASSIS</v>
          </cell>
        </row>
        <row r="210">
          <cell r="B210">
            <v>8003</v>
          </cell>
          <cell r="C210" t="str">
            <v>CP CRECHE CRIANÇA JABOUR</v>
          </cell>
        </row>
        <row r="211">
          <cell r="B211">
            <v>8004</v>
          </cell>
          <cell r="C211" t="str">
            <v>CP CRECHE COMUNITÁRIA NINO</v>
          </cell>
        </row>
        <row r="212">
          <cell r="B212">
            <v>8005</v>
          </cell>
          <cell r="C212" t="str">
            <v>CP CRECHE E ESCOLA COMUNITÁRIA GENTE INOCENTE - REALENGO</v>
          </cell>
          <cell r="G212">
            <v>1</v>
          </cell>
          <cell r="H212">
            <v>1</v>
          </cell>
        </row>
        <row r="213">
          <cell r="B213">
            <v>8006</v>
          </cell>
          <cell r="C213" t="str">
            <v>CP FUNDAÇÃO CASA DA JOANINHA - CRECHE</v>
          </cell>
        </row>
        <row r="214">
          <cell r="B214">
            <v>8007</v>
          </cell>
          <cell r="C214" t="str">
            <v>CP CRECHE E ESCOLA COMUNITÁRIA GENTE INOCENTE - BANGU</v>
          </cell>
          <cell r="G214">
            <v>2</v>
          </cell>
          <cell r="H214">
            <v>2</v>
          </cell>
        </row>
        <row r="215">
          <cell r="B215">
            <v>8008</v>
          </cell>
          <cell r="C215" t="str">
            <v>CP ASSOCIAÇÃO DE MORADORES DO CONJUNTO PEDRO I E ADJACÊNCIAS</v>
          </cell>
        </row>
        <row r="216">
          <cell r="B216">
            <v>8009</v>
          </cell>
          <cell r="C216" t="str">
            <v>CP ASSOCIAÇÃO RECREATIVA PINGUINHO DE GENTE</v>
          </cell>
        </row>
        <row r="217">
          <cell r="B217">
            <v>8010</v>
          </cell>
          <cell r="C217" t="str">
            <v>CP ASSOCIAÇÃO CENTRO EDUCACIONAL REBRAL III</v>
          </cell>
          <cell r="E217">
            <v>1</v>
          </cell>
          <cell r="G217">
            <v>1</v>
          </cell>
          <cell r="H217">
            <v>2</v>
          </cell>
        </row>
        <row r="218">
          <cell r="B218">
            <v>8011</v>
          </cell>
          <cell r="C218" t="str">
            <v>CP ESPAÇO DE EDUCAÇÃO INFANTIL BATAN</v>
          </cell>
          <cell r="F218">
            <v>1</v>
          </cell>
          <cell r="H218">
            <v>1</v>
          </cell>
        </row>
        <row r="219">
          <cell r="B219">
            <v>8013</v>
          </cell>
          <cell r="C219" t="str">
            <v>CP CENTRO EDUCACIONAL LUIZA</v>
          </cell>
          <cell r="F219">
            <v>1</v>
          </cell>
          <cell r="G219">
            <v>1</v>
          </cell>
          <cell r="H219">
            <v>2</v>
          </cell>
        </row>
        <row r="220">
          <cell r="B220">
            <v>8014</v>
          </cell>
          <cell r="C220" t="str">
            <v>CP DO.RA., A AVENTUREIRA</v>
          </cell>
          <cell r="G220">
            <v>4</v>
          </cell>
          <cell r="H220">
            <v>4</v>
          </cell>
        </row>
        <row r="221">
          <cell r="B221">
            <v>8015</v>
          </cell>
          <cell r="C221" t="str">
            <v>CP CEM CRECHE ESCOLA MACHADO</v>
          </cell>
        </row>
        <row r="222">
          <cell r="B222">
            <v>8016</v>
          </cell>
          <cell r="C222" t="str">
            <v>CP ASSOCIAÇÃO CENTRO EDUCACIONAL REBRAL VI</v>
          </cell>
          <cell r="F222">
            <v>2</v>
          </cell>
          <cell r="G222">
            <v>2</v>
          </cell>
          <cell r="H222">
            <v>4</v>
          </cell>
        </row>
        <row r="223">
          <cell r="B223">
            <v>8017</v>
          </cell>
          <cell r="C223" t="str">
            <v>CP ASSOCIAÇÃO CRECHE ESPERANÇA - REALENGO</v>
          </cell>
          <cell r="E223">
            <v>1</v>
          </cell>
          <cell r="F223">
            <v>1</v>
          </cell>
          <cell r="G223">
            <v>1</v>
          </cell>
          <cell r="H223">
            <v>3</v>
          </cell>
        </row>
        <row r="224">
          <cell r="B224">
            <v>8019</v>
          </cell>
          <cell r="C224" t="str">
            <v>CP ESCOLA COMUNITÁRIA JARDIM ARCO-ÍRIS - UNIDADE II</v>
          </cell>
          <cell r="G224">
            <v>2</v>
          </cell>
          <cell r="H224">
            <v>2</v>
          </cell>
        </row>
        <row r="225">
          <cell r="B225">
            <v>8021</v>
          </cell>
          <cell r="C225" t="str">
            <v>CP ASSOCIAÇÃO RECREATIVA MUNDO MÁGICO DA TIA NATY</v>
          </cell>
        </row>
        <row r="226">
          <cell r="B226">
            <v>8022</v>
          </cell>
          <cell r="C226" t="str">
            <v>CP ASSOCIAÇÃO CRECHE ESPERANÇA - MAGALHÃES BASTOS</v>
          </cell>
          <cell r="F226">
            <v>1</v>
          </cell>
          <cell r="G226">
            <v>1</v>
          </cell>
          <cell r="H226">
            <v>2</v>
          </cell>
        </row>
        <row r="227">
          <cell r="B227">
            <v>8023</v>
          </cell>
          <cell r="C227" t="str">
            <v>CP CRECHE COMUNITÁRIA IRMÃ MARIA DE LOURDES</v>
          </cell>
          <cell r="G227">
            <v>1</v>
          </cell>
          <cell r="H227">
            <v>1</v>
          </cell>
        </row>
        <row r="228">
          <cell r="B228">
            <v>8024</v>
          </cell>
          <cell r="C228" t="str">
            <v>CP CEM CRECHE ESCOLA MACHADO - UNIDADE I</v>
          </cell>
        </row>
        <row r="229">
          <cell r="B229">
            <v>8025</v>
          </cell>
          <cell r="C229" t="str">
            <v>CP ASSOCIAÇÃO RECREATIVA MONIZ BARRETO</v>
          </cell>
          <cell r="F229">
            <v>2</v>
          </cell>
          <cell r="G229">
            <v>2</v>
          </cell>
          <cell r="H229">
            <v>4</v>
          </cell>
        </row>
        <row r="230">
          <cell r="B230">
            <v>8026</v>
          </cell>
          <cell r="C230" t="str">
            <v>CP CRECHE COMUNITÁRIA SNOOPY</v>
          </cell>
          <cell r="G230">
            <v>1</v>
          </cell>
          <cell r="H230">
            <v>1</v>
          </cell>
        </row>
        <row r="231">
          <cell r="B231">
            <v>8027</v>
          </cell>
          <cell r="C231" t="str">
            <v>CP CENTRO EDUCACIONAL MUNDO DA MÔNICA</v>
          </cell>
          <cell r="G231">
            <v>1</v>
          </cell>
          <cell r="H231">
            <v>1</v>
          </cell>
        </row>
        <row r="232">
          <cell r="B232">
            <v>8018</v>
          </cell>
          <cell r="C232" t="str">
            <v>CP CRECHE COMUNITÁRIA ESTRELINHA</v>
          </cell>
          <cell r="F232">
            <v>1</v>
          </cell>
          <cell r="H232">
            <v>1</v>
          </cell>
        </row>
        <row r="233">
          <cell r="B233">
            <v>10001</v>
          </cell>
          <cell r="C233" t="str">
            <v>CP ESCOLA COMUNITÁRIA JARDIM DE INFÂNCIA TIA ANASTÁCIA</v>
          </cell>
          <cell r="G233">
            <v>1</v>
          </cell>
          <cell r="H233">
            <v>1</v>
          </cell>
        </row>
        <row r="234">
          <cell r="B234">
            <v>10004</v>
          </cell>
          <cell r="C234" t="str">
            <v>CP ESCOLA COMUNITÁRIA JARDIM BALÃO MÁGICO</v>
          </cell>
        </row>
        <row r="235">
          <cell r="B235">
            <v>10005</v>
          </cell>
          <cell r="C235" t="str">
            <v>CP CRECHE COMUNITÁRIA JARDIM PEDRA AZUL</v>
          </cell>
          <cell r="F235">
            <v>1</v>
          </cell>
          <cell r="H235">
            <v>1</v>
          </cell>
        </row>
        <row r="236">
          <cell r="B236">
            <v>10006</v>
          </cell>
          <cell r="C236" t="str">
            <v>CP CRECHE ESCOLA COMUNITÁRIA ISMÊNIA RIBEIRO</v>
          </cell>
          <cell r="F236">
            <v>2</v>
          </cell>
          <cell r="G236">
            <v>2</v>
          </cell>
          <cell r="H236">
            <v>4</v>
          </cell>
        </row>
        <row r="237">
          <cell r="B237">
            <v>10008</v>
          </cell>
          <cell r="C237" t="str">
            <v>CP CRECHE COMUNITÁRIA JARDIM ESPERANÇA</v>
          </cell>
          <cell r="G237">
            <v>2</v>
          </cell>
          <cell r="H237">
            <v>2</v>
          </cell>
        </row>
        <row r="238">
          <cell r="B238">
            <v>10009</v>
          </cell>
          <cell r="C238" t="str">
            <v>CP JARDIM ESCOLA ERNESTO FAGUNDES VARELA</v>
          </cell>
          <cell r="F238">
            <v>2</v>
          </cell>
          <cell r="H238">
            <v>2</v>
          </cell>
        </row>
        <row r="239">
          <cell r="B239">
            <v>10010</v>
          </cell>
          <cell r="C239" t="str">
            <v>CP ESCOLA COMUNITÁRIA JARDIM ARCO-ÍRIS</v>
          </cell>
          <cell r="G239">
            <v>2</v>
          </cell>
          <cell r="H239">
            <v>2</v>
          </cell>
        </row>
        <row r="240">
          <cell r="B240">
            <v>10011</v>
          </cell>
          <cell r="C240" t="str">
            <v>CP SEMPRE VIDA</v>
          </cell>
          <cell r="G240">
            <v>1</v>
          </cell>
          <cell r="H240">
            <v>1</v>
          </cell>
        </row>
        <row r="241">
          <cell r="B241">
            <v>10013</v>
          </cell>
          <cell r="C241" t="str">
            <v>CP ESCOLA COMUNITÁRIA ENCANTO DE MARIA</v>
          </cell>
          <cell r="F241">
            <v>1</v>
          </cell>
          <cell r="H241">
            <v>1</v>
          </cell>
        </row>
        <row r="242">
          <cell r="B242">
            <v>10014</v>
          </cell>
          <cell r="C242" t="str">
            <v>CP CRECHE COMUNITÁRIA SÃO JOÃO BATISTA</v>
          </cell>
        </row>
        <row r="243">
          <cell r="B243">
            <v>10018</v>
          </cell>
          <cell r="C243" t="str">
            <v>CP CRECHE ESCOLA COMUNITÁRIA SÍTIO ALEGRE</v>
          </cell>
          <cell r="G243">
            <v>2</v>
          </cell>
          <cell r="H243">
            <v>2</v>
          </cell>
        </row>
        <row r="244">
          <cell r="B244">
            <v>10019</v>
          </cell>
          <cell r="C244" t="str">
            <v>CP ESCOLA COMUNITÁRIA JARDIM ALEXANDRINO</v>
          </cell>
          <cell r="F244">
            <v>1</v>
          </cell>
          <cell r="G244">
            <v>3</v>
          </cell>
          <cell r="H244">
            <v>4</v>
          </cell>
        </row>
        <row r="245">
          <cell r="B245">
            <v>10020</v>
          </cell>
          <cell r="C245" t="str">
            <v>CP CASA MATERNAL NOSSA SENHORA DE NAZARÉ</v>
          </cell>
          <cell r="F245">
            <v>1</v>
          </cell>
          <cell r="G245">
            <v>2</v>
          </cell>
          <cell r="H245">
            <v>3</v>
          </cell>
        </row>
        <row r="246">
          <cell r="B246">
            <v>10022</v>
          </cell>
          <cell r="C246" t="str">
            <v>CP ASSOCIAÇÃO DE MORADORES E AMIGOS DO PARQUE ESTORIL - AMAPE</v>
          </cell>
          <cell r="G246">
            <v>1</v>
          </cell>
          <cell r="H246">
            <v>1</v>
          </cell>
        </row>
        <row r="247">
          <cell r="B247">
            <v>10023</v>
          </cell>
          <cell r="C247" t="str">
            <v>CP CRECHE ESCOLA SOSSEGO DA MAMÃE</v>
          </cell>
          <cell r="G247">
            <v>2</v>
          </cell>
          <cell r="H247">
            <v>2</v>
          </cell>
        </row>
        <row r="248">
          <cell r="B248">
            <v>10024</v>
          </cell>
          <cell r="C248" t="str">
            <v>CP CRECHE COMUNITÁRIA MUNDO ENCANTADO DA CRIANÇA</v>
          </cell>
          <cell r="F248">
            <v>1</v>
          </cell>
          <cell r="H248">
            <v>1</v>
          </cell>
        </row>
        <row r="249">
          <cell r="B249">
            <v>10026</v>
          </cell>
          <cell r="C249" t="str">
            <v>CP CRECHE E ESCOLA COMUNITÁRIA GENTE BAIXINHA I</v>
          </cell>
          <cell r="F249">
            <v>2</v>
          </cell>
          <cell r="G249">
            <v>6</v>
          </cell>
          <cell r="H249">
            <v>8</v>
          </cell>
        </row>
        <row r="250">
          <cell r="B250">
            <v>10027</v>
          </cell>
          <cell r="C250" t="str">
            <v>CP CRECHE CASULO AGOSTINHO - SANTA CRUZ</v>
          </cell>
          <cell r="G250">
            <v>3</v>
          </cell>
          <cell r="H250">
            <v>3</v>
          </cell>
        </row>
        <row r="251">
          <cell r="B251">
            <v>10028</v>
          </cell>
          <cell r="C251" t="str">
            <v>CP CRECHE CASULO AGOSTINHO - VERIDIANA</v>
          </cell>
          <cell r="G251">
            <v>1</v>
          </cell>
          <cell r="H251">
            <v>1</v>
          </cell>
        </row>
        <row r="252">
          <cell r="B252">
            <v>10029</v>
          </cell>
          <cell r="C252" t="str">
            <v>CP ASSOCIAÇÃO DE MORADORES DAS MORADAS DO IMPÉRIO</v>
          </cell>
        </row>
        <row r="253">
          <cell r="B253">
            <v>10030</v>
          </cell>
          <cell r="C253" t="str">
            <v>CP INSTITUTO AVELINO - GUARATIBA</v>
          </cell>
        </row>
        <row r="254">
          <cell r="B254">
            <v>10032</v>
          </cell>
          <cell r="C254" t="str">
            <v>CP CRECHE COMUNITÁRIA MUNDO MÁGICO</v>
          </cell>
          <cell r="F254">
            <v>1</v>
          </cell>
          <cell r="G254">
            <v>2</v>
          </cell>
          <cell r="H254">
            <v>3</v>
          </cell>
        </row>
        <row r="255">
          <cell r="B255">
            <v>10033</v>
          </cell>
          <cell r="C255" t="str">
            <v>CP PROJETO QUEBRA CABEÇA</v>
          </cell>
          <cell r="F255">
            <v>1</v>
          </cell>
          <cell r="G255">
            <v>1</v>
          </cell>
          <cell r="H255">
            <v>2</v>
          </cell>
        </row>
        <row r="256">
          <cell r="B256">
            <v>10034</v>
          </cell>
          <cell r="C256" t="str">
            <v>CP OS BENEDITINHOS</v>
          </cell>
          <cell r="F256">
            <v>2</v>
          </cell>
          <cell r="G256">
            <v>2</v>
          </cell>
          <cell r="H256">
            <v>4</v>
          </cell>
        </row>
        <row r="257">
          <cell r="B257">
            <v>10035</v>
          </cell>
          <cell r="C257" t="str">
            <v>CP ESCOLA COMUNITÁRIA JARDIM DE INFÂNCIA CHAVE DO TAMANHO</v>
          </cell>
        </row>
        <row r="258">
          <cell r="B258">
            <v>10036</v>
          </cell>
          <cell r="C258" t="str">
            <v>CP CAAD DONA ZULMIRA TELLES</v>
          </cell>
        </row>
        <row r="259">
          <cell r="B259">
            <v>10037</v>
          </cell>
          <cell r="C259" t="str">
            <v>CP CAAD - COMITÊ DE ATENDIMENTO À CRIANÇA E AO ADOLESCENTE</v>
          </cell>
          <cell r="G259">
            <v>1</v>
          </cell>
          <cell r="H259">
            <v>1</v>
          </cell>
        </row>
        <row r="260">
          <cell r="B260">
            <v>10039</v>
          </cell>
          <cell r="C260" t="str">
            <v>CP FUNDAÇÃO KLINGNER PARA O DESENVOLVIMENTO SOCIAL</v>
          </cell>
          <cell r="E260">
            <v>1</v>
          </cell>
          <cell r="F260">
            <v>1</v>
          </cell>
          <cell r="G260">
            <v>7</v>
          </cell>
          <cell r="H260">
            <v>9</v>
          </cell>
        </row>
        <row r="261">
          <cell r="B261">
            <v>10040</v>
          </cell>
          <cell r="C261" t="str">
            <v>CP CICIM I</v>
          </cell>
          <cell r="G261">
            <v>3</v>
          </cell>
          <cell r="H261">
            <v>3</v>
          </cell>
        </row>
        <row r="262">
          <cell r="B262">
            <v>10041</v>
          </cell>
          <cell r="C262" t="str">
            <v>CP CRECHE BEZERRA DE MENEZES - SANTA CRUZ</v>
          </cell>
          <cell r="F262">
            <v>2</v>
          </cell>
          <cell r="G262">
            <v>3</v>
          </cell>
          <cell r="H262">
            <v>5</v>
          </cell>
        </row>
        <row r="263">
          <cell r="B263">
            <v>10042</v>
          </cell>
          <cell r="C263" t="str">
            <v>CP CICIM II</v>
          </cell>
          <cell r="G263">
            <v>1</v>
          </cell>
          <cell r="H263">
            <v>1</v>
          </cell>
        </row>
        <row r="264">
          <cell r="B264">
            <v>10043</v>
          </cell>
          <cell r="C264" t="str">
            <v>CP CRECHE CANTINHO CASLU</v>
          </cell>
        </row>
        <row r="265">
          <cell r="B265">
            <v>10044</v>
          </cell>
          <cell r="C265" t="str">
            <v>CP CRECHE COMUNITÁRIA MAGIA DA CRIANÇA</v>
          </cell>
        </row>
        <row r="266">
          <cell r="B266">
            <v>10045</v>
          </cell>
          <cell r="C266" t="str">
            <v>CP ESPAÇO CRIATIVO ERA UMA VEZ</v>
          </cell>
          <cell r="G266">
            <v>4</v>
          </cell>
          <cell r="H266">
            <v>4</v>
          </cell>
        </row>
        <row r="267">
          <cell r="B267">
            <v>10046</v>
          </cell>
          <cell r="C267" t="str">
            <v>CP CRECHE COMUNITÁRIA DEUS É FIEL - CCDF</v>
          </cell>
        </row>
        <row r="268">
          <cell r="B268">
            <v>10047</v>
          </cell>
          <cell r="C268" t="str">
            <v>CP CENTRO CULTURAL MONTESSORI - SANTA CRUZ</v>
          </cell>
          <cell r="G268">
            <v>2</v>
          </cell>
          <cell r="H268">
            <v>2</v>
          </cell>
        </row>
        <row r="269">
          <cell r="B269">
            <v>10051</v>
          </cell>
          <cell r="C269" t="str">
            <v>CP CRECHE COMUNITÁRIA DEUS É FIEL - UNIDADE VI</v>
          </cell>
        </row>
        <row r="270">
          <cell r="B270">
            <v>10052</v>
          </cell>
          <cell r="C270" t="str">
            <v>CP CRECHE COMUNITÁRIA DEUS É FIEL - UNIDADE VII</v>
          </cell>
        </row>
        <row r="271">
          <cell r="B271">
            <v>10053</v>
          </cell>
          <cell r="C271" t="str">
            <v>CP CRECHE COMUNITÁRIA GÊNIO DO FUTURO</v>
          </cell>
          <cell r="F271">
            <v>2</v>
          </cell>
          <cell r="G271">
            <v>2</v>
          </cell>
          <cell r="H271">
            <v>4</v>
          </cell>
        </row>
        <row r="272">
          <cell r="B272">
            <v>10054</v>
          </cell>
          <cell r="C272" t="str">
            <v>CP CRECHE COMUNITÁRIA AQUARELA DO SABER</v>
          </cell>
        </row>
        <row r="273">
          <cell r="B273">
            <v>10055</v>
          </cell>
          <cell r="C273" t="str">
            <v>CP ESPAÇO DE DESENVOLVIMENTO MÃE GAIA</v>
          </cell>
          <cell r="G273">
            <v>2</v>
          </cell>
          <cell r="H273">
            <v>2</v>
          </cell>
        </row>
        <row r="274">
          <cell r="B274">
            <v>10056</v>
          </cell>
          <cell r="C274" t="str">
            <v>CP CRECHE MUNDO DA BIBI</v>
          </cell>
          <cell r="F274">
            <v>1</v>
          </cell>
          <cell r="G274">
            <v>2</v>
          </cell>
          <cell r="H274">
            <v>3</v>
          </cell>
        </row>
        <row r="275">
          <cell r="B275">
            <v>10057</v>
          </cell>
          <cell r="C275" t="str">
            <v>CP CENTRO CULTURAL MONTESSORI - PACIÊNCIA</v>
          </cell>
          <cell r="G275">
            <v>4</v>
          </cell>
          <cell r="H275">
            <v>4</v>
          </cell>
        </row>
        <row r="276">
          <cell r="B276">
            <v>10058</v>
          </cell>
          <cell r="C276" t="str">
            <v>CP CRECHE ESCOLA COMUNITÁRIA MALLETZINHO</v>
          </cell>
          <cell r="F276">
            <v>1</v>
          </cell>
          <cell r="G276">
            <v>1</v>
          </cell>
          <cell r="H276">
            <v>2</v>
          </cell>
        </row>
        <row r="277">
          <cell r="B277">
            <v>10059</v>
          </cell>
          <cell r="C277" t="str">
            <v>CP CRECHE COMUNITÁRIA PLANETA BEBÊ</v>
          </cell>
          <cell r="G277">
            <v>1</v>
          </cell>
          <cell r="H277">
            <v>1</v>
          </cell>
        </row>
        <row r="278">
          <cell r="B278">
            <v>10060</v>
          </cell>
          <cell r="C278" t="str">
            <v>CP CRECHE COMUNITÁRIA JARDIM DO CONHECIMENTO</v>
          </cell>
          <cell r="F278">
            <v>1</v>
          </cell>
          <cell r="G278">
            <v>1</v>
          </cell>
          <cell r="H278">
            <v>2</v>
          </cell>
        </row>
        <row r="279">
          <cell r="B279">
            <v>10061</v>
          </cell>
          <cell r="C279" t="str">
            <v>CP CRECHE COMUNITÁRIA ESTRELA DO AMANHÃ</v>
          </cell>
        </row>
        <row r="280">
          <cell r="B280">
            <v>10062</v>
          </cell>
          <cell r="C280" t="str">
            <v>CP CENTRO CULTURAL DE DESENVOLVIMENTO INFANTIL JOÃO BATISTA</v>
          </cell>
          <cell r="F280">
            <v>1</v>
          </cell>
          <cell r="G280">
            <v>2</v>
          </cell>
          <cell r="H280">
            <v>3</v>
          </cell>
        </row>
        <row r="281">
          <cell r="B281">
            <v>10063</v>
          </cell>
          <cell r="C281" t="str">
            <v>CP CRECHE COMUNITÁRIA UNIVERSO INFANTIL</v>
          </cell>
          <cell r="F281">
            <v>2</v>
          </cell>
          <cell r="G281">
            <v>2</v>
          </cell>
          <cell r="H281">
            <v>4</v>
          </cell>
        </row>
        <row r="282">
          <cell r="B282">
            <v>10064</v>
          </cell>
          <cell r="C282" t="str">
            <v>CP CRECHE COMUNITÁRIA CORAÇÃO DE MÃE</v>
          </cell>
          <cell r="F282">
            <v>2</v>
          </cell>
          <cell r="G282">
            <v>1</v>
          </cell>
          <cell r="H282">
            <v>3</v>
          </cell>
        </row>
        <row r="283">
          <cell r="B283">
            <v>10065</v>
          </cell>
          <cell r="C283" t="str">
            <v>CP CRECHE MAGIA DA CRIANÇA II</v>
          </cell>
          <cell r="G283">
            <v>1</v>
          </cell>
          <cell r="H283">
            <v>1</v>
          </cell>
        </row>
        <row r="284">
          <cell r="B284">
            <v>10066</v>
          </cell>
          <cell r="C284" t="str">
            <v>CP CRECHE COMUNITÁRIA ARTE &amp; CULTURA</v>
          </cell>
        </row>
        <row r="285">
          <cell r="B285">
            <v>10067</v>
          </cell>
          <cell r="C285" t="str">
            <v>CP CRECHE COMUNITÁRIA ARCA DE NOÉ</v>
          </cell>
          <cell r="F285">
            <v>1</v>
          </cell>
          <cell r="G285">
            <v>5</v>
          </cell>
          <cell r="H285">
            <v>6</v>
          </cell>
        </row>
        <row r="286">
          <cell r="B286">
            <v>10068</v>
          </cell>
          <cell r="C286" t="str">
            <v>CP CRECHE COMUNITÁRIA TIA NEIDE - GUARATIBA</v>
          </cell>
          <cell r="G286">
            <v>1</v>
          </cell>
          <cell r="H286">
            <v>1</v>
          </cell>
        </row>
        <row r="287">
          <cell r="B287">
            <v>10069</v>
          </cell>
          <cell r="C287" t="str">
            <v>CP CRECHE E ESCOLA COMUNITÁRIA GENTE BAIXINHA II</v>
          </cell>
          <cell r="F287">
            <v>1</v>
          </cell>
          <cell r="H287">
            <v>1</v>
          </cell>
        </row>
        <row r="288">
          <cell r="B288">
            <v>10070</v>
          </cell>
          <cell r="C288" t="str">
            <v>CP PEDACINHO DO CÉU</v>
          </cell>
        </row>
        <row r="289">
          <cell r="B289">
            <v>10071</v>
          </cell>
          <cell r="C289" t="str">
            <v>CP CRECHE COMUNITÁRIA ARTE &amp; CULTURA - UNIDADE I</v>
          </cell>
        </row>
        <row r="290">
          <cell r="B290">
            <v>10072</v>
          </cell>
          <cell r="C290" t="str">
            <v>CP CRECHE COMUNITÁRIA DEUS É FIEL - UNIDADE X</v>
          </cell>
        </row>
        <row r="291">
          <cell r="B291">
            <v>10073</v>
          </cell>
          <cell r="C291" t="str">
            <v>CP NINHO CARIOCA</v>
          </cell>
        </row>
        <row r="292">
          <cell r="B292">
            <v>10074</v>
          </cell>
          <cell r="C292" t="str">
            <v>CP CRECHE COMUNITÁRIA MUNDO MÁGICO II</v>
          </cell>
        </row>
        <row r="293">
          <cell r="B293">
            <v>10075</v>
          </cell>
          <cell r="C293" t="str">
            <v>CP CRECHE COMUNITÁRIA PEDACINHO DE CÉU</v>
          </cell>
        </row>
        <row r="294">
          <cell r="B294">
            <v>10076</v>
          </cell>
          <cell r="C294" t="str">
            <v>CP ESPAÇO DE DESENVOLVIMENTO MÃE GAIA - UNIDADE I</v>
          </cell>
        </row>
        <row r="295">
          <cell r="B295">
            <v>10077</v>
          </cell>
          <cell r="C295" t="str">
            <v>CP CRECHE COMUNITÁRIA CANTINHO DO SABER</v>
          </cell>
          <cell r="G295">
            <v>1</v>
          </cell>
          <cell r="H295">
            <v>1</v>
          </cell>
        </row>
        <row r="296">
          <cell r="B296">
            <v>10078</v>
          </cell>
          <cell r="C296" t="str">
            <v>CP CRECHE COMUNITÁRIA CRIANÇA FELIZ</v>
          </cell>
        </row>
        <row r="297">
          <cell r="B297">
            <v>10079</v>
          </cell>
          <cell r="C297" t="str">
            <v>CP CRECHE COMUNITÁRIA DEUS É FIEL - UNIDADE VIII</v>
          </cell>
        </row>
        <row r="298">
          <cell r="B298">
            <v>10080</v>
          </cell>
          <cell r="C298" t="str">
            <v>CP ASSOCIAÇÃO CENTRO EDUCACIONAL REBRAL XII (GUARATIBA)</v>
          </cell>
          <cell r="G298">
            <v>1</v>
          </cell>
          <cell r="H298">
            <v>1</v>
          </cell>
        </row>
        <row r="299">
          <cell r="B299">
            <v>10081</v>
          </cell>
          <cell r="C299" t="str">
            <v>CP CENTRO EDUCACIONAL ESTRELA DO AMANHÃ</v>
          </cell>
          <cell r="E299">
            <v>1</v>
          </cell>
          <cell r="F299">
            <v>1</v>
          </cell>
          <cell r="G299">
            <v>3</v>
          </cell>
          <cell r="H299">
            <v>5</v>
          </cell>
        </row>
        <row r="300">
          <cell r="B300">
            <v>10082</v>
          </cell>
          <cell r="C300" t="str">
            <v>CP CRECHE ESCOLA BAIXINHOS SABIDOS</v>
          </cell>
        </row>
        <row r="301">
          <cell r="B301">
            <v>10083</v>
          </cell>
          <cell r="C301" t="str">
            <v>CP CRECHE COMUNITÁRIA CRISTÃ CORDEIRINHO DE CRISTO</v>
          </cell>
        </row>
        <row r="302">
          <cell r="B302">
            <v>10084</v>
          </cell>
          <cell r="C302" t="str">
            <v>CP CRECHE COMUNITÁRIA AQUARELA DO SABER (GUARATIBA)</v>
          </cell>
        </row>
        <row r="303">
          <cell r="B303">
            <v>10085</v>
          </cell>
          <cell r="C303" t="str">
            <v>CP INSTITUTO DE AÇÃO SOCIAL VIDA</v>
          </cell>
          <cell r="F303">
            <v>1</v>
          </cell>
          <cell r="G303">
            <v>1</v>
          </cell>
          <cell r="H303">
            <v>2</v>
          </cell>
        </row>
        <row r="304">
          <cell r="B304">
            <v>11001</v>
          </cell>
          <cell r="C304" t="str">
            <v>CP CRECHE COMUNITÁRIA ALEGRIA DA CRIANÇA</v>
          </cell>
        </row>
        <row r="305">
          <cell r="B305">
            <v>11003</v>
          </cell>
          <cell r="C305" t="str">
            <v>CP AMIG - ASSOCIAÇÃO DOS MORADORES DA ILHA DO GOVERNADOR</v>
          </cell>
          <cell r="E305">
            <v>1</v>
          </cell>
          <cell r="F305">
            <v>1</v>
          </cell>
          <cell r="G305">
            <v>2</v>
          </cell>
          <cell r="H305">
            <v>4</v>
          </cell>
        </row>
        <row r="306">
          <cell r="B306">
            <v>11004</v>
          </cell>
          <cell r="C306" t="str">
            <v>CP CENTRO DE ATIVIDADES EDUCACIONAIS E CULTURAIS ARCA DE NOÉ - CAECAN</v>
          </cell>
          <cell r="F306">
            <v>2</v>
          </cell>
          <cell r="G306">
            <v>2</v>
          </cell>
          <cell r="H306">
            <v>4</v>
          </cell>
        </row>
        <row r="307">
          <cell r="B307">
            <v>11006</v>
          </cell>
          <cell r="C307" t="str">
            <v>CP CRECHE CASULO DO DENDÊ</v>
          </cell>
        </row>
        <row r="308">
          <cell r="B308">
            <v>11007</v>
          </cell>
          <cell r="C308" t="str">
            <v>CP CRECHE ESFERA KIDS</v>
          </cell>
          <cell r="F308">
            <v>1</v>
          </cell>
          <cell r="G308">
            <v>2</v>
          </cell>
          <cell r="H308">
            <v>3</v>
          </cell>
        </row>
        <row r="309">
          <cell r="B309">
            <v>11008</v>
          </cell>
          <cell r="C309" t="str">
            <v>CP FILIAL BANCÁRIOS - RJ</v>
          </cell>
          <cell r="E309">
            <v>1</v>
          </cell>
          <cell r="H309">
            <v>1</v>
          </cell>
        </row>
        <row r="310">
          <cell r="B310">
            <v>11009</v>
          </cell>
          <cell r="C310" t="str">
            <v>CP CRECHE COMUNITÁRIA IRMÃ MOROCHA</v>
          </cell>
          <cell r="F310">
            <v>1</v>
          </cell>
          <cell r="G310">
            <v>1</v>
          </cell>
          <cell r="H310">
            <v>2</v>
          </cell>
        </row>
        <row r="311">
          <cell r="B311">
            <v>11010</v>
          </cell>
          <cell r="C311" t="str">
            <v>CP CHALÉ SEMENTINHA (ILHA DO GOVERNADOR)</v>
          </cell>
          <cell r="F311">
            <v>1</v>
          </cell>
          <cell r="H311">
            <v>1</v>
          </cell>
        </row>
        <row r="312">
          <cell r="B312">
            <v>9001</v>
          </cell>
          <cell r="C312" t="str">
            <v>CP CRECHE COMUNITÁRIA SANTA RITA</v>
          </cell>
        </row>
        <row r="313">
          <cell r="B313">
            <v>9002</v>
          </cell>
          <cell r="C313" t="str">
            <v>CP CRECHE SAGRADA FAMÍLIA</v>
          </cell>
          <cell r="G313">
            <v>1</v>
          </cell>
          <cell r="H313">
            <v>1</v>
          </cell>
        </row>
        <row r="314">
          <cell r="B314">
            <v>9003</v>
          </cell>
          <cell r="C314" t="str">
            <v>CP CRECHE SÃO JORGE</v>
          </cell>
        </row>
        <row r="315">
          <cell r="B315">
            <v>9004</v>
          </cell>
          <cell r="C315" t="str">
            <v>CP CRECHE E PRÉ-ESCOLA CANTINHO DO SABER</v>
          </cell>
          <cell r="F315">
            <v>1</v>
          </cell>
          <cell r="G315">
            <v>5</v>
          </cell>
          <cell r="H315">
            <v>6</v>
          </cell>
        </row>
        <row r="316">
          <cell r="B316">
            <v>9007</v>
          </cell>
          <cell r="C316" t="str">
            <v>CP INSTITUTO AVELINO - CAMPO GRANDE</v>
          </cell>
        </row>
        <row r="317">
          <cell r="B317">
            <v>9009</v>
          </cell>
          <cell r="C317" t="str">
            <v>CP CRECHE COMUNITÁRIA CRIANÇAS DE OURO</v>
          </cell>
        </row>
        <row r="318">
          <cell r="B318">
            <v>9010</v>
          </cell>
          <cell r="C318" t="str">
            <v>CP CRECHE JARDIM ESCOLA RIO DA PRATA</v>
          </cell>
          <cell r="F318">
            <v>2</v>
          </cell>
          <cell r="G318">
            <v>4</v>
          </cell>
          <cell r="H318">
            <v>6</v>
          </cell>
        </row>
        <row r="319">
          <cell r="B319">
            <v>9013</v>
          </cell>
          <cell r="C319" t="str">
            <v>CP CRECHE COMUNITÁRIA SOL DO SABER</v>
          </cell>
          <cell r="G319">
            <v>3</v>
          </cell>
          <cell r="H319">
            <v>3</v>
          </cell>
        </row>
        <row r="320">
          <cell r="B320">
            <v>9014</v>
          </cell>
          <cell r="C320" t="str">
            <v>CP INSTITUTO DE ENSINO AVANÇADO</v>
          </cell>
          <cell r="G320">
            <v>1</v>
          </cell>
          <cell r="H320">
            <v>1</v>
          </cell>
        </row>
        <row r="321">
          <cell r="B321">
            <v>9018</v>
          </cell>
          <cell r="C321" t="str">
            <v>CP ESPAÇO DE DESENVOLVIMENTO CARIOQUINHA</v>
          </cell>
          <cell r="E321">
            <v>1</v>
          </cell>
          <cell r="H321">
            <v>1</v>
          </cell>
        </row>
        <row r="322">
          <cell r="B322">
            <v>9020</v>
          </cell>
          <cell r="C322" t="str">
            <v>CP ASSOCIAÇÃO DE MORADORES UNIÃO DAS BASES DE URUCÂNIA E ADJACÊNCIAS - CAMPO GRANDE</v>
          </cell>
          <cell r="F322">
            <v>1</v>
          </cell>
          <cell r="G322">
            <v>2</v>
          </cell>
          <cell r="H322">
            <v>3</v>
          </cell>
        </row>
        <row r="323">
          <cell r="B323">
            <v>9021</v>
          </cell>
          <cell r="C323" t="str">
            <v>CP INSTITUTO CRESCER &amp; APRENDER</v>
          </cell>
          <cell r="G323">
            <v>3</v>
          </cell>
          <cell r="H323">
            <v>3</v>
          </cell>
        </row>
        <row r="324">
          <cell r="B324">
            <v>9022</v>
          </cell>
          <cell r="C324" t="str">
            <v>CP ESPAÇO CRIATIVO CASTELINHO RINALDI</v>
          </cell>
          <cell r="F324">
            <v>1</v>
          </cell>
          <cell r="G324">
            <v>1</v>
          </cell>
          <cell r="H324">
            <v>2</v>
          </cell>
        </row>
        <row r="325">
          <cell r="B325">
            <v>9024</v>
          </cell>
          <cell r="C325" t="str">
            <v>CP CRECHE COMUNITÁRIA DOCE INFÂNCIA</v>
          </cell>
          <cell r="G325">
            <v>1</v>
          </cell>
          <cell r="H325">
            <v>1</v>
          </cell>
        </row>
        <row r="326">
          <cell r="B326">
            <v>9027</v>
          </cell>
          <cell r="C326" t="str">
            <v>CP INSTITUTO FRUTIFICAR</v>
          </cell>
          <cell r="F326">
            <v>1</v>
          </cell>
          <cell r="H326">
            <v>1</v>
          </cell>
        </row>
        <row r="327">
          <cell r="B327">
            <v>9028</v>
          </cell>
          <cell r="C327" t="str">
            <v>CP CRECHE COMUNITÁRIA ALÉM DO ARCO-ÍRIS</v>
          </cell>
          <cell r="F327">
            <v>2</v>
          </cell>
          <cell r="G327">
            <v>1</v>
          </cell>
          <cell r="H327">
            <v>3</v>
          </cell>
        </row>
        <row r="328">
          <cell r="B328">
            <v>9029</v>
          </cell>
          <cell r="C328" t="str">
            <v>CP INSTITUTO CRECHE DO PAPAI</v>
          </cell>
          <cell r="G328">
            <v>1</v>
          </cell>
          <cell r="H328">
            <v>1</v>
          </cell>
        </row>
        <row r="329">
          <cell r="B329">
            <v>9030</v>
          </cell>
          <cell r="C329" t="str">
            <v>CP ESPAÇO DE DESENVOLVIMENTO PEDRITA</v>
          </cell>
          <cell r="F329">
            <v>1</v>
          </cell>
          <cell r="G329">
            <v>1</v>
          </cell>
          <cell r="H329">
            <v>2</v>
          </cell>
        </row>
        <row r="330">
          <cell r="B330">
            <v>9031</v>
          </cell>
          <cell r="C330" t="str">
            <v>CP ESPAÇO CRIATIVO TURMINHA DO BAIRRO</v>
          </cell>
          <cell r="G330">
            <v>1</v>
          </cell>
          <cell r="H330">
            <v>1</v>
          </cell>
        </row>
        <row r="331">
          <cell r="B331">
            <v>9034</v>
          </cell>
          <cell r="C331" t="str">
            <v>CP CRECHE COMUNITÁRIA ARTE DA CRIANÇA</v>
          </cell>
          <cell r="E331">
            <v>1</v>
          </cell>
          <cell r="F331">
            <v>1</v>
          </cell>
          <cell r="G331">
            <v>1</v>
          </cell>
          <cell r="H331">
            <v>3</v>
          </cell>
        </row>
        <row r="332">
          <cell r="B332">
            <v>9035</v>
          </cell>
          <cell r="C332" t="str">
            <v>CP INSTITUTO CRESCER E APRENDER - FILIAL</v>
          </cell>
        </row>
        <row r="333">
          <cell r="B333">
            <v>9036</v>
          </cell>
          <cell r="C333" t="str">
            <v>CP INSTITUTO CONSTRUINDO AMANHÃ</v>
          </cell>
          <cell r="G333">
            <v>2</v>
          </cell>
          <cell r="H333">
            <v>2</v>
          </cell>
        </row>
        <row r="334">
          <cell r="B334">
            <v>9037</v>
          </cell>
          <cell r="C334" t="str">
            <v>CP CRECHE COMUNITÁRIA AURINA</v>
          </cell>
        </row>
        <row r="335">
          <cell r="B335">
            <v>9039</v>
          </cell>
          <cell r="C335" t="str">
            <v>CP CRECHE COMUNITÁRIA ESTRELINHA DO SABER</v>
          </cell>
        </row>
        <row r="336">
          <cell r="B336">
            <v>9040</v>
          </cell>
          <cell r="C336" t="str">
            <v>CP CRECHE E ESCOLA COMUNITARIA GENTE BAIXINHA - UNIDADE COSMOS</v>
          </cell>
        </row>
        <row r="337">
          <cell r="B337">
            <v>9043</v>
          </cell>
          <cell r="C337" t="str">
            <v>CP CRECHE COMUNITÁRIA RIBEIRO</v>
          </cell>
        </row>
        <row r="338">
          <cell r="B338">
            <v>9044</v>
          </cell>
          <cell r="C338" t="str">
            <v>CP CRECHE COMUNITÁRIA JARDIM FELIZ</v>
          </cell>
          <cell r="G338">
            <v>2</v>
          </cell>
          <cell r="H338">
            <v>2</v>
          </cell>
        </row>
        <row r="339">
          <cell r="B339">
            <v>9046</v>
          </cell>
          <cell r="C339" t="str">
            <v>CP CRECHE COMUNITÁRIA URSINHO PIMPÃO</v>
          </cell>
          <cell r="F339">
            <v>1</v>
          </cell>
          <cell r="G339">
            <v>1</v>
          </cell>
          <cell r="H339">
            <v>2</v>
          </cell>
        </row>
        <row r="340">
          <cell r="B340">
            <v>9023</v>
          </cell>
          <cell r="C340" t="str">
            <v>CP ESPAÇO CRIATIVO SALOMÃO</v>
          </cell>
          <cell r="F340">
            <v>1</v>
          </cell>
          <cell r="G340">
            <v>1</v>
          </cell>
          <cell r="H340">
            <v>2</v>
          </cell>
        </row>
        <row r="341">
          <cell r="B341">
            <v>9008</v>
          </cell>
          <cell r="C341" t="str">
            <v>CP CRECHE COMUNITÁRIA ANA &amp; LU</v>
          </cell>
          <cell r="E341">
            <v>1</v>
          </cell>
          <cell r="G341">
            <v>1</v>
          </cell>
          <cell r="H341">
            <v>2</v>
          </cell>
        </row>
        <row r="342">
          <cell r="B342">
            <v>9011</v>
          </cell>
          <cell r="C342" t="str">
            <v>CP CRECHE NOVA JERUSALÉM EM CAMPO GRANDE</v>
          </cell>
          <cell r="E342">
            <v>1</v>
          </cell>
          <cell r="F342">
            <v>2</v>
          </cell>
          <cell r="G342">
            <v>1</v>
          </cell>
          <cell r="H342">
            <v>4</v>
          </cell>
        </row>
        <row r="343">
          <cell r="B343">
            <v>9012</v>
          </cell>
          <cell r="C343" t="str">
            <v>CP CRECHE COMUNITÁRIA TIA NEIDE - CAMPO GRANDE</v>
          </cell>
        </row>
        <row r="344">
          <cell r="B344">
            <v>9019</v>
          </cell>
          <cell r="C344" t="str">
            <v>CP ASSOCIAÇÃO DE MORADORES UNIÃO DAS BASES DE URUCÂNIA E ADJACÊNCIAS - COSMOS</v>
          </cell>
          <cell r="G344">
            <v>3</v>
          </cell>
          <cell r="H344">
            <v>3</v>
          </cell>
        </row>
        <row r="345">
          <cell r="B345">
            <v>9032</v>
          </cell>
          <cell r="C345" t="str">
            <v>CP CRECHE COMUNITÁRIA SOLDADINHO DE DEUS</v>
          </cell>
          <cell r="G345">
            <v>1</v>
          </cell>
          <cell r="H345">
            <v>1</v>
          </cell>
        </row>
        <row r="346">
          <cell r="B346">
            <v>9038</v>
          </cell>
          <cell r="C346" t="str">
            <v>CP CRECHE ESCOLA MACHADO UNIDADE II</v>
          </cell>
        </row>
        <row r="347">
          <cell r="B347">
            <v>9042</v>
          </cell>
          <cell r="C347" t="str">
            <v>CP CRECHE PEQUENA CANAÃ</v>
          </cell>
        </row>
        <row r="348">
          <cell r="B348">
            <v>9017</v>
          </cell>
          <cell r="C348" t="str">
            <v>CP ESPAÇO CRESCER</v>
          </cell>
          <cell r="F348">
            <v>2</v>
          </cell>
          <cell r="G348">
            <v>3</v>
          </cell>
          <cell r="H348">
            <v>5</v>
          </cell>
        </row>
        <row r="349">
          <cell r="B349">
            <v>9025</v>
          </cell>
          <cell r="C349" t="str">
            <v>CP INSTITUTO Ô LUAR</v>
          </cell>
        </row>
        <row r="350">
          <cell r="B350">
            <v>9033</v>
          </cell>
          <cell r="C350" t="str">
            <v>CP INSTITUTO TEMPO DE CRIANÇA</v>
          </cell>
          <cell r="F350">
            <v>1</v>
          </cell>
          <cell r="G350">
            <v>1</v>
          </cell>
          <cell r="H350">
            <v>2</v>
          </cell>
        </row>
        <row r="351">
          <cell r="B351">
            <v>9041</v>
          </cell>
          <cell r="C351" t="str">
            <v>CP CRECHE COMUNITÁRIA PEQUENOS PASSOS</v>
          </cell>
        </row>
        <row r="352">
          <cell r="B352">
            <v>9045</v>
          </cell>
          <cell r="C352" t="str">
            <v>CP CRECHE PINTANDO SONHOS</v>
          </cell>
          <cell r="F352">
            <v>2</v>
          </cell>
          <cell r="H352">
            <v>2</v>
          </cell>
        </row>
        <row r="353">
          <cell r="B353">
            <v>9026</v>
          </cell>
          <cell r="C353" t="str">
            <v>CP CRECHE COMUNITÁRIA LEÃOZINHO FELIZ</v>
          </cell>
          <cell r="G353">
            <v>3</v>
          </cell>
          <cell r="H353">
            <v>3</v>
          </cell>
        </row>
        <row r="354">
          <cell r="D354">
            <v>1</v>
          </cell>
          <cell r="E354">
            <v>24</v>
          </cell>
          <cell r="F354">
            <v>193</v>
          </cell>
          <cell r="G354">
            <v>456</v>
          </cell>
          <cell r="H354">
            <v>674</v>
          </cell>
        </row>
      </sheetData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oio"/>
      <sheetName val="Endereços"/>
      <sheetName val="MARÇO-2024"/>
      <sheetName val="LISTAGEM"/>
      <sheetName val="QUADRO RESUMO"/>
      <sheetName val="LISTA ESPERA"/>
    </sheetNames>
    <sheetDataSet>
      <sheetData sheetId="0"/>
      <sheetData sheetId="1"/>
      <sheetData sheetId="2">
        <row r="2">
          <cell r="M2"/>
        </row>
        <row r="3">
          <cell r="B3"/>
          <cell r="C3"/>
          <cell r="D3"/>
          <cell r="E3" t="str">
            <v>Berçário I</v>
          </cell>
          <cell r="F3"/>
          <cell r="G3" t="str">
            <v>Berçário II</v>
          </cell>
          <cell r="H3"/>
          <cell r="I3" t="str">
            <v>Maternal I</v>
          </cell>
          <cell r="J3"/>
          <cell r="K3" t="str">
            <v>Maternal II</v>
          </cell>
          <cell r="L3"/>
          <cell r="M3"/>
        </row>
        <row r="4">
          <cell r="B4" t="str">
            <v>CÓDIGO SGA</v>
          </cell>
          <cell r="C4" t="str">
            <v>Denominação SGA</v>
          </cell>
          <cell r="D4" t="str">
            <v>Meta</v>
          </cell>
          <cell r="E4" t="str">
            <v>Aluno</v>
          </cell>
          <cell r="F4" t="str">
            <v>Incluído</v>
          </cell>
          <cell r="G4" t="str">
            <v>Aluno</v>
          </cell>
          <cell r="H4" t="str">
            <v>Incluído</v>
          </cell>
          <cell r="I4" t="str">
            <v>Aluno</v>
          </cell>
          <cell r="J4" t="str">
            <v>Incluído</v>
          </cell>
          <cell r="K4" t="str">
            <v>Aluno</v>
          </cell>
          <cell r="L4" t="str">
            <v>Incluído</v>
          </cell>
          <cell r="M4" t="str">
            <v>Total Alunos</v>
          </cell>
        </row>
        <row r="5">
          <cell r="B5">
            <v>1004</v>
          </cell>
          <cell r="C5" t="str">
            <v>CP CRECHE CANTINHO FELIZ DE SANTA TERESA</v>
          </cell>
          <cell r="D5">
            <v>50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25</v>
          </cell>
          <cell r="J5">
            <v>0</v>
          </cell>
          <cell r="K5">
            <v>24</v>
          </cell>
          <cell r="L5">
            <v>0</v>
          </cell>
          <cell r="M5">
            <v>49</v>
          </cell>
        </row>
        <row r="6">
          <cell r="B6">
            <v>1005</v>
          </cell>
          <cell r="C6" t="str">
            <v>CP CASA MATERNAL CORAÇÃO DE MÃE</v>
          </cell>
          <cell r="D6">
            <v>40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20</v>
          </cell>
          <cell r="J6">
            <v>0</v>
          </cell>
          <cell r="K6">
            <v>20</v>
          </cell>
          <cell r="L6">
            <v>0</v>
          </cell>
          <cell r="M6">
            <v>40</v>
          </cell>
        </row>
        <row r="7">
          <cell r="B7">
            <v>1006</v>
          </cell>
          <cell r="C7" t="str">
            <v>CP CRECHE DO TUIUTI</v>
          </cell>
          <cell r="D7">
            <v>147</v>
          </cell>
          <cell r="E7">
            <v>0</v>
          </cell>
          <cell r="F7">
            <v>0</v>
          </cell>
          <cell r="G7">
            <v>38</v>
          </cell>
          <cell r="H7">
            <v>0</v>
          </cell>
          <cell r="I7">
            <v>69</v>
          </cell>
          <cell r="J7">
            <v>0</v>
          </cell>
          <cell r="K7">
            <v>40</v>
          </cell>
          <cell r="L7">
            <v>0</v>
          </cell>
          <cell r="M7">
            <v>147</v>
          </cell>
        </row>
        <row r="8">
          <cell r="B8">
            <v>1007</v>
          </cell>
          <cell r="C8" t="str">
            <v>CP EDUCANDÁRIO NOSSA SENHORA DE NAZARÉ</v>
          </cell>
          <cell r="D8">
            <v>30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14</v>
          </cell>
          <cell r="J8">
            <v>0</v>
          </cell>
          <cell r="K8">
            <v>15</v>
          </cell>
          <cell r="L8">
            <v>1</v>
          </cell>
          <cell r="M8">
            <v>29</v>
          </cell>
        </row>
        <row r="9">
          <cell r="B9">
            <v>1009</v>
          </cell>
          <cell r="C9" t="str">
            <v>CP CRECHE COMUNITÁRIA ANITA WAY</v>
          </cell>
          <cell r="D9">
            <v>130</v>
          </cell>
          <cell r="E9">
            <v>0</v>
          </cell>
          <cell r="F9">
            <v>0</v>
          </cell>
          <cell r="G9">
            <v>17</v>
          </cell>
          <cell r="H9">
            <v>0</v>
          </cell>
          <cell r="I9">
            <v>57</v>
          </cell>
          <cell r="J9">
            <v>0</v>
          </cell>
          <cell r="K9">
            <v>54</v>
          </cell>
          <cell r="L9">
            <v>2</v>
          </cell>
          <cell r="M9">
            <v>128</v>
          </cell>
        </row>
        <row r="10">
          <cell r="B10">
            <v>1010</v>
          </cell>
          <cell r="C10" t="str">
            <v>CP CENTRO CULTURAL MONTESSORI - SÃO CRISTÓVÃO</v>
          </cell>
          <cell r="D10">
            <v>297</v>
          </cell>
          <cell r="E10">
            <v>0</v>
          </cell>
          <cell r="F10">
            <v>0</v>
          </cell>
          <cell r="G10">
            <v>76</v>
          </cell>
          <cell r="H10">
            <v>0</v>
          </cell>
          <cell r="I10">
            <v>116</v>
          </cell>
          <cell r="J10">
            <v>0</v>
          </cell>
          <cell r="K10">
            <v>105</v>
          </cell>
          <cell r="L10">
            <v>2</v>
          </cell>
          <cell r="M10">
            <v>297</v>
          </cell>
        </row>
        <row r="11">
          <cell r="B11">
            <v>2001</v>
          </cell>
          <cell r="C11" t="str">
            <v>CP CRECHE ESPAÇO SEMENTE</v>
          </cell>
          <cell r="D11">
            <v>80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38</v>
          </cell>
          <cell r="J11">
            <v>1</v>
          </cell>
          <cell r="K11">
            <v>41</v>
          </cell>
          <cell r="L11">
            <v>0</v>
          </cell>
          <cell r="M11">
            <v>79</v>
          </cell>
        </row>
        <row r="12">
          <cell r="B12">
            <v>2002</v>
          </cell>
          <cell r="C12" t="str">
            <v>CP EDUCANDÁRIO CASA DE JACIRA</v>
          </cell>
          <cell r="D12">
            <v>24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24</v>
          </cell>
          <cell r="L12">
            <v>0</v>
          </cell>
          <cell r="M12">
            <v>24</v>
          </cell>
        </row>
        <row r="13">
          <cell r="B13">
            <v>2003</v>
          </cell>
          <cell r="C13" t="str">
            <v>CP CENTRO COMUNITÁRIO DA RUA UM UNIÃO FAZ A FORÇA</v>
          </cell>
          <cell r="D13">
            <v>140</v>
          </cell>
          <cell r="E13">
            <v>0</v>
          </cell>
          <cell r="F13">
            <v>0</v>
          </cell>
          <cell r="G13">
            <v>56</v>
          </cell>
          <cell r="H13">
            <v>0</v>
          </cell>
          <cell r="I13">
            <v>50</v>
          </cell>
          <cell r="J13">
            <v>3</v>
          </cell>
          <cell r="K13">
            <v>31</v>
          </cell>
          <cell r="L13">
            <v>0</v>
          </cell>
          <cell r="M13">
            <v>137</v>
          </cell>
        </row>
        <row r="14">
          <cell r="B14">
            <v>2004</v>
          </cell>
          <cell r="C14" t="str">
            <v>CP AÇÃO SOCIAL PADRE ANCHIETA - ASPA</v>
          </cell>
          <cell r="D14">
            <v>160</v>
          </cell>
          <cell r="E14">
            <v>0</v>
          </cell>
          <cell r="F14">
            <v>0</v>
          </cell>
          <cell r="G14">
            <v>24</v>
          </cell>
          <cell r="H14">
            <v>0</v>
          </cell>
          <cell r="I14">
            <v>63</v>
          </cell>
          <cell r="J14">
            <v>5</v>
          </cell>
          <cell r="K14">
            <v>67</v>
          </cell>
          <cell r="L14">
            <v>1</v>
          </cell>
          <cell r="M14">
            <v>154</v>
          </cell>
        </row>
        <row r="15">
          <cell r="B15">
            <v>2005</v>
          </cell>
          <cell r="C15" t="str">
            <v>CP ESCOLA COMUNITÁRIA DO CANTAGALO</v>
          </cell>
          <cell r="D15">
            <v>72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33</v>
          </cell>
          <cell r="J15">
            <v>0</v>
          </cell>
          <cell r="K15">
            <v>39</v>
          </cell>
          <cell r="L15">
            <v>0</v>
          </cell>
          <cell r="M15">
            <v>72</v>
          </cell>
        </row>
        <row r="16">
          <cell r="B16">
            <v>2006</v>
          </cell>
          <cell r="C16" t="str">
            <v>CP CRECHE PRÉ-ESCOLA COMUNITÁRIA DOIS IRMÃOS</v>
          </cell>
          <cell r="D16">
            <v>75</v>
          </cell>
          <cell r="E16">
            <v>0</v>
          </cell>
          <cell r="F16">
            <v>0</v>
          </cell>
          <cell r="G16">
            <v>25</v>
          </cell>
          <cell r="H16">
            <v>0</v>
          </cell>
          <cell r="I16">
            <v>24</v>
          </cell>
          <cell r="J16">
            <v>1</v>
          </cell>
          <cell r="K16">
            <v>24</v>
          </cell>
          <cell r="L16">
            <v>1</v>
          </cell>
          <cell r="M16">
            <v>73</v>
          </cell>
        </row>
        <row r="17">
          <cell r="B17">
            <v>2009</v>
          </cell>
          <cell r="C17" t="str">
            <v>CP ABRIGO TERESA DE JESUS</v>
          </cell>
          <cell r="D17">
            <v>96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48</v>
          </cell>
          <cell r="J17">
            <v>0</v>
          </cell>
          <cell r="K17">
            <v>46</v>
          </cell>
          <cell r="L17">
            <v>2</v>
          </cell>
          <cell r="M17">
            <v>94</v>
          </cell>
        </row>
        <row r="18">
          <cell r="B18">
            <v>2010</v>
          </cell>
          <cell r="C18" t="str">
            <v>CP CRECHE PATINHO FELIZ</v>
          </cell>
          <cell r="D18">
            <v>170</v>
          </cell>
          <cell r="E18">
            <v>0</v>
          </cell>
          <cell r="F18">
            <v>0</v>
          </cell>
          <cell r="G18">
            <v>57</v>
          </cell>
          <cell r="H18">
            <v>1</v>
          </cell>
          <cell r="I18">
            <v>59</v>
          </cell>
          <cell r="J18">
            <v>2</v>
          </cell>
          <cell r="K18">
            <v>54</v>
          </cell>
          <cell r="L18">
            <v>3</v>
          </cell>
          <cell r="M18">
            <v>170</v>
          </cell>
        </row>
        <row r="19">
          <cell r="B19">
            <v>2011</v>
          </cell>
          <cell r="C19" t="str">
            <v>CP SOCIEDADE CIVIL DE ASSISTÊNCIA A MENORES - CASA DA DINDA</v>
          </cell>
          <cell r="D19">
            <v>45</v>
          </cell>
          <cell r="E19">
            <v>0</v>
          </cell>
          <cell r="F19">
            <v>0</v>
          </cell>
          <cell r="G19">
            <v>18</v>
          </cell>
          <cell r="H19">
            <v>0</v>
          </cell>
          <cell r="I19">
            <v>15</v>
          </cell>
          <cell r="J19">
            <v>2</v>
          </cell>
          <cell r="K19">
            <v>12</v>
          </cell>
          <cell r="L19">
            <v>0</v>
          </cell>
          <cell r="M19">
            <v>45</v>
          </cell>
        </row>
        <row r="20">
          <cell r="B20">
            <v>2012</v>
          </cell>
          <cell r="C20" t="str">
            <v>CP GRUPO COMUNITÁRIO CRECHE ESCOLA TIA MAURA</v>
          </cell>
          <cell r="D20">
            <v>70</v>
          </cell>
          <cell r="E20">
            <v>0</v>
          </cell>
          <cell r="F20">
            <v>0</v>
          </cell>
          <cell r="G20">
            <v>25</v>
          </cell>
          <cell r="H20">
            <v>0</v>
          </cell>
          <cell r="I20">
            <v>19</v>
          </cell>
          <cell r="J20">
            <v>0</v>
          </cell>
          <cell r="K20">
            <v>26</v>
          </cell>
          <cell r="L20">
            <v>0</v>
          </cell>
          <cell r="M20">
            <v>70</v>
          </cell>
        </row>
        <row r="21">
          <cell r="B21">
            <v>2013</v>
          </cell>
          <cell r="C21" t="str">
            <v>CP CENTRO DE EDUCAÇÃO INFANTIL CRISTO REDENTOR</v>
          </cell>
          <cell r="D21">
            <v>65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33</v>
          </cell>
          <cell r="J21">
            <v>0</v>
          </cell>
          <cell r="K21">
            <v>28</v>
          </cell>
          <cell r="L21">
            <v>0</v>
          </cell>
          <cell r="M21">
            <v>61</v>
          </cell>
        </row>
        <row r="22">
          <cell r="B22">
            <v>2014</v>
          </cell>
          <cell r="C22" t="str">
            <v>CP CRUZADA PELA INFÂNCIA DO LEME</v>
          </cell>
          <cell r="D22">
            <v>60</v>
          </cell>
          <cell r="E22">
            <v>0</v>
          </cell>
          <cell r="F22">
            <v>0</v>
          </cell>
          <cell r="G22">
            <v>20</v>
          </cell>
          <cell r="H22">
            <v>0</v>
          </cell>
          <cell r="I22">
            <v>21</v>
          </cell>
          <cell r="J22">
            <v>0</v>
          </cell>
          <cell r="K22">
            <v>17</v>
          </cell>
          <cell r="L22">
            <v>2</v>
          </cell>
          <cell r="M22">
            <v>58</v>
          </cell>
        </row>
        <row r="23">
          <cell r="B23">
            <v>2015</v>
          </cell>
          <cell r="C23" t="str">
            <v>CP CRECHE SANT ANNA</v>
          </cell>
          <cell r="D23">
            <v>72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27</v>
          </cell>
          <cell r="J23">
            <v>0</v>
          </cell>
          <cell r="K23">
            <v>45</v>
          </cell>
          <cell r="L23">
            <v>1</v>
          </cell>
          <cell r="M23">
            <v>72</v>
          </cell>
        </row>
        <row r="24">
          <cell r="B24">
            <v>2016</v>
          </cell>
          <cell r="C24" t="str">
            <v>CP CASA MATERNAL MELLO MATTOS</v>
          </cell>
          <cell r="D24">
            <v>120</v>
          </cell>
          <cell r="E24">
            <v>0</v>
          </cell>
          <cell r="F24">
            <v>0</v>
          </cell>
          <cell r="G24">
            <v>29</v>
          </cell>
          <cell r="H24">
            <v>0</v>
          </cell>
          <cell r="I24">
            <v>31</v>
          </cell>
          <cell r="J24">
            <v>0</v>
          </cell>
          <cell r="K24">
            <v>35</v>
          </cell>
          <cell r="L24">
            <v>1</v>
          </cell>
          <cell r="M24">
            <v>95</v>
          </cell>
        </row>
        <row r="25">
          <cell r="B25">
            <v>2018</v>
          </cell>
          <cell r="C25" t="str">
            <v>CP FUNDAÇÃO CASA SANTA IGNEZ</v>
          </cell>
          <cell r="D25">
            <v>96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45</v>
          </cell>
          <cell r="J25">
            <v>0</v>
          </cell>
          <cell r="K25">
            <v>49</v>
          </cell>
          <cell r="L25">
            <v>3</v>
          </cell>
          <cell r="M25">
            <v>94</v>
          </cell>
        </row>
        <row r="26">
          <cell r="B26">
            <v>2019</v>
          </cell>
          <cell r="C26" t="str">
            <v>CP UNIDAS - OBRAS SOCIAIS UNIDAS DE SANTA MARTA</v>
          </cell>
          <cell r="D26">
            <v>60</v>
          </cell>
          <cell r="E26">
            <v>0</v>
          </cell>
          <cell r="F26">
            <v>0</v>
          </cell>
          <cell r="G26">
            <v>17</v>
          </cell>
          <cell r="H26">
            <v>0</v>
          </cell>
          <cell r="I26">
            <v>20</v>
          </cell>
          <cell r="J26">
            <v>0</v>
          </cell>
          <cell r="K26">
            <v>20</v>
          </cell>
          <cell r="L26">
            <v>0</v>
          </cell>
          <cell r="M26">
            <v>57</v>
          </cell>
        </row>
        <row r="27">
          <cell r="B27">
            <v>2020</v>
          </cell>
          <cell r="C27" t="str">
            <v>CP CASA ESPÍRITA CRISTÃ MARIA DE NAZARÉ</v>
          </cell>
          <cell r="D27">
            <v>120</v>
          </cell>
          <cell r="E27">
            <v>10</v>
          </cell>
          <cell r="F27">
            <v>0</v>
          </cell>
          <cell r="G27">
            <v>32</v>
          </cell>
          <cell r="H27">
            <v>0</v>
          </cell>
          <cell r="I27">
            <v>43</v>
          </cell>
          <cell r="J27">
            <v>0</v>
          </cell>
          <cell r="K27">
            <v>35</v>
          </cell>
          <cell r="L27">
            <v>0</v>
          </cell>
          <cell r="M27">
            <v>120</v>
          </cell>
        </row>
        <row r="28">
          <cell r="B28">
            <v>2022</v>
          </cell>
          <cell r="C28" t="str">
            <v>CP CRECHE CHAPEUZINHO MARROM</v>
          </cell>
          <cell r="D28">
            <v>42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22</v>
          </cell>
          <cell r="J28">
            <v>0</v>
          </cell>
          <cell r="K28">
            <v>20</v>
          </cell>
          <cell r="L28">
            <v>0</v>
          </cell>
          <cell r="M28">
            <v>42</v>
          </cell>
        </row>
        <row r="29">
          <cell r="B29">
            <v>2024</v>
          </cell>
          <cell r="C29" t="str">
            <v>CP CRECHE ESCADINHA DO SABER</v>
          </cell>
          <cell r="D29">
            <v>45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8</v>
          </cell>
          <cell r="J29">
            <v>0</v>
          </cell>
          <cell r="K29">
            <v>10</v>
          </cell>
          <cell r="L29">
            <v>0</v>
          </cell>
          <cell r="M29">
            <v>18</v>
          </cell>
        </row>
        <row r="30">
          <cell r="B30">
            <v>2025</v>
          </cell>
          <cell r="C30" t="str">
            <v>CP CRECHE BEZERRA DE MENEZES - BOTAFOGO</v>
          </cell>
          <cell r="D30">
            <v>50</v>
          </cell>
          <cell r="E30">
            <v>3</v>
          </cell>
          <cell r="F30">
            <v>0</v>
          </cell>
          <cell r="G30">
            <v>9</v>
          </cell>
          <cell r="H30">
            <v>0</v>
          </cell>
          <cell r="I30">
            <v>15</v>
          </cell>
          <cell r="J30">
            <v>0</v>
          </cell>
          <cell r="K30">
            <v>19</v>
          </cell>
          <cell r="L30">
            <v>1</v>
          </cell>
          <cell r="M30">
            <v>46</v>
          </cell>
        </row>
        <row r="31">
          <cell r="B31">
            <v>2026</v>
          </cell>
          <cell r="C31" t="str">
            <v>CP CRECHE MONSENHOR FRANCA</v>
          </cell>
          <cell r="D31">
            <v>50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19</v>
          </cell>
          <cell r="J31">
            <v>0</v>
          </cell>
          <cell r="K31">
            <v>25</v>
          </cell>
          <cell r="L31">
            <v>2</v>
          </cell>
          <cell r="M31">
            <v>44</v>
          </cell>
        </row>
        <row r="32">
          <cell r="B32">
            <v>2028</v>
          </cell>
          <cell r="C32" t="str">
            <v>CP OBRAS SOCIAIS PADRE ALEIXO</v>
          </cell>
          <cell r="D32">
            <v>90</v>
          </cell>
          <cell r="E32">
            <v>0</v>
          </cell>
          <cell r="F32">
            <v>0</v>
          </cell>
          <cell r="G32">
            <v>27</v>
          </cell>
          <cell r="H32">
            <v>0</v>
          </cell>
          <cell r="I32">
            <v>26</v>
          </cell>
          <cell r="J32">
            <v>0</v>
          </cell>
          <cell r="K32">
            <v>31</v>
          </cell>
          <cell r="L32">
            <v>0</v>
          </cell>
          <cell r="M32">
            <v>84</v>
          </cell>
        </row>
        <row r="33">
          <cell r="B33">
            <v>2029</v>
          </cell>
          <cell r="C33" t="str">
            <v>CP CASA DA CRIANÇA</v>
          </cell>
          <cell r="D33">
            <v>192</v>
          </cell>
          <cell r="E33">
            <v>12</v>
          </cell>
          <cell r="F33">
            <v>0</v>
          </cell>
          <cell r="G33">
            <v>39</v>
          </cell>
          <cell r="H33">
            <v>1</v>
          </cell>
          <cell r="I33">
            <v>69</v>
          </cell>
          <cell r="J33">
            <v>2</v>
          </cell>
          <cell r="K33">
            <v>69</v>
          </cell>
          <cell r="L33">
            <v>1</v>
          </cell>
          <cell r="M33">
            <v>189</v>
          </cell>
        </row>
        <row r="34">
          <cell r="B34">
            <v>2031</v>
          </cell>
          <cell r="C34" t="str">
            <v>CP CENTRO COMUNITÁRIO ALEGRIA DAS CRIANÇAS</v>
          </cell>
          <cell r="D34">
            <v>88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35</v>
          </cell>
          <cell r="J34">
            <v>0</v>
          </cell>
          <cell r="K34">
            <v>53</v>
          </cell>
          <cell r="L34">
            <v>1</v>
          </cell>
          <cell r="M34">
            <v>88</v>
          </cell>
        </row>
        <row r="35">
          <cell r="B35">
            <v>2032</v>
          </cell>
          <cell r="C35" t="str">
            <v>CP PATRONATO OPERÁRIO DA GÁVEA</v>
          </cell>
          <cell r="D35">
            <v>80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29</v>
          </cell>
          <cell r="J35">
            <v>0</v>
          </cell>
          <cell r="K35">
            <v>41</v>
          </cell>
          <cell r="L35">
            <v>4</v>
          </cell>
          <cell r="M35">
            <v>70</v>
          </cell>
        </row>
        <row r="36">
          <cell r="B36">
            <v>2034</v>
          </cell>
          <cell r="C36" t="str">
            <v>CP CENTRO SOCIAL DA MULHER UÊGA</v>
          </cell>
          <cell r="D36">
            <v>100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41</v>
          </cell>
          <cell r="J36">
            <v>1</v>
          </cell>
          <cell r="K36">
            <v>53</v>
          </cell>
          <cell r="L36">
            <v>1</v>
          </cell>
          <cell r="M36">
            <v>94</v>
          </cell>
        </row>
        <row r="37">
          <cell r="B37">
            <v>2035</v>
          </cell>
          <cell r="C37" t="str">
            <v>CP CENTRO SOCIAL E AÍ COMO É QUE FICA ?</v>
          </cell>
          <cell r="D37">
            <v>65</v>
          </cell>
          <cell r="E37">
            <v>9</v>
          </cell>
          <cell r="F37">
            <v>0</v>
          </cell>
          <cell r="G37">
            <v>18</v>
          </cell>
          <cell r="H37">
            <v>0</v>
          </cell>
          <cell r="I37">
            <v>21</v>
          </cell>
          <cell r="J37">
            <v>0</v>
          </cell>
          <cell r="K37">
            <v>17</v>
          </cell>
          <cell r="L37">
            <v>0</v>
          </cell>
          <cell r="M37">
            <v>65</v>
          </cell>
        </row>
        <row r="38">
          <cell r="B38">
            <v>2036</v>
          </cell>
          <cell r="C38" t="str">
            <v>CP CRECHE BERÇÁRIO MARIA HELENA DA ROCINHA</v>
          </cell>
          <cell r="D38">
            <v>90</v>
          </cell>
          <cell r="E38">
            <v>12</v>
          </cell>
          <cell r="F38">
            <v>0</v>
          </cell>
          <cell r="G38">
            <v>20</v>
          </cell>
          <cell r="H38">
            <v>0</v>
          </cell>
          <cell r="I38">
            <v>25</v>
          </cell>
          <cell r="J38">
            <v>0</v>
          </cell>
          <cell r="K38">
            <v>28</v>
          </cell>
          <cell r="L38">
            <v>2</v>
          </cell>
          <cell r="M38">
            <v>85</v>
          </cell>
        </row>
        <row r="39">
          <cell r="B39">
            <v>2037</v>
          </cell>
          <cell r="C39" t="str">
            <v>CP CRECHE COMUNITÁRIA CANTINHO DA NATUREZA</v>
          </cell>
          <cell r="D39">
            <v>150</v>
          </cell>
          <cell r="E39">
            <v>12</v>
          </cell>
          <cell r="F39">
            <v>0</v>
          </cell>
          <cell r="G39">
            <v>50</v>
          </cell>
          <cell r="H39">
            <v>0</v>
          </cell>
          <cell r="I39">
            <v>47</v>
          </cell>
          <cell r="J39">
            <v>1</v>
          </cell>
          <cell r="K39">
            <v>39</v>
          </cell>
          <cell r="L39">
            <v>1</v>
          </cell>
          <cell r="M39">
            <v>148</v>
          </cell>
        </row>
        <row r="40">
          <cell r="B40">
            <v>2038</v>
          </cell>
          <cell r="C40" t="str">
            <v>CP CRECHE CHÁCARA DO CÉU</v>
          </cell>
          <cell r="D40">
            <v>60</v>
          </cell>
          <cell r="E40">
            <v>0</v>
          </cell>
          <cell r="F40">
            <v>0</v>
          </cell>
          <cell r="G40">
            <v>19</v>
          </cell>
          <cell r="H40">
            <v>0</v>
          </cell>
          <cell r="I40">
            <v>23</v>
          </cell>
          <cell r="J40">
            <v>0</v>
          </cell>
          <cell r="K40">
            <v>16</v>
          </cell>
          <cell r="L40">
            <v>0</v>
          </cell>
          <cell r="M40">
            <v>58</v>
          </cell>
        </row>
        <row r="41">
          <cell r="B41">
            <v>2039</v>
          </cell>
          <cell r="C41" t="str">
            <v>CP CRECHE ESCOLA MENINOS DE LUZ</v>
          </cell>
          <cell r="D41">
            <v>88</v>
          </cell>
          <cell r="E41">
            <v>14</v>
          </cell>
          <cell r="F41">
            <v>0</v>
          </cell>
          <cell r="G41">
            <v>24</v>
          </cell>
          <cell r="H41">
            <v>0</v>
          </cell>
          <cell r="I41">
            <v>25</v>
          </cell>
          <cell r="J41">
            <v>0</v>
          </cell>
          <cell r="K41">
            <v>24</v>
          </cell>
          <cell r="L41">
            <v>0</v>
          </cell>
          <cell r="M41">
            <v>87</v>
          </cell>
        </row>
        <row r="42">
          <cell r="B42">
            <v>2040</v>
          </cell>
          <cell r="C42" t="str">
            <v>CP CRECHE MARIA MARIA</v>
          </cell>
          <cell r="D42">
            <v>72</v>
          </cell>
          <cell r="E42">
            <v>7</v>
          </cell>
          <cell r="F42">
            <v>0</v>
          </cell>
          <cell r="G42">
            <v>20</v>
          </cell>
          <cell r="H42">
            <v>0</v>
          </cell>
          <cell r="I42">
            <v>24</v>
          </cell>
          <cell r="J42">
            <v>0</v>
          </cell>
          <cell r="K42">
            <v>21</v>
          </cell>
          <cell r="L42">
            <v>0</v>
          </cell>
          <cell r="M42">
            <v>72</v>
          </cell>
        </row>
        <row r="43">
          <cell r="B43">
            <v>2041</v>
          </cell>
          <cell r="C43" t="str">
            <v>CP CRECHE E PRÉ-ESCOLA COMUNITÁRIA DO 199 PINGO DE GENTE</v>
          </cell>
          <cell r="D43">
            <v>50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16</v>
          </cell>
          <cell r="J43">
            <v>0</v>
          </cell>
          <cell r="K43">
            <v>22</v>
          </cell>
          <cell r="L43">
            <v>1</v>
          </cell>
          <cell r="M43">
            <v>38</v>
          </cell>
        </row>
        <row r="44">
          <cell r="B44">
            <v>2042</v>
          </cell>
          <cell r="C44" t="str">
            <v>CP CRECHE SANTA CLARA</v>
          </cell>
          <cell r="D44">
            <v>40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19</v>
          </cell>
          <cell r="J44">
            <v>1</v>
          </cell>
          <cell r="K44">
            <v>21</v>
          </cell>
          <cell r="L44">
            <v>1</v>
          </cell>
          <cell r="M44">
            <v>40</v>
          </cell>
        </row>
        <row r="45">
          <cell r="B45">
            <v>2043</v>
          </cell>
          <cell r="C45" t="str">
            <v>CP CRECHE SANTA MÔNICA</v>
          </cell>
          <cell r="D45">
            <v>140</v>
          </cell>
          <cell r="E45">
            <v>23</v>
          </cell>
          <cell r="F45">
            <v>0</v>
          </cell>
          <cell r="G45">
            <v>49</v>
          </cell>
          <cell r="H45">
            <v>1</v>
          </cell>
          <cell r="I45">
            <v>33</v>
          </cell>
          <cell r="J45">
            <v>0</v>
          </cell>
          <cell r="K45">
            <v>35</v>
          </cell>
          <cell r="L45">
            <v>0</v>
          </cell>
          <cell r="M45">
            <v>140</v>
          </cell>
        </row>
        <row r="46">
          <cell r="B46">
            <v>2044</v>
          </cell>
          <cell r="C46" t="str">
            <v>CP CRECHE SÃO COSME E SÃO DAMIÃO</v>
          </cell>
          <cell r="D46">
            <v>86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31</v>
          </cell>
          <cell r="J46">
            <v>0</v>
          </cell>
          <cell r="K46">
            <v>39</v>
          </cell>
          <cell r="L46">
            <v>2</v>
          </cell>
          <cell r="M46">
            <v>70</v>
          </cell>
        </row>
        <row r="47">
          <cell r="B47">
            <v>2045</v>
          </cell>
          <cell r="C47" t="str">
            <v>CP CREI - CENTRO DE RECUPERAÇÃO INFANTIL</v>
          </cell>
          <cell r="D47">
            <v>50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22</v>
          </cell>
          <cell r="J47">
            <v>0</v>
          </cell>
          <cell r="K47">
            <v>23</v>
          </cell>
          <cell r="L47">
            <v>0</v>
          </cell>
          <cell r="M47">
            <v>45</v>
          </cell>
        </row>
        <row r="48">
          <cell r="B48">
            <v>2046</v>
          </cell>
          <cell r="C48" t="str">
            <v>CP ESPAÇO SANTA TEREZINHA - EST</v>
          </cell>
          <cell r="D48">
            <v>140</v>
          </cell>
          <cell r="E48">
            <v>0</v>
          </cell>
          <cell r="F48">
            <v>0</v>
          </cell>
          <cell r="G48">
            <v>44</v>
          </cell>
          <cell r="H48">
            <v>0</v>
          </cell>
          <cell r="I48">
            <v>47</v>
          </cell>
          <cell r="J48">
            <v>0</v>
          </cell>
          <cell r="K48">
            <v>48</v>
          </cell>
          <cell r="L48">
            <v>2</v>
          </cell>
          <cell r="M48">
            <v>139</v>
          </cell>
        </row>
        <row r="49">
          <cell r="B49">
            <v>2047</v>
          </cell>
          <cell r="C49" t="str">
            <v>CP GRUPO COMUNITÁRIO MORRO DA ALEGRIA</v>
          </cell>
          <cell r="D49">
            <v>75</v>
          </cell>
          <cell r="E49">
            <v>0</v>
          </cell>
          <cell r="F49">
            <v>0</v>
          </cell>
          <cell r="G49">
            <v>23</v>
          </cell>
          <cell r="H49">
            <v>0</v>
          </cell>
          <cell r="I49">
            <v>16</v>
          </cell>
          <cell r="J49">
            <v>0</v>
          </cell>
          <cell r="K49">
            <v>19</v>
          </cell>
          <cell r="L49">
            <v>1</v>
          </cell>
          <cell r="M49">
            <v>58</v>
          </cell>
        </row>
        <row r="50">
          <cell r="B50">
            <v>2048</v>
          </cell>
          <cell r="C50" t="str">
            <v>CP LAR CANTINHO FELIZ</v>
          </cell>
          <cell r="D50">
            <v>110</v>
          </cell>
          <cell r="E50">
            <v>0</v>
          </cell>
          <cell r="F50">
            <v>0</v>
          </cell>
          <cell r="G50">
            <v>22</v>
          </cell>
          <cell r="H50">
            <v>0</v>
          </cell>
          <cell r="I50">
            <v>43</v>
          </cell>
          <cell r="J50">
            <v>1</v>
          </cell>
          <cell r="K50">
            <v>45</v>
          </cell>
          <cell r="L50">
            <v>1</v>
          </cell>
          <cell r="M50">
            <v>110</v>
          </cell>
        </row>
        <row r="51">
          <cell r="B51">
            <v>2049</v>
          </cell>
          <cell r="C51" t="str">
            <v>CP OBRA DO BERÇO</v>
          </cell>
          <cell r="D51">
            <v>85</v>
          </cell>
          <cell r="E51">
            <v>4</v>
          </cell>
          <cell r="F51">
            <v>0</v>
          </cell>
          <cell r="G51">
            <v>21</v>
          </cell>
          <cell r="H51">
            <v>2</v>
          </cell>
          <cell r="I51">
            <v>21</v>
          </cell>
          <cell r="J51">
            <v>0</v>
          </cell>
          <cell r="K51">
            <v>36</v>
          </cell>
          <cell r="L51">
            <v>1</v>
          </cell>
          <cell r="M51">
            <v>82</v>
          </cell>
        </row>
        <row r="52">
          <cell r="B52">
            <v>2052</v>
          </cell>
          <cell r="C52" t="str">
            <v>CP CRECHE CASA SANTA MARTA</v>
          </cell>
          <cell r="D52">
            <v>96</v>
          </cell>
          <cell r="E52">
            <v>10</v>
          </cell>
          <cell r="F52">
            <v>0</v>
          </cell>
          <cell r="G52">
            <v>27</v>
          </cell>
          <cell r="H52">
            <v>0</v>
          </cell>
          <cell r="I52">
            <v>20</v>
          </cell>
          <cell r="J52">
            <v>0</v>
          </cell>
          <cell r="K52">
            <v>37</v>
          </cell>
          <cell r="L52">
            <v>1</v>
          </cell>
          <cell r="M52">
            <v>94</v>
          </cell>
        </row>
        <row r="53">
          <cell r="B53">
            <v>2053</v>
          </cell>
          <cell r="C53" t="str">
            <v>CP CRECHE ESPERANÇA</v>
          </cell>
          <cell r="D53">
            <v>100</v>
          </cell>
          <cell r="E53">
            <v>9</v>
          </cell>
          <cell r="F53">
            <v>0</v>
          </cell>
          <cell r="G53">
            <v>31</v>
          </cell>
          <cell r="H53">
            <v>0</v>
          </cell>
          <cell r="I53">
            <v>29</v>
          </cell>
          <cell r="J53">
            <v>1</v>
          </cell>
          <cell r="K53">
            <v>29</v>
          </cell>
          <cell r="L53">
            <v>1</v>
          </cell>
          <cell r="M53">
            <v>98</v>
          </cell>
        </row>
        <row r="54">
          <cell r="B54">
            <v>2054</v>
          </cell>
          <cell r="C54" t="str">
            <v>CP UNIÃO DE MULHERES PRO-MELHORAMENTO DA ROUPA SUJA</v>
          </cell>
          <cell r="D54">
            <v>75</v>
          </cell>
          <cell r="E54">
            <v>8</v>
          </cell>
          <cell r="F54">
            <v>0</v>
          </cell>
          <cell r="G54">
            <v>16</v>
          </cell>
          <cell r="H54">
            <v>0</v>
          </cell>
          <cell r="I54">
            <v>24</v>
          </cell>
          <cell r="J54">
            <v>0</v>
          </cell>
          <cell r="K54">
            <v>16</v>
          </cell>
          <cell r="L54">
            <v>0</v>
          </cell>
          <cell r="M54">
            <v>64</v>
          </cell>
        </row>
        <row r="55">
          <cell r="B55">
            <v>2055</v>
          </cell>
          <cell r="C55" t="str">
            <v>CP CRECHE CASA DO POBRE DE NOSSA SENHORA DE COPACABANA</v>
          </cell>
          <cell r="D55">
            <v>79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40</v>
          </cell>
          <cell r="J55">
            <v>2</v>
          </cell>
          <cell r="K55">
            <v>38</v>
          </cell>
          <cell r="L55">
            <v>1</v>
          </cell>
          <cell r="M55">
            <v>78</v>
          </cell>
        </row>
        <row r="56">
          <cell r="B56">
            <v>2056</v>
          </cell>
          <cell r="C56" t="str">
            <v>CP CRECHE SANTA CLARA DE ASSIS NA PROVIDÊNCIA DE DEUS</v>
          </cell>
          <cell r="D56">
            <v>115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62</v>
          </cell>
          <cell r="J56">
            <v>0</v>
          </cell>
          <cell r="K56">
            <v>52</v>
          </cell>
          <cell r="L56">
            <v>1</v>
          </cell>
          <cell r="M56">
            <v>114</v>
          </cell>
        </row>
        <row r="57">
          <cell r="B57">
            <v>2057</v>
          </cell>
          <cell r="C57" t="str">
            <v>CP CENTRO EDUCACIONAL ESPERANÇA</v>
          </cell>
          <cell r="D57">
            <v>60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19</v>
          </cell>
          <cell r="J57">
            <v>0</v>
          </cell>
          <cell r="K57">
            <v>25</v>
          </cell>
          <cell r="L57">
            <v>0</v>
          </cell>
          <cell r="M57">
            <v>44</v>
          </cell>
        </row>
        <row r="58">
          <cell r="B58">
            <v>2058</v>
          </cell>
          <cell r="C58" t="str">
            <v>CP NASCEER - NÚCLEO DE ASSIST. SOCIAL CULTURAL EDUC. ECOLÓGICO DA ROCINHA</v>
          </cell>
          <cell r="D58">
            <v>81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40</v>
          </cell>
          <cell r="J58">
            <v>0</v>
          </cell>
          <cell r="K58">
            <v>40</v>
          </cell>
          <cell r="L58">
            <v>1</v>
          </cell>
          <cell r="M58">
            <v>80</v>
          </cell>
        </row>
        <row r="59">
          <cell r="B59">
            <v>2060</v>
          </cell>
          <cell r="C59" t="str">
            <v>CP ASSOCIAÇÃO CENTRO EDUCACIONAL REBRAL - ROCINHA</v>
          </cell>
          <cell r="D59">
            <v>135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29</v>
          </cell>
          <cell r="J59">
            <v>0</v>
          </cell>
          <cell r="K59">
            <v>38</v>
          </cell>
          <cell r="L59">
            <v>0</v>
          </cell>
          <cell r="M59">
            <v>67</v>
          </cell>
        </row>
        <row r="60">
          <cell r="B60">
            <v>2061</v>
          </cell>
          <cell r="C60" t="str">
            <v>CP CRECHE INSTITUTO MACINTYRE</v>
          </cell>
          <cell r="D60">
            <v>70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53</v>
          </cell>
          <cell r="J60">
            <v>3</v>
          </cell>
          <cell r="K60">
            <v>9</v>
          </cell>
          <cell r="L60">
            <v>1</v>
          </cell>
          <cell r="M60">
            <v>62</v>
          </cell>
        </row>
        <row r="61">
          <cell r="B61">
            <v>2062</v>
          </cell>
          <cell r="C61" t="str">
            <v>CP CENTRO EDUCACIONAL ROUPA FELIZ</v>
          </cell>
          <cell r="D61">
            <v>30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6</v>
          </cell>
          <cell r="J61">
            <v>0</v>
          </cell>
          <cell r="K61">
            <v>4</v>
          </cell>
          <cell r="L61">
            <v>0</v>
          </cell>
          <cell r="M61">
            <v>10</v>
          </cell>
        </row>
        <row r="62">
          <cell r="B62">
            <v>2063</v>
          </cell>
          <cell r="C62" t="str">
            <v>CP ASSOCIAÇÃO EDUCACIONAL ANJOS DO BEM</v>
          </cell>
          <cell r="D62">
            <v>40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28</v>
          </cell>
          <cell r="J62">
            <v>1</v>
          </cell>
          <cell r="K62">
            <v>11</v>
          </cell>
          <cell r="L62">
            <v>0</v>
          </cell>
          <cell r="M62">
            <v>39</v>
          </cell>
        </row>
        <row r="63">
          <cell r="B63">
            <v>3001</v>
          </cell>
          <cell r="C63" t="str">
            <v>CP ASSOCIAÇÃO PRESBITERIANA CUIDANDO DO AMANHÃ - APCA</v>
          </cell>
          <cell r="D63">
            <v>82</v>
          </cell>
          <cell r="E63">
            <v>0</v>
          </cell>
          <cell r="F63">
            <v>0</v>
          </cell>
          <cell r="G63">
            <v>11</v>
          </cell>
          <cell r="H63">
            <v>0</v>
          </cell>
          <cell r="I63">
            <v>24</v>
          </cell>
          <cell r="J63">
            <v>0</v>
          </cell>
          <cell r="K63">
            <v>45</v>
          </cell>
          <cell r="L63">
            <v>1</v>
          </cell>
          <cell r="M63">
            <v>80</v>
          </cell>
        </row>
        <row r="64">
          <cell r="B64">
            <v>3002</v>
          </cell>
          <cell r="C64" t="str">
            <v>CP ABRIGO MARIA IMACULADA</v>
          </cell>
          <cell r="D64">
            <v>415</v>
          </cell>
          <cell r="E64">
            <v>0</v>
          </cell>
          <cell r="F64">
            <v>0</v>
          </cell>
          <cell r="G64">
            <v>72</v>
          </cell>
          <cell r="H64">
            <v>0</v>
          </cell>
          <cell r="I64">
            <v>111</v>
          </cell>
          <cell r="J64">
            <v>1</v>
          </cell>
          <cell r="K64">
            <v>166</v>
          </cell>
          <cell r="L64">
            <v>3</v>
          </cell>
          <cell r="M64">
            <v>349</v>
          </cell>
        </row>
        <row r="65">
          <cell r="B65">
            <v>3003</v>
          </cell>
          <cell r="C65" t="str">
            <v>CP CASA SÃO ROQUE</v>
          </cell>
          <cell r="D65">
            <v>200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93</v>
          </cell>
          <cell r="J65">
            <v>2</v>
          </cell>
          <cell r="K65">
            <v>105</v>
          </cell>
          <cell r="L65">
            <v>2</v>
          </cell>
          <cell r="M65">
            <v>198</v>
          </cell>
        </row>
        <row r="66">
          <cell r="B66">
            <v>3004</v>
          </cell>
          <cell r="C66" t="str">
            <v>CP CENTRO COMUNITÁRIO NOSSA SENHORA APARECIDA - CRECHE</v>
          </cell>
          <cell r="D66">
            <v>48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21</v>
          </cell>
          <cell r="J66">
            <v>0</v>
          </cell>
          <cell r="K66">
            <v>27</v>
          </cell>
          <cell r="L66">
            <v>0</v>
          </cell>
          <cell r="M66">
            <v>48</v>
          </cell>
        </row>
        <row r="67">
          <cell r="B67">
            <v>3005</v>
          </cell>
          <cell r="C67" t="str">
            <v>CP COLÉGIO RUTH SANT ANNA / JARDIM DE INFÂNCIA CIRANDA CIRANDINHA</v>
          </cell>
          <cell r="D67">
            <v>150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54</v>
          </cell>
          <cell r="J67">
            <v>0</v>
          </cell>
          <cell r="K67">
            <v>70</v>
          </cell>
          <cell r="L67">
            <v>6</v>
          </cell>
          <cell r="M67">
            <v>124</v>
          </cell>
        </row>
        <row r="68">
          <cell r="B68">
            <v>3006</v>
          </cell>
          <cell r="C68" t="str">
            <v>CP CRECHE CASA VIVA</v>
          </cell>
          <cell r="D68">
            <v>85</v>
          </cell>
          <cell r="E68">
            <v>0</v>
          </cell>
          <cell r="F68">
            <v>0</v>
          </cell>
          <cell r="G68">
            <v>15</v>
          </cell>
          <cell r="H68">
            <v>0</v>
          </cell>
          <cell r="I68">
            <v>30</v>
          </cell>
          <cell r="J68">
            <v>0</v>
          </cell>
          <cell r="K68">
            <v>40</v>
          </cell>
          <cell r="L68">
            <v>1</v>
          </cell>
          <cell r="M68">
            <v>85</v>
          </cell>
        </row>
        <row r="69">
          <cell r="B69">
            <v>3007</v>
          </cell>
          <cell r="C69" t="str">
            <v>CP CRECHE CHAMEGUINHO</v>
          </cell>
          <cell r="D69">
            <v>65</v>
          </cell>
          <cell r="E69">
            <v>0</v>
          </cell>
          <cell r="F69">
            <v>0</v>
          </cell>
          <cell r="G69">
            <v>18</v>
          </cell>
          <cell r="H69">
            <v>0</v>
          </cell>
          <cell r="I69">
            <v>28</v>
          </cell>
          <cell r="J69">
            <v>0</v>
          </cell>
          <cell r="K69">
            <v>17</v>
          </cell>
          <cell r="L69">
            <v>0</v>
          </cell>
          <cell r="M69">
            <v>63</v>
          </cell>
        </row>
        <row r="70">
          <cell r="B70">
            <v>3008</v>
          </cell>
          <cell r="C70" t="str">
            <v>CP CRECHE COMUNITÁRIA ELIANA SATURNINO BRAGA</v>
          </cell>
          <cell r="D70">
            <v>104</v>
          </cell>
          <cell r="E70">
            <v>0</v>
          </cell>
          <cell r="F70">
            <v>0</v>
          </cell>
          <cell r="G70">
            <v>18</v>
          </cell>
          <cell r="H70">
            <v>0</v>
          </cell>
          <cell r="I70">
            <v>31</v>
          </cell>
          <cell r="J70">
            <v>0</v>
          </cell>
          <cell r="K70">
            <v>39</v>
          </cell>
          <cell r="L70">
            <v>0</v>
          </cell>
          <cell r="M70">
            <v>88</v>
          </cell>
        </row>
        <row r="71">
          <cell r="B71">
            <v>3009</v>
          </cell>
          <cell r="C71" t="str">
            <v>CP CRECHE COMUNITÁRIA JOÃO FERREIRA</v>
          </cell>
          <cell r="D71">
            <v>80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22</v>
          </cell>
          <cell r="J71">
            <v>0</v>
          </cell>
          <cell r="K71">
            <v>50</v>
          </cell>
          <cell r="L71">
            <v>1</v>
          </cell>
          <cell r="M71">
            <v>72</v>
          </cell>
        </row>
        <row r="72">
          <cell r="B72">
            <v>3010</v>
          </cell>
          <cell r="C72" t="str">
            <v>CP CRECHE ESCOLA COMUNITÁRIA MÃE SOCIAL</v>
          </cell>
          <cell r="D72">
            <v>76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26</v>
          </cell>
          <cell r="J72">
            <v>0</v>
          </cell>
          <cell r="K72">
            <v>50</v>
          </cell>
          <cell r="L72">
            <v>0</v>
          </cell>
          <cell r="M72">
            <v>76</v>
          </cell>
        </row>
        <row r="73">
          <cell r="B73">
            <v>3011</v>
          </cell>
          <cell r="C73" t="str">
            <v>CP CRECHE DO CENTRO PASTORAL SOCIAL PADRE JUSTINO RUSSOLILLO</v>
          </cell>
          <cell r="D73">
            <v>74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24</v>
          </cell>
          <cell r="J73">
            <v>0</v>
          </cell>
          <cell r="K73">
            <v>31</v>
          </cell>
          <cell r="L73">
            <v>0</v>
          </cell>
          <cell r="M73">
            <v>55</v>
          </cell>
        </row>
        <row r="74">
          <cell r="B74">
            <v>3012</v>
          </cell>
          <cell r="C74" t="str">
            <v>CP CRECHE MÃE DO DIVINO SALVADOR</v>
          </cell>
          <cell r="D74">
            <v>255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135</v>
          </cell>
          <cell r="J74">
            <v>0</v>
          </cell>
          <cell r="K74">
            <v>120</v>
          </cell>
          <cell r="L74">
            <v>0</v>
          </cell>
          <cell r="M74">
            <v>255</v>
          </cell>
        </row>
        <row r="75">
          <cell r="B75">
            <v>3013</v>
          </cell>
          <cell r="C75" t="str">
            <v>CP CRECHE JACAREZINHO</v>
          </cell>
          <cell r="D75">
            <v>231</v>
          </cell>
          <cell r="E75">
            <v>0</v>
          </cell>
          <cell r="F75">
            <v>0</v>
          </cell>
          <cell r="G75">
            <v>55</v>
          </cell>
          <cell r="H75">
            <v>0</v>
          </cell>
          <cell r="I75">
            <v>95</v>
          </cell>
          <cell r="J75">
            <v>0</v>
          </cell>
          <cell r="K75">
            <v>79</v>
          </cell>
          <cell r="L75">
            <v>1</v>
          </cell>
          <cell r="M75">
            <v>229</v>
          </cell>
        </row>
        <row r="76">
          <cell r="B76">
            <v>3014</v>
          </cell>
          <cell r="C76" t="str">
            <v>CP CRECHE PLANTANDO O AMANHÃ</v>
          </cell>
          <cell r="D76">
            <v>180</v>
          </cell>
          <cell r="E76">
            <v>0</v>
          </cell>
          <cell r="F76">
            <v>0</v>
          </cell>
          <cell r="G76">
            <v>35</v>
          </cell>
          <cell r="H76">
            <v>1</v>
          </cell>
          <cell r="I76">
            <v>70</v>
          </cell>
          <cell r="J76">
            <v>3</v>
          </cell>
          <cell r="K76">
            <v>62</v>
          </cell>
          <cell r="L76">
            <v>8</v>
          </cell>
          <cell r="M76">
            <v>167</v>
          </cell>
        </row>
        <row r="77">
          <cell r="B77">
            <v>3015</v>
          </cell>
          <cell r="C77" t="str">
            <v>CP CRECHE MARIETTA NAVARRO GAIO</v>
          </cell>
          <cell r="D77">
            <v>75</v>
          </cell>
          <cell r="E77">
            <v>0</v>
          </cell>
          <cell r="F77">
            <v>0</v>
          </cell>
          <cell r="G77">
            <v>28</v>
          </cell>
          <cell r="H77">
            <v>0</v>
          </cell>
          <cell r="I77">
            <v>19</v>
          </cell>
          <cell r="J77">
            <v>0</v>
          </cell>
          <cell r="K77">
            <v>21</v>
          </cell>
          <cell r="L77">
            <v>0</v>
          </cell>
          <cell r="M77">
            <v>68</v>
          </cell>
        </row>
        <row r="78">
          <cell r="B78">
            <v>3016</v>
          </cell>
          <cell r="C78" t="str">
            <v>CP CRECHE SÃO PEDRO NOLASCO</v>
          </cell>
          <cell r="D78">
            <v>100</v>
          </cell>
          <cell r="E78">
            <v>0</v>
          </cell>
          <cell r="F78">
            <v>0</v>
          </cell>
          <cell r="G78">
            <v>28</v>
          </cell>
          <cell r="H78">
            <v>0</v>
          </cell>
          <cell r="I78">
            <v>29</v>
          </cell>
          <cell r="J78">
            <v>0</v>
          </cell>
          <cell r="K78">
            <v>33</v>
          </cell>
          <cell r="L78">
            <v>1</v>
          </cell>
          <cell r="M78">
            <v>90</v>
          </cell>
        </row>
        <row r="79">
          <cell r="B79">
            <v>3017</v>
          </cell>
          <cell r="C79" t="str">
            <v>CP CRECHE TERNURINHA</v>
          </cell>
          <cell r="D79">
            <v>45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23</v>
          </cell>
          <cell r="J79">
            <v>0</v>
          </cell>
          <cell r="K79">
            <v>15</v>
          </cell>
          <cell r="L79">
            <v>0</v>
          </cell>
          <cell r="M79">
            <v>38</v>
          </cell>
        </row>
        <row r="80">
          <cell r="B80">
            <v>3018</v>
          </cell>
          <cell r="C80" t="str">
            <v>CP FRATERNIDADE ASSISTENCIAL CRISTÃ</v>
          </cell>
          <cell r="D80">
            <v>47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23</v>
          </cell>
          <cell r="J80">
            <v>1</v>
          </cell>
          <cell r="K80">
            <v>22</v>
          </cell>
          <cell r="L80">
            <v>1</v>
          </cell>
          <cell r="M80">
            <v>45</v>
          </cell>
        </row>
        <row r="81">
          <cell r="B81">
            <v>3019</v>
          </cell>
          <cell r="C81" t="str">
            <v>CP INSTITUTO EDUCACIONAL CRESCENDO E APRENDENDO ALGODÃO DOCE</v>
          </cell>
          <cell r="D81">
            <v>85</v>
          </cell>
          <cell r="E81">
            <v>0</v>
          </cell>
          <cell r="F81">
            <v>0</v>
          </cell>
          <cell r="G81">
            <v>24</v>
          </cell>
          <cell r="H81">
            <v>0</v>
          </cell>
          <cell r="I81">
            <v>24</v>
          </cell>
          <cell r="J81">
            <v>0</v>
          </cell>
          <cell r="K81">
            <v>37</v>
          </cell>
          <cell r="L81">
            <v>0</v>
          </cell>
          <cell r="M81">
            <v>85</v>
          </cell>
        </row>
        <row r="82">
          <cell r="B82">
            <v>3020</v>
          </cell>
          <cell r="C82" t="str">
            <v>CP LAR DA CRIANÇA JESUS BOM PASTOR</v>
          </cell>
          <cell r="D82">
            <v>125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44</v>
          </cell>
          <cell r="J82">
            <v>0</v>
          </cell>
          <cell r="K82">
            <v>63</v>
          </cell>
          <cell r="L82">
            <v>2</v>
          </cell>
          <cell r="M82">
            <v>107</v>
          </cell>
        </row>
        <row r="83">
          <cell r="B83">
            <v>3021</v>
          </cell>
          <cell r="C83" t="str">
            <v>CP CRECHE COMUNITÁRIA TIA ALICE</v>
          </cell>
          <cell r="D83">
            <v>180</v>
          </cell>
          <cell r="E83">
            <v>0</v>
          </cell>
          <cell r="F83">
            <v>0</v>
          </cell>
          <cell r="G83">
            <v>50</v>
          </cell>
          <cell r="H83">
            <v>1</v>
          </cell>
          <cell r="I83">
            <v>54</v>
          </cell>
          <cell r="J83">
            <v>0</v>
          </cell>
          <cell r="K83">
            <v>75</v>
          </cell>
          <cell r="L83">
            <v>0</v>
          </cell>
          <cell r="M83">
            <v>179</v>
          </cell>
        </row>
        <row r="84">
          <cell r="B84">
            <v>3022</v>
          </cell>
          <cell r="C84" t="str">
            <v>CP INSTITUTO AVANTE ELITE DO FUTURO</v>
          </cell>
          <cell r="D84">
            <v>122</v>
          </cell>
          <cell r="E84">
            <v>7</v>
          </cell>
          <cell r="F84">
            <v>0</v>
          </cell>
          <cell r="G84">
            <v>23</v>
          </cell>
          <cell r="H84">
            <v>0</v>
          </cell>
          <cell r="I84">
            <v>43</v>
          </cell>
          <cell r="J84">
            <v>0</v>
          </cell>
          <cell r="K84">
            <v>47</v>
          </cell>
          <cell r="L84">
            <v>1</v>
          </cell>
          <cell r="M84">
            <v>120</v>
          </cell>
        </row>
        <row r="85">
          <cell r="B85">
            <v>3023</v>
          </cell>
          <cell r="C85" t="str">
            <v>CP LAR DE MARIA DOLORES</v>
          </cell>
          <cell r="D85">
            <v>92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15</v>
          </cell>
          <cell r="J85">
            <v>0</v>
          </cell>
          <cell r="K85">
            <v>29</v>
          </cell>
          <cell r="L85">
            <v>1</v>
          </cell>
          <cell r="M85">
            <v>44</v>
          </cell>
        </row>
        <row r="86">
          <cell r="B86">
            <v>3024</v>
          </cell>
          <cell r="C86" t="str">
            <v>CP CASA DE LEYLÁ</v>
          </cell>
          <cell r="D86">
            <v>135</v>
          </cell>
          <cell r="E86">
            <v>0</v>
          </cell>
          <cell r="F86">
            <v>0</v>
          </cell>
          <cell r="G86">
            <v>34</v>
          </cell>
          <cell r="H86">
            <v>0</v>
          </cell>
          <cell r="I86">
            <v>49</v>
          </cell>
          <cell r="J86">
            <v>0</v>
          </cell>
          <cell r="K86">
            <v>48</v>
          </cell>
          <cell r="L86">
            <v>2</v>
          </cell>
          <cell r="M86">
            <v>131</v>
          </cell>
        </row>
        <row r="87">
          <cell r="B87">
            <v>3025</v>
          </cell>
          <cell r="C87" t="str">
            <v>CP CENTRO CULTURAL EDUCAR - UNIDADE II</v>
          </cell>
          <cell r="D87">
            <v>157</v>
          </cell>
          <cell r="E87">
            <v>0</v>
          </cell>
          <cell r="F87">
            <v>0</v>
          </cell>
          <cell r="G87">
            <v>42</v>
          </cell>
          <cell r="H87">
            <v>0</v>
          </cell>
          <cell r="I87">
            <v>58</v>
          </cell>
          <cell r="J87">
            <v>0</v>
          </cell>
          <cell r="K87">
            <v>57</v>
          </cell>
          <cell r="L87">
            <v>0</v>
          </cell>
          <cell r="M87">
            <v>157</v>
          </cell>
        </row>
        <row r="88">
          <cell r="B88">
            <v>3026</v>
          </cell>
          <cell r="C88" t="str">
            <v>CP CHALÉ SEMENTINHA</v>
          </cell>
          <cell r="D88">
            <v>243</v>
          </cell>
          <cell r="E88">
            <v>4</v>
          </cell>
          <cell r="F88">
            <v>0</v>
          </cell>
          <cell r="G88">
            <v>47</v>
          </cell>
          <cell r="H88">
            <v>0</v>
          </cell>
          <cell r="I88">
            <v>107</v>
          </cell>
          <cell r="J88">
            <v>2</v>
          </cell>
          <cell r="K88">
            <v>79</v>
          </cell>
          <cell r="L88">
            <v>3</v>
          </cell>
          <cell r="M88">
            <v>237</v>
          </cell>
        </row>
        <row r="89">
          <cell r="B89">
            <v>3027</v>
          </cell>
          <cell r="C89" t="str">
            <v>CP CRECHE ALFA MASTER</v>
          </cell>
          <cell r="D89">
            <v>269</v>
          </cell>
          <cell r="E89">
            <v>0</v>
          </cell>
          <cell r="F89">
            <v>0</v>
          </cell>
          <cell r="G89">
            <v>74</v>
          </cell>
          <cell r="H89">
            <v>0</v>
          </cell>
          <cell r="I89">
            <v>60</v>
          </cell>
          <cell r="J89">
            <v>0</v>
          </cell>
          <cell r="K89">
            <v>86</v>
          </cell>
          <cell r="L89">
            <v>0</v>
          </cell>
          <cell r="M89">
            <v>220</v>
          </cell>
        </row>
        <row r="90">
          <cell r="B90">
            <v>3028</v>
          </cell>
          <cell r="C90" t="str">
            <v>CP ESTRELINHA DO MAR</v>
          </cell>
          <cell r="D90">
            <v>100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56</v>
          </cell>
          <cell r="J90">
            <v>0</v>
          </cell>
          <cell r="K90">
            <v>38</v>
          </cell>
          <cell r="L90">
            <v>2</v>
          </cell>
          <cell r="M90">
            <v>94</v>
          </cell>
        </row>
        <row r="91">
          <cell r="B91">
            <v>3029</v>
          </cell>
          <cell r="C91" t="str">
            <v>CP CRECHE BRINCANDO COM O JUNINHO</v>
          </cell>
          <cell r="D91">
            <v>90</v>
          </cell>
          <cell r="E91">
            <v>0</v>
          </cell>
          <cell r="F91">
            <v>0</v>
          </cell>
          <cell r="G91">
            <v>27</v>
          </cell>
          <cell r="H91">
            <v>0</v>
          </cell>
          <cell r="I91">
            <v>35</v>
          </cell>
          <cell r="J91">
            <v>0</v>
          </cell>
          <cell r="K91">
            <v>30</v>
          </cell>
          <cell r="L91">
            <v>0</v>
          </cell>
          <cell r="M91">
            <v>92</v>
          </cell>
        </row>
        <row r="92">
          <cell r="B92">
            <v>3030</v>
          </cell>
          <cell r="C92" t="str">
            <v>CP CRECHE TIO KITO</v>
          </cell>
          <cell r="D92">
            <v>80</v>
          </cell>
          <cell r="E92">
            <v>0</v>
          </cell>
          <cell r="F92">
            <v>0</v>
          </cell>
          <cell r="G92">
            <v>16</v>
          </cell>
          <cell r="H92">
            <v>0</v>
          </cell>
          <cell r="I92">
            <v>25</v>
          </cell>
          <cell r="J92">
            <v>0</v>
          </cell>
          <cell r="K92">
            <v>28</v>
          </cell>
          <cell r="L92">
            <v>0</v>
          </cell>
          <cell r="M92">
            <v>69</v>
          </cell>
        </row>
        <row r="93">
          <cell r="B93">
            <v>3031</v>
          </cell>
          <cell r="C93" t="str">
            <v>CP ESCOLA COMUNITÁRIA JARDIM ARCO-ÍRIS - UNIDADE I</v>
          </cell>
          <cell r="D93">
            <v>88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45</v>
          </cell>
          <cell r="J93">
            <v>0</v>
          </cell>
          <cell r="K93">
            <v>38</v>
          </cell>
          <cell r="L93">
            <v>3</v>
          </cell>
          <cell r="M93">
            <v>83</v>
          </cell>
        </row>
        <row r="94">
          <cell r="B94">
            <v>3032</v>
          </cell>
          <cell r="C94" t="str">
            <v>CP NÚCLEO RECREATIVO RAIOZINHO DE SOL</v>
          </cell>
          <cell r="D94">
            <v>34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13</v>
          </cell>
          <cell r="J94">
            <v>2</v>
          </cell>
          <cell r="K94">
            <v>17</v>
          </cell>
          <cell r="L94">
            <v>1</v>
          </cell>
          <cell r="M94">
            <v>30</v>
          </cell>
        </row>
        <row r="95">
          <cell r="B95">
            <v>3033</v>
          </cell>
          <cell r="C95" t="str">
            <v>CP INSTITUTO EDUCACIONAL T &amp; P CONQUISTA</v>
          </cell>
          <cell r="D95">
            <v>200</v>
          </cell>
          <cell r="E95">
            <v>2</v>
          </cell>
          <cell r="F95">
            <v>0</v>
          </cell>
          <cell r="G95">
            <v>59</v>
          </cell>
          <cell r="H95">
            <v>0</v>
          </cell>
          <cell r="I95">
            <v>65</v>
          </cell>
          <cell r="J95">
            <v>0</v>
          </cell>
          <cell r="K95">
            <v>73</v>
          </cell>
          <cell r="L95">
            <v>0</v>
          </cell>
          <cell r="M95">
            <v>199</v>
          </cell>
        </row>
        <row r="96">
          <cell r="B96">
            <v>3034</v>
          </cell>
          <cell r="C96" t="str">
            <v>CP CRECHE RISCO E RABISCO</v>
          </cell>
          <cell r="D96">
            <v>100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47</v>
          </cell>
          <cell r="J96">
            <v>2</v>
          </cell>
          <cell r="K96">
            <v>48</v>
          </cell>
          <cell r="L96">
            <v>1</v>
          </cell>
          <cell r="M96">
            <v>95</v>
          </cell>
        </row>
        <row r="97">
          <cell r="B97">
            <v>3035</v>
          </cell>
          <cell r="C97" t="str">
            <v>CP CENTRO EDUCACIONAL SÃO VICENTE DE PAULO</v>
          </cell>
          <cell r="D97">
            <v>67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29</v>
          </cell>
          <cell r="J97">
            <v>0</v>
          </cell>
          <cell r="K97">
            <v>37</v>
          </cell>
          <cell r="L97">
            <v>1</v>
          </cell>
          <cell r="M97">
            <v>66</v>
          </cell>
        </row>
        <row r="98">
          <cell r="B98">
            <v>3036</v>
          </cell>
          <cell r="C98" t="str">
            <v>CP CENTRO CULTURAL EVOLUIR</v>
          </cell>
          <cell r="D98">
            <v>147</v>
          </cell>
          <cell r="E98">
            <v>0</v>
          </cell>
          <cell r="F98">
            <v>0</v>
          </cell>
          <cell r="G98">
            <v>33</v>
          </cell>
          <cell r="H98">
            <v>0</v>
          </cell>
          <cell r="I98">
            <v>46</v>
          </cell>
          <cell r="J98">
            <v>0</v>
          </cell>
          <cell r="K98">
            <v>65</v>
          </cell>
          <cell r="L98">
            <v>2</v>
          </cell>
          <cell r="M98">
            <v>144</v>
          </cell>
        </row>
        <row r="99">
          <cell r="B99">
            <v>3037</v>
          </cell>
          <cell r="C99" t="str">
            <v>CP CRECHE FRUTOS DO AMANHÃ I</v>
          </cell>
          <cell r="D99">
            <v>180</v>
          </cell>
          <cell r="E99">
            <v>0</v>
          </cell>
          <cell r="F99">
            <v>0</v>
          </cell>
          <cell r="G99">
            <v>18</v>
          </cell>
          <cell r="H99">
            <v>0</v>
          </cell>
          <cell r="I99">
            <v>62</v>
          </cell>
          <cell r="J99">
            <v>0</v>
          </cell>
          <cell r="K99">
            <v>97</v>
          </cell>
          <cell r="L99">
            <v>3</v>
          </cell>
          <cell r="M99">
            <v>177</v>
          </cell>
        </row>
        <row r="100">
          <cell r="B100">
            <v>3038</v>
          </cell>
          <cell r="C100" t="str">
            <v>CP CRECHE FRUTOS DO AMANHÃ II</v>
          </cell>
          <cell r="D100">
            <v>163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88</v>
          </cell>
          <cell r="J100">
            <v>2</v>
          </cell>
          <cell r="K100">
            <v>73</v>
          </cell>
          <cell r="L100">
            <v>2</v>
          </cell>
          <cell r="M100">
            <v>161</v>
          </cell>
        </row>
        <row r="101">
          <cell r="B101">
            <v>3039</v>
          </cell>
          <cell r="C101" t="str">
            <v>CP CRECHE COMUNITÁRIA CÉU AZUL</v>
          </cell>
          <cell r="D101">
            <v>50</v>
          </cell>
          <cell r="E101">
            <v>0</v>
          </cell>
          <cell r="F101">
            <v>0</v>
          </cell>
          <cell r="G101">
            <v>20</v>
          </cell>
          <cell r="H101">
            <v>0</v>
          </cell>
          <cell r="I101">
            <v>0</v>
          </cell>
          <cell r="J101">
            <v>0</v>
          </cell>
          <cell r="K101">
            <v>10</v>
          </cell>
          <cell r="L101">
            <v>0</v>
          </cell>
          <cell r="M101">
            <v>30</v>
          </cell>
        </row>
        <row r="102">
          <cell r="B102">
            <v>3040</v>
          </cell>
          <cell r="C102" t="str">
            <v>CP ASSOCIAÇÃO CRESCENCIO UNIDADE II</v>
          </cell>
          <cell r="D102">
            <v>70</v>
          </cell>
          <cell r="E102">
            <v>0</v>
          </cell>
          <cell r="F102">
            <v>0</v>
          </cell>
          <cell r="G102">
            <v>29</v>
          </cell>
          <cell r="H102">
            <v>0</v>
          </cell>
          <cell r="I102">
            <v>18</v>
          </cell>
          <cell r="J102">
            <v>2</v>
          </cell>
          <cell r="K102">
            <v>20</v>
          </cell>
          <cell r="L102">
            <v>0</v>
          </cell>
          <cell r="M102">
            <v>67</v>
          </cell>
        </row>
        <row r="103">
          <cell r="B103">
            <v>3041</v>
          </cell>
          <cell r="C103" t="str">
            <v>CP CENTRO DE DESENVOLVIMENTO INFANTIL ESPELHO D'AGUA</v>
          </cell>
          <cell r="D103">
            <v>50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20</v>
          </cell>
          <cell r="J103">
            <v>2</v>
          </cell>
          <cell r="K103">
            <v>23</v>
          </cell>
          <cell r="L103">
            <v>2</v>
          </cell>
          <cell r="M103">
            <v>43</v>
          </cell>
        </row>
        <row r="104">
          <cell r="B104">
            <v>4001</v>
          </cell>
          <cell r="C104" t="str">
            <v>CP CENTRO EDUCACIONAL APRENDIZ DA MARÉ</v>
          </cell>
          <cell r="D104">
            <v>200</v>
          </cell>
          <cell r="E104">
            <v>0</v>
          </cell>
          <cell r="F104">
            <v>0</v>
          </cell>
          <cell r="G104">
            <v>55</v>
          </cell>
          <cell r="H104">
            <v>0</v>
          </cell>
          <cell r="I104">
            <v>68</v>
          </cell>
          <cell r="J104">
            <v>0</v>
          </cell>
          <cell r="K104">
            <v>77</v>
          </cell>
          <cell r="L104">
            <v>0</v>
          </cell>
          <cell r="M104">
            <v>200</v>
          </cell>
        </row>
        <row r="105">
          <cell r="B105">
            <v>4002</v>
          </cell>
          <cell r="C105" t="str">
            <v>CP INSTITUTO EDUCACIONAL LUIZ ANTONIO - IELA</v>
          </cell>
          <cell r="D105">
            <v>100</v>
          </cell>
          <cell r="E105">
            <v>0</v>
          </cell>
          <cell r="F105">
            <v>0</v>
          </cell>
          <cell r="G105">
            <v>25</v>
          </cell>
          <cell r="H105">
            <v>0</v>
          </cell>
          <cell r="I105">
            <v>44</v>
          </cell>
          <cell r="J105">
            <v>0</v>
          </cell>
          <cell r="K105">
            <v>31</v>
          </cell>
          <cell r="L105">
            <v>0</v>
          </cell>
          <cell r="M105">
            <v>100</v>
          </cell>
        </row>
        <row r="106">
          <cell r="B106">
            <v>4003</v>
          </cell>
          <cell r="C106" t="str">
            <v>CP ASSOCIAÇÃO CIVIL CENTRO EDUCACIONAL COMUNITÁRIO ESTAÇÃO DO SABER</v>
          </cell>
          <cell r="D106">
            <v>142</v>
          </cell>
          <cell r="E106">
            <v>0</v>
          </cell>
          <cell r="F106">
            <v>0</v>
          </cell>
          <cell r="G106">
            <v>44</v>
          </cell>
          <cell r="H106">
            <v>0</v>
          </cell>
          <cell r="I106">
            <v>48</v>
          </cell>
          <cell r="J106">
            <v>0</v>
          </cell>
          <cell r="K106">
            <v>50</v>
          </cell>
          <cell r="L106">
            <v>0</v>
          </cell>
          <cell r="M106">
            <v>142</v>
          </cell>
        </row>
        <row r="107">
          <cell r="B107">
            <v>4004</v>
          </cell>
          <cell r="C107" t="str">
            <v>CP CRECHE DO CENTRO COMUNITÁRIO DA VILA PROLETÁRIA DA PENHA</v>
          </cell>
          <cell r="D107">
            <v>165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66</v>
          </cell>
          <cell r="J107">
            <v>0</v>
          </cell>
          <cell r="K107">
            <v>91</v>
          </cell>
          <cell r="L107">
            <v>0</v>
          </cell>
          <cell r="M107">
            <v>157</v>
          </cell>
        </row>
        <row r="108">
          <cell r="B108">
            <v>4005</v>
          </cell>
          <cell r="C108" t="str">
            <v>CP CASA DE JOEL</v>
          </cell>
          <cell r="D108">
            <v>251</v>
          </cell>
          <cell r="E108">
            <v>0</v>
          </cell>
          <cell r="F108">
            <v>0</v>
          </cell>
          <cell r="G108">
            <v>62</v>
          </cell>
          <cell r="H108">
            <v>0</v>
          </cell>
          <cell r="I108">
            <v>91</v>
          </cell>
          <cell r="J108">
            <v>0</v>
          </cell>
          <cell r="K108">
            <v>96</v>
          </cell>
          <cell r="L108">
            <v>2</v>
          </cell>
          <cell r="M108">
            <v>249</v>
          </cell>
        </row>
        <row r="109">
          <cell r="B109">
            <v>4006</v>
          </cell>
          <cell r="C109" t="str">
            <v>CP COMUNIDADE INSTITUCIONAL ADULÃO TEMPO FELIZ</v>
          </cell>
          <cell r="D109">
            <v>69</v>
          </cell>
          <cell r="E109">
            <v>0</v>
          </cell>
          <cell r="F109">
            <v>0</v>
          </cell>
          <cell r="G109">
            <v>8</v>
          </cell>
          <cell r="H109">
            <v>0</v>
          </cell>
          <cell r="I109">
            <v>30</v>
          </cell>
          <cell r="J109">
            <v>0</v>
          </cell>
          <cell r="K109">
            <v>29</v>
          </cell>
          <cell r="L109">
            <v>2</v>
          </cell>
          <cell r="M109">
            <v>67</v>
          </cell>
        </row>
        <row r="110">
          <cell r="B110">
            <v>4007</v>
          </cell>
          <cell r="C110" t="str">
            <v>CP CRECHE CASULO BOM JESUS DA PENHA</v>
          </cell>
          <cell r="D110">
            <v>84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42</v>
          </cell>
          <cell r="J110">
            <v>0</v>
          </cell>
          <cell r="K110">
            <v>42</v>
          </cell>
          <cell r="L110">
            <v>0</v>
          </cell>
          <cell r="M110">
            <v>84</v>
          </cell>
        </row>
        <row r="111">
          <cell r="B111">
            <v>4008</v>
          </cell>
          <cell r="C111" t="str">
            <v>CP CRECHE COMUNITÁRIA CASULO DO PARQUE PROLETÁRIO DA PENHA</v>
          </cell>
          <cell r="D111">
            <v>100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42</v>
          </cell>
          <cell r="J111">
            <v>0</v>
          </cell>
          <cell r="K111">
            <v>50</v>
          </cell>
          <cell r="L111">
            <v>0</v>
          </cell>
          <cell r="M111">
            <v>92</v>
          </cell>
        </row>
        <row r="112">
          <cell r="B112">
            <v>4009</v>
          </cell>
          <cell r="C112" t="str">
            <v>CP CRECHE COMUNITÁRIA DE MANGUINHOS</v>
          </cell>
          <cell r="D112">
            <v>70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24</v>
          </cell>
          <cell r="J112">
            <v>0</v>
          </cell>
          <cell r="K112">
            <v>43</v>
          </cell>
          <cell r="L112">
            <v>0</v>
          </cell>
          <cell r="M112">
            <v>67</v>
          </cell>
        </row>
        <row r="113">
          <cell r="B113">
            <v>4010</v>
          </cell>
          <cell r="C113" t="str">
            <v>CP CRECHE COMUNITÁRIA SAGRADO CORAÇÃO DE MARIA</v>
          </cell>
          <cell r="D113">
            <v>125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50</v>
          </cell>
          <cell r="J113">
            <v>0</v>
          </cell>
          <cell r="K113">
            <v>75</v>
          </cell>
          <cell r="L113">
            <v>0</v>
          </cell>
          <cell r="M113">
            <v>125</v>
          </cell>
        </row>
        <row r="114">
          <cell r="B114">
            <v>4011</v>
          </cell>
          <cell r="C114" t="str">
            <v>CP CRECHE E PRÉ-ESCOLA NOVA JERUSALÉM</v>
          </cell>
          <cell r="D114">
            <v>140</v>
          </cell>
          <cell r="E114">
            <v>0</v>
          </cell>
          <cell r="F114">
            <v>0</v>
          </cell>
          <cell r="G114">
            <v>39</v>
          </cell>
          <cell r="H114">
            <v>0</v>
          </cell>
          <cell r="I114">
            <v>49</v>
          </cell>
          <cell r="J114">
            <v>1</v>
          </cell>
          <cell r="K114">
            <v>39</v>
          </cell>
          <cell r="L114">
            <v>0</v>
          </cell>
          <cell r="M114">
            <v>127</v>
          </cell>
        </row>
        <row r="115">
          <cell r="B115">
            <v>4012</v>
          </cell>
          <cell r="C115" t="str">
            <v>CP CRECHE ESCOLA MIMI I</v>
          </cell>
          <cell r="D115">
            <v>125</v>
          </cell>
          <cell r="E115">
            <v>0</v>
          </cell>
          <cell r="F115">
            <v>0</v>
          </cell>
          <cell r="G115">
            <v>25</v>
          </cell>
          <cell r="H115">
            <v>0</v>
          </cell>
          <cell r="I115">
            <v>50</v>
          </cell>
          <cell r="J115">
            <v>0</v>
          </cell>
          <cell r="K115">
            <v>50</v>
          </cell>
          <cell r="L115">
            <v>0</v>
          </cell>
          <cell r="M115">
            <v>125</v>
          </cell>
        </row>
        <row r="116">
          <cell r="B116">
            <v>4013</v>
          </cell>
          <cell r="C116" t="str">
            <v>CP RECANTO DA CRIANÇA FELIZ</v>
          </cell>
          <cell r="D116">
            <v>80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40</v>
          </cell>
          <cell r="J116">
            <v>0</v>
          </cell>
          <cell r="K116">
            <v>37</v>
          </cell>
          <cell r="L116">
            <v>3</v>
          </cell>
          <cell r="M116">
            <v>77</v>
          </cell>
        </row>
        <row r="117">
          <cell r="B117">
            <v>4014</v>
          </cell>
          <cell r="C117" t="str">
            <v>CP CRECHE SAGRADO CORAÇÃO DE MARIA E SANTO ANTÔNIO</v>
          </cell>
          <cell r="D117">
            <v>150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75</v>
          </cell>
          <cell r="J117">
            <v>0</v>
          </cell>
          <cell r="K117">
            <v>74</v>
          </cell>
          <cell r="L117">
            <v>1</v>
          </cell>
          <cell r="M117">
            <v>149</v>
          </cell>
        </row>
        <row r="118">
          <cell r="B118">
            <v>4015</v>
          </cell>
          <cell r="C118" t="str">
            <v>CP ESPAÇO DE EDUCAÇÃO INFANTIL VILA DO JOÃO</v>
          </cell>
          <cell r="D118">
            <v>217</v>
          </cell>
          <cell r="E118">
            <v>17</v>
          </cell>
          <cell r="F118">
            <v>0</v>
          </cell>
          <cell r="G118">
            <v>65</v>
          </cell>
          <cell r="H118">
            <v>1</v>
          </cell>
          <cell r="I118">
            <v>68</v>
          </cell>
          <cell r="J118">
            <v>0</v>
          </cell>
          <cell r="K118">
            <v>66</v>
          </cell>
          <cell r="L118">
            <v>0</v>
          </cell>
          <cell r="M118">
            <v>216</v>
          </cell>
        </row>
        <row r="119">
          <cell r="B119">
            <v>4016</v>
          </cell>
          <cell r="C119" t="str">
            <v>CP CRECHE LAR IRMÃO FRANCISCO</v>
          </cell>
          <cell r="D119">
            <v>140</v>
          </cell>
          <cell r="E119">
            <v>0</v>
          </cell>
          <cell r="F119">
            <v>0</v>
          </cell>
          <cell r="G119">
            <v>45</v>
          </cell>
          <cell r="H119">
            <v>0</v>
          </cell>
          <cell r="I119">
            <v>48</v>
          </cell>
          <cell r="J119">
            <v>1</v>
          </cell>
          <cell r="K119">
            <v>44</v>
          </cell>
          <cell r="L119">
            <v>1</v>
          </cell>
          <cell r="M119">
            <v>137</v>
          </cell>
        </row>
        <row r="120">
          <cell r="B120">
            <v>4017</v>
          </cell>
          <cell r="C120" t="str">
            <v>CP ASSOCIAÇÃO CENTRO EDUCACIONAL REBRAL I</v>
          </cell>
          <cell r="D120">
            <v>202</v>
          </cell>
          <cell r="E120">
            <v>0</v>
          </cell>
          <cell r="F120">
            <v>0</v>
          </cell>
          <cell r="G120">
            <v>45</v>
          </cell>
          <cell r="H120">
            <v>0</v>
          </cell>
          <cell r="I120">
            <v>72</v>
          </cell>
          <cell r="J120">
            <v>2</v>
          </cell>
          <cell r="K120">
            <v>69</v>
          </cell>
          <cell r="L120">
            <v>4</v>
          </cell>
          <cell r="M120">
            <v>186</v>
          </cell>
        </row>
        <row r="121">
          <cell r="B121">
            <v>4018</v>
          </cell>
          <cell r="C121" t="str">
            <v>CP SOCIEDADE DE ENSINO TEREZA CRISTINA</v>
          </cell>
          <cell r="D121">
            <v>210</v>
          </cell>
          <cell r="E121">
            <v>0</v>
          </cell>
          <cell r="F121">
            <v>0</v>
          </cell>
          <cell r="G121">
            <v>46</v>
          </cell>
          <cell r="H121">
            <v>0</v>
          </cell>
          <cell r="I121">
            <v>76</v>
          </cell>
          <cell r="J121">
            <v>2</v>
          </cell>
          <cell r="K121">
            <v>86</v>
          </cell>
          <cell r="L121">
            <v>1</v>
          </cell>
          <cell r="M121">
            <v>208</v>
          </cell>
        </row>
        <row r="122">
          <cell r="B122">
            <v>4020</v>
          </cell>
          <cell r="C122" t="str">
            <v>CP CENTRO CULTURAL EDUCAR</v>
          </cell>
          <cell r="D122">
            <v>215</v>
          </cell>
          <cell r="E122">
            <v>0</v>
          </cell>
          <cell r="F122">
            <v>0</v>
          </cell>
          <cell r="G122">
            <v>47</v>
          </cell>
          <cell r="H122">
            <v>0</v>
          </cell>
          <cell r="I122">
            <v>67</v>
          </cell>
          <cell r="J122">
            <v>1</v>
          </cell>
          <cell r="K122">
            <v>55</v>
          </cell>
          <cell r="L122">
            <v>0</v>
          </cell>
          <cell r="M122">
            <v>169</v>
          </cell>
        </row>
        <row r="123">
          <cell r="B123">
            <v>4021</v>
          </cell>
          <cell r="C123" t="str">
            <v>CP ASSOCIAÇÃO CENTRO EDUCACIONAL REBRAL II</v>
          </cell>
          <cell r="D123">
            <v>215</v>
          </cell>
          <cell r="E123">
            <v>0</v>
          </cell>
          <cell r="F123">
            <v>0</v>
          </cell>
          <cell r="G123">
            <v>28</v>
          </cell>
          <cell r="H123">
            <v>0</v>
          </cell>
          <cell r="I123">
            <v>68</v>
          </cell>
          <cell r="J123">
            <v>1</v>
          </cell>
          <cell r="K123">
            <v>106</v>
          </cell>
          <cell r="L123">
            <v>2</v>
          </cell>
          <cell r="M123">
            <v>202</v>
          </cell>
        </row>
        <row r="124">
          <cell r="B124">
            <v>4022</v>
          </cell>
          <cell r="C124" t="str">
            <v>CP CRECHE VALE DO SOL NO GROTÃO</v>
          </cell>
          <cell r="D124">
            <v>273</v>
          </cell>
          <cell r="E124">
            <v>0</v>
          </cell>
          <cell r="F124">
            <v>0</v>
          </cell>
          <cell r="G124">
            <v>70</v>
          </cell>
          <cell r="H124">
            <v>0</v>
          </cell>
          <cell r="I124">
            <v>80</v>
          </cell>
          <cell r="J124">
            <v>0</v>
          </cell>
          <cell r="K124">
            <v>120</v>
          </cell>
          <cell r="L124">
            <v>3</v>
          </cell>
          <cell r="M124">
            <v>270</v>
          </cell>
        </row>
        <row r="125">
          <cell r="B125">
            <v>4023</v>
          </cell>
          <cell r="C125" t="str">
            <v>CP CENTRO CULTURAL EDUCAR - UNIDADE III</v>
          </cell>
          <cell r="D125">
            <v>275</v>
          </cell>
          <cell r="E125">
            <v>0</v>
          </cell>
          <cell r="F125">
            <v>0</v>
          </cell>
          <cell r="G125">
            <v>77</v>
          </cell>
          <cell r="H125">
            <v>0</v>
          </cell>
          <cell r="I125">
            <v>93</v>
          </cell>
          <cell r="J125">
            <v>0</v>
          </cell>
          <cell r="K125">
            <v>88</v>
          </cell>
          <cell r="L125">
            <v>0</v>
          </cell>
          <cell r="M125">
            <v>258</v>
          </cell>
        </row>
        <row r="126">
          <cell r="B126">
            <v>4024</v>
          </cell>
          <cell r="C126" t="str">
            <v>CP CRECHE VALE DO SOL</v>
          </cell>
          <cell r="D126">
            <v>269</v>
          </cell>
          <cell r="E126">
            <v>0</v>
          </cell>
          <cell r="F126">
            <v>0</v>
          </cell>
          <cell r="G126">
            <v>54</v>
          </cell>
          <cell r="H126">
            <v>0</v>
          </cell>
          <cell r="I126">
            <v>100</v>
          </cell>
          <cell r="J126">
            <v>0</v>
          </cell>
          <cell r="K126">
            <v>109</v>
          </cell>
          <cell r="L126">
            <v>0</v>
          </cell>
          <cell r="M126">
            <v>263</v>
          </cell>
        </row>
        <row r="127">
          <cell r="B127">
            <v>4025</v>
          </cell>
          <cell r="C127" t="str">
            <v>CP CRECHE E PRÉ-ESCOLA NOVA JERUSALÉM NO CORDOVIL</v>
          </cell>
          <cell r="D127">
            <v>223</v>
          </cell>
          <cell r="E127">
            <v>0</v>
          </cell>
          <cell r="F127">
            <v>0</v>
          </cell>
          <cell r="G127">
            <v>69</v>
          </cell>
          <cell r="H127">
            <v>0</v>
          </cell>
          <cell r="I127">
            <v>81</v>
          </cell>
          <cell r="J127">
            <v>0</v>
          </cell>
          <cell r="K127">
            <v>54</v>
          </cell>
          <cell r="L127">
            <v>0</v>
          </cell>
          <cell r="M127">
            <v>204</v>
          </cell>
        </row>
        <row r="128">
          <cell r="B128">
            <v>4026</v>
          </cell>
          <cell r="C128" t="str">
            <v>CP CRECHE ESCOLA PATINHO ESTUDIOSO</v>
          </cell>
          <cell r="D128">
            <v>49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16</v>
          </cell>
          <cell r="J128">
            <v>0</v>
          </cell>
          <cell r="K128">
            <v>28</v>
          </cell>
          <cell r="L128">
            <v>0</v>
          </cell>
          <cell r="M128">
            <v>44</v>
          </cell>
        </row>
        <row r="129">
          <cell r="B129">
            <v>4027</v>
          </cell>
          <cell r="C129" t="str">
            <v>CP ASSOCIAÇÃO CENTRO EDUCACIONAL REBRAL IV</v>
          </cell>
          <cell r="D129">
            <v>200</v>
          </cell>
          <cell r="E129">
            <v>0</v>
          </cell>
          <cell r="F129">
            <v>0</v>
          </cell>
          <cell r="G129">
            <v>38</v>
          </cell>
          <cell r="H129">
            <v>0</v>
          </cell>
          <cell r="I129">
            <v>77</v>
          </cell>
          <cell r="J129">
            <v>1</v>
          </cell>
          <cell r="K129">
            <v>79</v>
          </cell>
          <cell r="L129">
            <v>0</v>
          </cell>
          <cell r="M129">
            <v>194</v>
          </cell>
        </row>
        <row r="130">
          <cell r="B130">
            <v>4028</v>
          </cell>
          <cell r="C130" t="str">
            <v>CP CRECHE TIA NANE I</v>
          </cell>
          <cell r="D130">
            <v>78</v>
          </cell>
          <cell r="E130">
            <v>0</v>
          </cell>
          <cell r="F130">
            <v>0</v>
          </cell>
          <cell r="G130">
            <v>17</v>
          </cell>
          <cell r="H130">
            <v>0</v>
          </cell>
          <cell r="I130">
            <v>25</v>
          </cell>
          <cell r="J130">
            <v>1</v>
          </cell>
          <cell r="K130">
            <v>30</v>
          </cell>
          <cell r="L130">
            <v>3</v>
          </cell>
          <cell r="M130">
            <v>72</v>
          </cell>
        </row>
        <row r="131">
          <cell r="B131">
            <v>4029</v>
          </cell>
          <cell r="C131" t="str">
            <v>CP SOLZINHO</v>
          </cell>
          <cell r="D131">
            <v>188</v>
          </cell>
          <cell r="E131">
            <v>0</v>
          </cell>
          <cell r="F131">
            <v>0</v>
          </cell>
          <cell r="G131">
            <v>43</v>
          </cell>
          <cell r="H131">
            <v>1</v>
          </cell>
          <cell r="I131">
            <v>71</v>
          </cell>
          <cell r="J131">
            <v>1</v>
          </cell>
          <cell r="K131">
            <v>71</v>
          </cell>
          <cell r="L131">
            <v>1</v>
          </cell>
          <cell r="M131">
            <v>185</v>
          </cell>
        </row>
        <row r="132">
          <cell r="B132">
            <v>4030</v>
          </cell>
          <cell r="C132" t="str">
            <v>CP CRECHE VALE DO SOL II</v>
          </cell>
          <cell r="D132">
            <v>348</v>
          </cell>
          <cell r="E132">
            <v>0</v>
          </cell>
          <cell r="F132">
            <v>0</v>
          </cell>
          <cell r="G132">
            <v>90</v>
          </cell>
          <cell r="H132">
            <v>0</v>
          </cell>
          <cell r="I132">
            <v>118</v>
          </cell>
          <cell r="J132">
            <v>1</v>
          </cell>
          <cell r="K132">
            <v>138</v>
          </cell>
          <cell r="L132">
            <v>0</v>
          </cell>
          <cell r="M132">
            <v>346</v>
          </cell>
        </row>
        <row r="133">
          <cell r="B133">
            <v>4032</v>
          </cell>
          <cell r="C133" t="str">
            <v>CP ASSOCIAÇÃO CENTRO EDUCACIONAL REBRAL V</v>
          </cell>
          <cell r="D133">
            <v>110</v>
          </cell>
          <cell r="E133">
            <v>0</v>
          </cell>
          <cell r="F133">
            <v>0</v>
          </cell>
          <cell r="G133">
            <v>33</v>
          </cell>
          <cell r="H133">
            <v>0</v>
          </cell>
          <cell r="I133">
            <v>31</v>
          </cell>
          <cell r="J133">
            <v>1</v>
          </cell>
          <cell r="K133">
            <v>36</v>
          </cell>
          <cell r="L133">
            <v>3</v>
          </cell>
          <cell r="M133">
            <v>100</v>
          </cell>
        </row>
        <row r="134">
          <cell r="B134">
            <v>4034</v>
          </cell>
          <cell r="C134" t="str">
            <v>CP CASA DE JOEL II</v>
          </cell>
          <cell r="D134">
            <v>57</v>
          </cell>
          <cell r="E134">
            <v>0</v>
          </cell>
          <cell r="F134">
            <v>0</v>
          </cell>
          <cell r="G134">
            <v>23</v>
          </cell>
          <cell r="H134">
            <v>0</v>
          </cell>
          <cell r="I134">
            <v>16</v>
          </cell>
          <cell r="J134">
            <v>0</v>
          </cell>
          <cell r="K134">
            <v>16</v>
          </cell>
          <cell r="L134">
            <v>2</v>
          </cell>
          <cell r="M134">
            <v>55</v>
          </cell>
        </row>
        <row r="135">
          <cell r="B135">
            <v>4035</v>
          </cell>
          <cell r="C135" t="str">
            <v>CP INSTITUTO DE EDUCAÇÃO EUCLIDES DOS SANTOS</v>
          </cell>
          <cell r="D135">
            <v>143</v>
          </cell>
          <cell r="E135">
            <v>0</v>
          </cell>
          <cell r="F135">
            <v>0</v>
          </cell>
          <cell r="G135">
            <v>19</v>
          </cell>
          <cell r="H135">
            <v>0</v>
          </cell>
          <cell r="I135">
            <v>53</v>
          </cell>
          <cell r="J135">
            <v>0</v>
          </cell>
          <cell r="K135">
            <v>71</v>
          </cell>
          <cell r="L135">
            <v>0</v>
          </cell>
          <cell r="M135">
            <v>143</v>
          </cell>
        </row>
        <row r="136">
          <cell r="B136">
            <v>4036</v>
          </cell>
          <cell r="C136" t="str">
            <v>CP CRECHE GIZ COLORIDO</v>
          </cell>
          <cell r="D136">
            <v>58</v>
          </cell>
          <cell r="E136">
            <v>0</v>
          </cell>
          <cell r="F136">
            <v>0</v>
          </cell>
          <cell r="G136">
            <v>18</v>
          </cell>
          <cell r="H136">
            <v>0</v>
          </cell>
          <cell r="I136">
            <v>19</v>
          </cell>
          <cell r="J136">
            <v>0</v>
          </cell>
          <cell r="K136">
            <v>21</v>
          </cell>
          <cell r="L136">
            <v>0</v>
          </cell>
          <cell r="M136">
            <v>58</v>
          </cell>
        </row>
        <row r="137">
          <cell r="B137">
            <v>4037</v>
          </cell>
          <cell r="C137" t="str">
            <v>CP CRECHE ESCOLA MIMI II</v>
          </cell>
          <cell r="D137">
            <v>94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35</v>
          </cell>
          <cell r="J137">
            <v>0</v>
          </cell>
          <cell r="K137">
            <v>59</v>
          </cell>
          <cell r="L137">
            <v>0</v>
          </cell>
          <cell r="M137">
            <v>94</v>
          </cell>
        </row>
        <row r="138">
          <cell r="B138">
            <v>4038</v>
          </cell>
          <cell r="C138" t="str">
            <v>CP ASSOCIAÇÃO CENTRO EDUCACIONAL REBRAL VIII</v>
          </cell>
          <cell r="D138">
            <v>412</v>
          </cell>
          <cell r="E138">
            <v>0</v>
          </cell>
          <cell r="F138">
            <v>0</v>
          </cell>
          <cell r="G138">
            <v>70</v>
          </cell>
          <cell r="H138">
            <v>1</v>
          </cell>
          <cell r="I138">
            <v>100</v>
          </cell>
          <cell r="J138">
            <v>0</v>
          </cell>
          <cell r="K138">
            <v>107</v>
          </cell>
          <cell r="L138">
            <v>1</v>
          </cell>
          <cell r="M138">
            <v>277</v>
          </cell>
        </row>
        <row r="139">
          <cell r="B139">
            <v>4039</v>
          </cell>
          <cell r="C139" t="str">
            <v>CP ASSOCIAÇÃO CENTRO EDUCACIONAL REBRAL IX</v>
          </cell>
          <cell r="D139">
            <v>132</v>
          </cell>
          <cell r="E139">
            <v>0</v>
          </cell>
          <cell r="F139">
            <v>0</v>
          </cell>
          <cell r="G139">
            <v>24</v>
          </cell>
          <cell r="H139">
            <v>0</v>
          </cell>
          <cell r="I139">
            <v>49</v>
          </cell>
          <cell r="J139">
            <v>0</v>
          </cell>
          <cell r="K139">
            <v>59</v>
          </cell>
          <cell r="L139">
            <v>0</v>
          </cell>
          <cell r="M139">
            <v>132</v>
          </cell>
        </row>
        <row r="140">
          <cell r="B140">
            <v>4040</v>
          </cell>
          <cell r="C140" t="str">
            <v>CP ASSOCIAÇÃO CENTRO EDUCACIONAL REBRAL X</v>
          </cell>
          <cell r="D140">
            <v>228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101</v>
          </cell>
          <cell r="J140">
            <v>0</v>
          </cell>
          <cell r="K140">
            <v>121</v>
          </cell>
          <cell r="L140">
            <v>3</v>
          </cell>
          <cell r="M140">
            <v>222</v>
          </cell>
        </row>
        <row r="141">
          <cell r="B141">
            <v>4041</v>
          </cell>
          <cell r="C141" t="str">
            <v>CP CRECHE ESCOLA OTACÍLIO BATISTA</v>
          </cell>
          <cell r="D141">
            <v>54</v>
          </cell>
          <cell r="E141">
            <v>0</v>
          </cell>
          <cell r="F141">
            <v>0</v>
          </cell>
          <cell r="G141">
            <v>18</v>
          </cell>
          <cell r="H141">
            <v>0</v>
          </cell>
          <cell r="I141">
            <v>18</v>
          </cell>
          <cell r="J141">
            <v>0</v>
          </cell>
          <cell r="K141">
            <v>17</v>
          </cell>
          <cell r="L141">
            <v>1</v>
          </cell>
          <cell r="M141">
            <v>53</v>
          </cell>
        </row>
        <row r="142">
          <cell r="B142">
            <v>4042</v>
          </cell>
          <cell r="C142" t="str">
            <v>CP CENTRO CULTURAL PEDACINHO DO CÉU</v>
          </cell>
          <cell r="D142">
            <v>188</v>
          </cell>
          <cell r="E142">
            <v>0</v>
          </cell>
          <cell r="F142">
            <v>0</v>
          </cell>
          <cell r="G142">
            <v>17</v>
          </cell>
          <cell r="H142">
            <v>0</v>
          </cell>
          <cell r="I142">
            <v>89</v>
          </cell>
          <cell r="J142">
            <v>2</v>
          </cell>
          <cell r="K142">
            <v>74</v>
          </cell>
          <cell r="L142">
            <v>6</v>
          </cell>
          <cell r="M142">
            <v>180</v>
          </cell>
        </row>
        <row r="143">
          <cell r="B143">
            <v>4043</v>
          </cell>
          <cell r="C143" t="str">
            <v>CP ASSOCIAÇÃO COMUNITÁRIA EDUCACIONAL FLORESCER</v>
          </cell>
          <cell r="D143">
            <v>89</v>
          </cell>
          <cell r="E143">
            <v>0</v>
          </cell>
          <cell r="F143">
            <v>0</v>
          </cell>
          <cell r="G143">
            <v>24</v>
          </cell>
          <cell r="H143">
            <v>0</v>
          </cell>
          <cell r="I143">
            <v>34</v>
          </cell>
          <cell r="J143">
            <v>0</v>
          </cell>
          <cell r="K143">
            <v>30</v>
          </cell>
          <cell r="L143">
            <v>1</v>
          </cell>
          <cell r="M143">
            <v>88</v>
          </cell>
        </row>
        <row r="144">
          <cell r="B144">
            <v>4044</v>
          </cell>
          <cell r="C144" t="str">
            <v>CP ASSOCIAÇÃO HOUSE BABY - BONSUCESSO</v>
          </cell>
          <cell r="D144">
            <v>217</v>
          </cell>
          <cell r="E144">
            <v>0</v>
          </cell>
          <cell r="F144">
            <v>0</v>
          </cell>
          <cell r="G144">
            <v>60</v>
          </cell>
          <cell r="H144">
            <v>0</v>
          </cell>
          <cell r="I144">
            <v>80</v>
          </cell>
          <cell r="J144">
            <v>1</v>
          </cell>
          <cell r="K144">
            <v>60</v>
          </cell>
          <cell r="L144">
            <v>4</v>
          </cell>
          <cell r="M144">
            <v>200</v>
          </cell>
        </row>
        <row r="145">
          <cell r="B145">
            <v>4045</v>
          </cell>
          <cell r="C145" t="str">
            <v>CP CRECHE CRIANÇA FELIZ EM LUCAS</v>
          </cell>
          <cell r="D145">
            <v>157</v>
          </cell>
          <cell r="E145">
            <v>0</v>
          </cell>
          <cell r="F145">
            <v>0</v>
          </cell>
          <cell r="G145">
            <v>28</v>
          </cell>
          <cell r="H145">
            <v>0</v>
          </cell>
          <cell r="I145">
            <v>64</v>
          </cell>
          <cell r="J145">
            <v>0</v>
          </cell>
          <cell r="K145">
            <v>59</v>
          </cell>
          <cell r="L145">
            <v>0</v>
          </cell>
          <cell r="M145">
            <v>151</v>
          </cell>
        </row>
        <row r="146">
          <cell r="B146">
            <v>4046</v>
          </cell>
          <cell r="C146" t="str">
            <v>CP CRECHE TIA NANE III</v>
          </cell>
          <cell r="D146">
            <v>74</v>
          </cell>
          <cell r="E146">
            <v>0</v>
          </cell>
          <cell r="F146">
            <v>0</v>
          </cell>
          <cell r="G146">
            <v>19</v>
          </cell>
          <cell r="H146">
            <v>0</v>
          </cell>
          <cell r="I146">
            <v>28</v>
          </cell>
          <cell r="J146">
            <v>0</v>
          </cell>
          <cell r="K146">
            <v>26</v>
          </cell>
          <cell r="L146">
            <v>2</v>
          </cell>
          <cell r="M146">
            <v>73</v>
          </cell>
        </row>
        <row r="147">
          <cell r="B147">
            <v>4047</v>
          </cell>
          <cell r="C147" t="str">
            <v>CP CRECHE VALE DO SOL III</v>
          </cell>
          <cell r="D147">
            <v>281</v>
          </cell>
          <cell r="E147">
            <v>0</v>
          </cell>
          <cell r="F147">
            <v>0</v>
          </cell>
          <cell r="G147">
            <v>82</v>
          </cell>
          <cell r="H147">
            <v>1</v>
          </cell>
          <cell r="I147">
            <v>118</v>
          </cell>
          <cell r="J147">
            <v>3</v>
          </cell>
          <cell r="K147">
            <v>71</v>
          </cell>
          <cell r="L147">
            <v>6</v>
          </cell>
          <cell r="M147">
            <v>271</v>
          </cell>
        </row>
        <row r="148">
          <cell r="B148">
            <v>4048</v>
          </cell>
          <cell r="C148" t="str">
            <v>CP INSTITUTO DE EDUCAÇÃO EUCLIDES DOS SANTOS II</v>
          </cell>
          <cell r="D148">
            <v>72</v>
          </cell>
          <cell r="E148">
            <v>0</v>
          </cell>
          <cell r="F148">
            <v>0</v>
          </cell>
          <cell r="G148">
            <v>11</v>
          </cell>
          <cell r="H148">
            <v>0</v>
          </cell>
          <cell r="I148">
            <v>24</v>
          </cell>
          <cell r="J148">
            <v>0</v>
          </cell>
          <cell r="K148">
            <v>37</v>
          </cell>
          <cell r="L148">
            <v>0</v>
          </cell>
          <cell r="M148">
            <v>72</v>
          </cell>
        </row>
        <row r="149">
          <cell r="B149">
            <v>4049</v>
          </cell>
          <cell r="C149" t="str">
            <v>CP INSTITUTO JOSEFA LAURENTINO</v>
          </cell>
          <cell r="D149">
            <v>60</v>
          </cell>
          <cell r="E149">
            <v>0</v>
          </cell>
          <cell r="F149">
            <v>0</v>
          </cell>
          <cell r="G149">
            <v>20</v>
          </cell>
          <cell r="H149">
            <v>0</v>
          </cell>
          <cell r="I149">
            <v>25</v>
          </cell>
          <cell r="J149">
            <v>0</v>
          </cell>
          <cell r="K149">
            <v>15</v>
          </cell>
          <cell r="L149">
            <v>0</v>
          </cell>
          <cell r="M149">
            <v>60</v>
          </cell>
        </row>
        <row r="150">
          <cell r="B150">
            <v>4050</v>
          </cell>
          <cell r="C150" t="str">
            <v>CP CENTRO EDUCACIONAL CARIOQUINHA</v>
          </cell>
          <cell r="D150">
            <v>80</v>
          </cell>
          <cell r="E150">
            <v>0</v>
          </cell>
          <cell r="F150">
            <v>0</v>
          </cell>
          <cell r="G150">
            <v>24</v>
          </cell>
          <cell r="H150">
            <v>0</v>
          </cell>
          <cell r="I150">
            <v>38</v>
          </cell>
          <cell r="J150">
            <v>1</v>
          </cell>
          <cell r="K150">
            <v>14</v>
          </cell>
          <cell r="L150">
            <v>1</v>
          </cell>
          <cell r="M150">
            <v>76</v>
          </cell>
        </row>
        <row r="151">
          <cell r="B151">
            <v>5001</v>
          </cell>
          <cell r="C151" t="str">
            <v>CP ASSOCIAÇÃO AMIGOS DA CRIANÇA - CRECHE ROCHA MIRANDA</v>
          </cell>
          <cell r="D151">
            <v>115</v>
          </cell>
          <cell r="E151">
            <v>7</v>
          </cell>
          <cell r="F151">
            <v>0</v>
          </cell>
          <cell r="G151">
            <v>27</v>
          </cell>
          <cell r="H151">
            <v>0</v>
          </cell>
          <cell r="I151">
            <v>40</v>
          </cell>
          <cell r="J151">
            <v>0</v>
          </cell>
          <cell r="K151">
            <v>40</v>
          </cell>
          <cell r="L151">
            <v>0</v>
          </cell>
          <cell r="M151">
            <v>114</v>
          </cell>
        </row>
        <row r="152">
          <cell r="B152">
            <v>5002</v>
          </cell>
          <cell r="C152" t="str">
            <v>CP CRECHE EFFATÁ</v>
          </cell>
          <cell r="D152">
            <v>56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20</v>
          </cell>
          <cell r="J152">
            <v>1</v>
          </cell>
          <cell r="K152">
            <v>27</v>
          </cell>
          <cell r="L152">
            <v>1</v>
          </cell>
          <cell r="M152">
            <v>47</v>
          </cell>
        </row>
        <row r="153">
          <cell r="B153">
            <v>5003</v>
          </cell>
          <cell r="C153" t="str">
            <v>CP CRECHE PINTINHO DOURADO</v>
          </cell>
          <cell r="D153">
            <v>47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24</v>
          </cell>
          <cell r="J153">
            <v>0</v>
          </cell>
          <cell r="K153">
            <v>22</v>
          </cell>
          <cell r="L153">
            <v>2</v>
          </cell>
          <cell r="M153">
            <v>46</v>
          </cell>
        </row>
        <row r="154">
          <cell r="B154">
            <v>5004</v>
          </cell>
          <cell r="C154" t="str">
            <v>CP CRECHE CASULO SÃO RAFAEL ARCANJO</v>
          </cell>
          <cell r="D154">
            <v>65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29</v>
          </cell>
          <cell r="J154">
            <v>1</v>
          </cell>
          <cell r="K154">
            <v>22</v>
          </cell>
          <cell r="L154">
            <v>1</v>
          </cell>
          <cell r="M154">
            <v>51</v>
          </cell>
        </row>
        <row r="155">
          <cell r="B155">
            <v>5005</v>
          </cell>
          <cell r="C155" t="str">
            <v>CP CRECHE APÓSTOLO SÃO PEDRO</v>
          </cell>
          <cell r="D155">
            <v>100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58</v>
          </cell>
          <cell r="J155">
            <v>1</v>
          </cell>
          <cell r="K155">
            <v>40</v>
          </cell>
          <cell r="L155">
            <v>0</v>
          </cell>
          <cell r="M155">
            <v>98</v>
          </cell>
        </row>
        <row r="156">
          <cell r="B156">
            <v>5006</v>
          </cell>
          <cell r="C156" t="str">
            <v>CP CRECHE CARDEAL CÂMARA</v>
          </cell>
          <cell r="D156">
            <v>200</v>
          </cell>
          <cell r="E156">
            <v>0</v>
          </cell>
          <cell r="F156">
            <v>0</v>
          </cell>
          <cell r="G156">
            <v>36</v>
          </cell>
          <cell r="H156">
            <v>0</v>
          </cell>
          <cell r="I156">
            <v>72</v>
          </cell>
          <cell r="J156">
            <v>4</v>
          </cell>
          <cell r="K156">
            <v>80</v>
          </cell>
          <cell r="L156">
            <v>2</v>
          </cell>
          <cell r="M156">
            <v>188</v>
          </cell>
        </row>
        <row r="157">
          <cell r="B157">
            <v>5007</v>
          </cell>
          <cell r="C157" t="str">
            <v>CP CENTRO COMUNITÁRIO FLOR DO AMANHÃ</v>
          </cell>
          <cell r="D157">
            <v>55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28</v>
          </cell>
          <cell r="J157">
            <v>0</v>
          </cell>
          <cell r="K157">
            <v>27</v>
          </cell>
          <cell r="L157">
            <v>0</v>
          </cell>
          <cell r="M157">
            <v>55</v>
          </cell>
        </row>
        <row r="158">
          <cell r="B158">
            <v>5008</v>
          </cell>
          <cell r="C158" t="str">
            <v>CP ASSOCIAÇÃO HOUSE BABY - VILA KOSMOS</v>
          </cell>
          <cell r="D158">
            <v>152</v>
          </cell>
          <cell r="E158">
            <v>0</v>
          </cell>
          <cell r="F158">
            <v>0</v>
          </cell>
          <cell r="G158">
            <v>63</v>
          </cell>
          <cell r="H158">
            <v>0</v>
          </cell>
          <cell r="I158">
            <v>24</v>
          </cell>
          <cell r="J158">
            <v>0</v>
          </cell>
          <cell r="K158">
            <v>61</v>
          </cell>
          <cell r="L158">
            <v>2</v>
          </cell>
          <cell r="M158">
            <v>148</v>
          </cell>
        </row>
        <row r="159">
          <cell r="B159">
            <v>5009</v>
          </cell>
          <cell r="C159" t="str">
            <v>CP ASSOCIAÇÃO CRECHE ESPERANÇA - IRAJÁ</v>
          </cell>
          <cell r="D159">
            <v>229</v>
          </cell>
          <cell r="E159">
            <v>0</v>
          </cell>
          <cell r="F159">
            <v>0</v>
          </cell>
          <cell r="G159">
            <v>48</v>
          </cell>
          <cell r="H159">
            <v>0</v>
          </cell>
          <cell r="I159">
            <v>90</v>
          </cell>
          <cell r="J159">
            <v>0</v>
          </cell>
          <cell r="K159">
            <v>87</v>
          </cell>
          <cell r="L159">
            <v>2</v>
          </cell>
          <cell r="M159">
            <v>225</v>
          </cell>
        </row>
        <row r="160">
          <cell r="B160">
            <v>5010</v>
          </cell>
          <cell r="C160" t="str">
            <v>CP ASSOCIAÇÃO CENTRO EDUCACIONAL REBRAL VII</v>
          </cell>
          <cell r="D160">
            <v>484</v>
          </cell>
          <cell r="E160">
            <v>0</v>
          </cell>
          <cell r="F160">
            <v>0</v>
          </cell>
          <cell r="G160">
            <v>95</v>
          </cell>
          <cell r="H160">
            <v>0</v>
          </cell>
          <cell r="I160">
            <v>178</v>
          </cell>
          <cell r="J160">
            <v>3</v>
          </cell>
          <cell r="K160">
            <v>192</v>
          </cell>
          <cell r="L160">
            <v>6</v>
          </cell>
          <cell r="M160">
            <v>465</v>
          </cell>
        </row>
        <row r="161">
          <cell r="B161">
            <v>5012</v>
          </cell>
          <cell r="C161" t="str">
            <v>CP ASSOCIAÇÃO CENTRO EDUCACIONAL REBRAL XI</v>
          </cell>
          <cell r="D161">
            <v>269</v>
          </cell>
          <cell r="E161">
            <v>0</v>
          </cell>
          <cell r="F161">
            <v>0</v>
          </cell>
          <cell r="G161">
            <v>27</v>
          </cell>
          <cell r="H161">
            <v>0</v>
          </cell>
          <cell r="I161">
            <v>106</v>
          </cell>
          <cell r="J161">
            <v>3</v>
          </cell>
          <cell r="K161">
            <v>118</v>
          </cell>
          <cell r="L161">
            <v>6</v>
          </cell>
          <cell r="M161">
            <v>251</v>
          </cell>
        </row>
        <row r="162">
          <cell r="B162">
            <v>5013</v>
          </cell>
          <cell r="C162" t="str">
            <v>CP CENTRO EDUCACIONAL SOMAR</v>
          </cell>
          <cell r="D162">
            <v>44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22</v>
          </cell>
          <cell r="J162">
            <v>0</v>
          </cell>
          <cell r="K162">
            <v>20</v>
          </cell>
          <cell r="L162">
            <v>1</v>
          </cell>
          <cell r="M162">
            <v>42</v>
          </cell>
        </row>
        <row r="163">
          <cell r="B163">
            <v>5014</v>
          </cell>
          <cell r="C163" t="str">
            <v>CP AEMMAC - MARECHAL HERMES</v>
          </cell>
          <cell r="D163">
            <v>192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65</v>
          </cell>
          <cell r="J163">
            <v>0</v>
          </cell>
          <cell r="K163">
            <v>123</v>
          </cell>
          <cell r="L163">
            <v>2</v>
          </cell>
          <cell r="M163">
            <v>188</v>
          </cell>
        </row>
        <row r="164">
          <cell r="B164">
            <v>5015</v>
          </cell>
          <cell r="C164" t="str">
            <v>CP AEMMAC - ROCHA MIRANDA</v>
          </cell>
          <cell r="D164">
            <v>261</v>
          </cell>
          <cell r="E164">
            <v>0</v>
          </cell>
          <cell r="F164">
            <v>0</v>
          </cell>
          <cell r="G164">
            <v>19</v>
          </cell>
          <cell r="H164">
            <v>0</v>
          </cell>
          <cell r="I164">
            <v>115</v>
          </cell>
          <cell r="J164">
            <v>5</v>
          </cell>
          <cell r="K164">
            <v>111</v>
          </cell>
          <cell r="L164">
            <v>4</v>
          </cell>
          <cell r="M164">
            <v>245</v>
          </cell>
        </row>
        <row r="165">
          <cell r="B165">
            <v>5016</v>
          </cell>
          <cell r="C165" t="str">
            <v>CP ASSOCIAÇÃO EDUCACIONAL E CULTURAL SÃO BERNARDO - CSB</v>
          </cell>
          <cell r="D165">
            <v>187</v>
          </cell>
          <cell r="E165">
            <v>0</v>
          </cell>
          <cell r="F165">
            <v>0</v>
          </cell>
          <cell r="G165">
            <v>18</v>
          </cell>
          <cell r="H165">
            <v>0</v>
          </cell>
          <cell r="I165">
            <v>95</v>
          </cell>
          <cell r="J165">
            <v>1</v>
          </cell>
          <cell r="K165">
            <v>67</v>
          </cell>
          <cell r="L165">
            <v>1</v>
          </cell>
          <cell r="M165">
            <v>180</v>
          </cell>
        </row>
        <row r="166">
          <cell r="B166">
            <v>6001</v>
          </cell>
          <cell r="C166" t="str">
            <v>CP ESCOLA PATRONATO NOSSA SENHORA DE NAZARÉ</v>
          </cell>
          <cell r="D166">
            <v>114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55</v>
          </cell>
          <cell r="J166">
            <v>1</v>
          </cell>
          <cell r="K166">
            <v>55</v>
          </cell>
          <cell r="L166">
            <v>3</v>
          </cell>
          <cell r="M166">
            <v>110</v>
          </cell>
        </row>
        <row r="167">
          <cell r="B167">
            <v>6002</v>
          </cell>
          <cell r="C167" t="str">
            <v>CP CRECHE GUADALUPE</v>
          </cell>
          <cell r="D167">
            <v>170</v>
          </cell>
          <cell r="E167">
            <v>18</v>
          </cell>
          <cell r="F167">
            <v>0</v>
          </cell>
          <cell r="G167">
            <v>43</v>
          </cell>
          <cell r="H167">
            <v>0</v>
          </cell>
          <cell r="I167">
            <v>51</v>
          </cell>
          <cell r="J167">
            <v>0</v>
          </cell>
          <cell r="K167">
            <v>58</v>
          </cell>
          <cell r="L167">
            <v>1</v>
          </cell>
          <cell r="M167">
            <v>170</v>
          </cell>
        </row>
        <row r="168">
          <cell r="B168">
            <v>6003</v>
          </cell>
          <cell r="C168" t="str">
            <v>CP CRECHE NOSSO LAR</v>
          </cell>
          <cell r="D168">
            <v>101</v>
          </cell>
          <cell r="E168">
            <v>0</v>
          </cell>
          <cell r="F168">
            <v>0</v>
          </cell>
          <cell r="G168">
            <v>15</v>
          </cell>
          <cell r="H168">
            <v>0</v>
          </cell>
          <cell r="I168">
            <v>39</v>
          </cell>
          <cell r="J168">
            <v>0</v>
          </cell>
          <cell r="K168">
            <v>43</v>
          </cell>
          <cell r="L168">
            <v>3</v>
          </cell>
          <cell r="M168">
            <v>97</v>
          </cell>
        </row>
        <row r="169">
          <cell r="B169">
            <v>6004</v>
          </cell>
          <cell r="C169" t="str">
            <v>CP CENTRO COMUNITÁRIO PARQUE UNIDOS DE ACARI</v>
          </cell>
          <cell r="D169">
            <v>84</v>
          </cell>
          <cell r="E169">
            <v>0</v>
          </cell>
          <cell r="F169">
            <v>0</v>
          </cell>
          <cell r="G169">
            <v>10</v>
          </cell>
          <cell r="H169">
            <v>0</v>
          </cell>
          <cell r="I169">
            <v>34</v>
          </cell>
          <cell r="J169">
            <v>0</v>
          </cell>
          <cell r="K169">
            <v>40</v>
          </cell>
          <cell r="L169">
            <v>2</v>
          </cell>
          <cell r="M169">
            <v>84</v>
          </cell>
        </row>
        <row r="170">
          <cell r="B170">
            <v>6005</v>
          </cell>
          <cell r="C170" t="str">
            <v>CP CRECHE DON GUANELLA</v>
          </cell>
          <cell r="D170">
            <v>60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22</v>
          </cell>
          <cell r="J170">
            <v>0</v>
          </cell>
          <cell r="K170">
            <v>38</v>
          </cell>
          <cell r="L170">
            <v>0</v>
          </cell>
          <cell r="M170">
            <v>60</v>
          </cell>
        </row>
        <row r="171">
          <cell r="B171">
            <v>6006</v>
          </cell>
          <cell r="C171" t="str">
            <v>CP CRECHE ESCOLA COMUNITÁRIA TIO PATINHAS</v>
          </cell>
          <cell r="D171">
            <v>90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25</v>
          </cell>
          <cell r="J171">
            <v>0</v>
          </cell>
          <cell r="K171">
            <v>64</v>
          </cell>
          <cell r="L171">
            <v>1</v>
          </cell>
          <cell r="M171">
            <v>89</v>
          </cell>
        </row>
        <row r="172">
          <cell r="B172">
            <v>6007</v>
          </cell>
          <cell r="C172" t="str">
            <v>CP CRECHE ABRINDO PORTAS</v>
          </cell>
          <cell r="D172">
            <v>120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50</v>
          </cell>
          <cell r="J172">
            <v>1</v>
          </cell>
          <cell r="K172">
            <v>68</v>
          </cell>
          <cell r="L172">
            <v>1</v>
          </cell>
          <cell r="M172">
            <v>118</v>
          </cell>
        </row>
        <row r="173">
          <cell r="B173">
            <v>6009</v>
          </cell>
          <cell r="C173" t="str">
            <v>CP CENTRO EDUCACIONAL NOSSA SENHORA APARECIDA</v>
          </cell>
          <cell r="D173">
            <v>322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145</v>
          </cell>
          <cell r="J173">
            <v>1</v>
          </cell>
          <cell r="K173">
            <v>168</v>
          </cell>
          <cell r="L173">
            <v>8</v>
          </cell>
          <cell r="M173">
            <v>313</v>
          </cell>
        </row>
        <row r="174">
          <cell r="B174">
            <v>6012</v>
          </cell>
          <cell r="C174" t="str">
            <v>CP ASSOCIAÇÃO CRESCÊNCIO</v>
          </cell>
          <cell r="D174">
            <v>134</v>
          </cell>
          <cell r="E174">
            <v>0</v>
          </cell>
          <cell r="F174">
            <v>0</v>
          </cell>
          <cell r="G174">
            <v>46</v>
          </cell>
          <cell r="H174">
            <v>0</v>
          </cell>
          <cell r="I174">
            <v>46</v>
          </cell>
          <cell r="J174">
            <v>0</v>
          </cell>
          <cell r="K174">
            <v>43</v>
          </cell>
          <cell r="L174">
            <v>0</v>
          </cell>
          <cell r="M174">
            <v>135</v>
          </cell>
        </row>
        <row r="175">
          <cell r="B175">
            <v>6013</v>
          </cell>
          <cell r="C175" t="str">
            <v>CP CRECHE COMUNITÁRIA AQUARELA</v>
          </cell>
          <cell r="D175">
            <v>103</v>
          </cell>
          <cell r="E175">
            <v>0</v>
          </cell>
          <cell r="F175">
            <v>0</v>
          </cell>
          <cell r="G175">
            <v>25</v>
          </cell>
          <cell r="H175">
            <v>1</v>
          </cell>
          <cell r="I175">
            <v>28</v>
          </cell>
          <cell r="J175">
            <v>0</v>
          </cell>
          <cell r="K175">
            <v>50</v>
          </cell>
          <cell r="L175">
            <v>0</v>
          </cell>
          <cell r="M175">
            <v>103</v>
          </cell>
        </row>
        <row r="176">
          <cell r="B176">
            <v>6015</v>
          </cell>
          <cell r="C176" t="str">
            <v>CP AEMMAC - PAVUNA</v>
          </cell>
          <cell r="D176">
            <v>365</v>
          </cell>
          <cell r="E176">
            <v>1</v>
          </cell>
          <cell r="F176">
            <v>0</v>
          </cell>
          <cell r="G176">
            <v>60</v>
          </cell>
          <cell r="H176">
            <v>0</v>
          </cell>
          <cell r="I176">
            <v>121</v>
          </cell>
          <cell r="J176">
            <v>3</v>
          </cell>
          <cell r="K176">
            <v>164</v>
          </cell>
          <cell r="L176">
            <v>3</v>
          </cell>
          <cell r="M176">
            <v>346</v>
          </cell>
        </row>
        <row r="177">
          <cell r="B177">
            <v>6016</v>
          </cell>
          <cell r="C177" t="str">
            <v>CP CRECHE NOSSO LAR II</v>
          </cell>
          <cell r="D177">
            <v>184</v>
          </cell>
          <cell r="E177">
            <v>0</v>
          </cell>
          <cell r="F177">
            <v>0</v>
          </cell>
          <cell r="G177">
            <v>47</v>
          </cell>
          <cell r="H177">
            <v>1</v>
          </cell>
          <cell r="I177">
            <v>57</v>
          </cell>
          <cell r="J177">
            <v>0</v>
          </cell>
          <cell r="K177">
            <v>72</v>
          </cell>
          <cell r="L177">
            <v>4</v>
          </cell>
          <cell r="M177">
            <v>176</v>
          </cell>
        </row>
        <row r="178">
          <cell r="B178">
            <v>6017</v>
          </cell>
          <cell r="C178" t="str">
            <v>CP CRECHE JOÃO E MARIA</v>
          </cell>
          <cell r="D178">
            <v>45</v>
          </cell>
          <cell r="E178">
            <v>0</v>
          </cell>
          <cell r="F178">
            <v>0</v>
          </cell>
          <cell r="G178">
            <v>12</v>
          </cell>
          <cell r="H178">
            <v>0</v>
          </cell>
          <cell r="I178">
            <v>15</v>
          </cell>
          <cell r="J178">
            <v>0</v>
          </cell>
          <cell r="K178">
            <v>18</v>
          </cell>
          <cell r="L178">
            <v>0</v>
          </cell>
          <cell r="M178">
            <v>45</v>
          </cell>
        </row>
        <row r="179">
          <cell r="B179">
            <v>6018</v>
          </cell>
          <cell r="C179" t="str">
            <v>CP ASSOCIAÇÃO CRECHE ESPERANÇA - COELHO NETO</v>
          </cell>
          <cell r="D179">
            <v>70</v>
          </cell>
          <cell r="E179">
            <v>0</v>
          </cell>
          <cell r="F179">
            <v>0</v>
          </cell>
          <cell r="G179">
            <v>12</v>
          </cell>
          <cell r="H179">
            <v>0</v>
          </cell>
          <cell r="I179">
            <v>31</v>
          </cell>
          <cell r="J179">
            <v>1</v>
          </cell>
          <cell r="K179">
            <v>23</v>
          </cell>
          <cell r="L179">
            <v>2</v>
          </cell>
          <cell r="M179">
            <v>66</v>
          </cell>
        </row>
        <row r="180">
          <cell r="B180">
            <v>7001</v>
          </cell>
          <cell r="C180" t="str">
            <v>CP CRECHE NOVO PALMARES</v>
          </cell>
          <cell r="D180">
            <v>140</v>
          </cell>
          <cell r="E180">
            <v>0</v>
          </cell>
          <cell r="F180">
            <v>0</v>
          </cell>
          <cell r="G180">
            <v>44</v>
          </cell>
          <cell r="H180">
            <v>0</v>
          </cell>
          <cell r="I180">
            <v>48</v>
          </cell>
          <cell r="J180">
            <v>0</v>
          </cell>
          <cell r="K180">
            <v>48</v>
          </cell>
          <cell r="L180">
            <v>0</v>
          </cell>
          <cell r="M180">
            <v>140</v>
          </cell>
        </row>
        <row r="181">
          <cell r="B181">
            <v>7002</v>
          </cell>
          <cell r="C181" t="str">
            <v>CP CRECHE CANTINHO FELIZ</v>
          </cell>
          <cell r="D181">
            <v>115</v>
          </cell>
          <cell r="E181">
            <v>0</v>
          </cell>
          <cell r="F181">
            <v>0</v>
          </cell>
          <cell r="G181">
            <v>19</v>
          </cell>
          <cell r="H181">
            <v>0</v>
          </cell>
          <cell r="I181">
            <v>44</v>
          </cell>
          <cell r="J181">
            <v>0</v>
          </cell>
          <cell r="K181">
            <v>50</v>
          </cell>
          <cell r="L181">
            <v>1</v>
          </cell>
          <cell r="M181">
            <v>113</v>
          </cell>
        </row>
        <row r="182">
          <cell r="B182">
            <v>7003</v>
          </cell>
          <cell r="C182" t="str">
            <v>CP CRECHE ESCOLA MÃE ASTÉRIA</v>
          </cell>
          <cell r="D182">
            <v>323</v>
          </cell>
          <cell r="E182">
            <v>12</v>
          </cell>
          <cell r="F182">
            <v>0</v>
          </cell>
          <cell r="G182">
            <v>69</v>
          </cell>
          <cell r="H182">
            <v>1</v>
          </cell>
          <cell r="I182">
            <v>105</v>
          </cell>
          <cell r="J182">
            <v>3</v>
          </cell>
          <cell r="K182">
            <v>123</v>
          </cell>
          <cell r="L182">
            <v>6</v>
          </cell>
          <cell r="M182">
            <v>309</v>
          </cell>
        </row>
        <row r="183">
          <cell r="B183">
            <v>7004</v>
          </cell>
          <cell r="C183" t="str">
            <v>CP CASA EMILIEN LACAY</v>
          </cell>
          <cell r="D183">
            <v>144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72</v>
          </cell>
          <cell r="J183">
            <v>1</v>
          </cell>
          <cell r="K183">
            <v>72</v>
          </cell>
          <cell r="L183">
            <v>1</v>
          </cell>
          <cell r="M183">
            <v>144</v>
          </cell>
        </row>
        <row r="184">
          <cell r="B184">
            <v>7007</v>
          </cell>
          <cell r="C184" t="str">
            <v>CP SEMENTE DE AMOR</v>
          </cell>
          <cell r="D184">
            <v>120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57</v>
          </cell>
          <cell r="J184">
            <v>1</v>
          </cell>
          <cell r="K184">
            <v>59</v>
          </cell>
          <cell r="L184">
            <v>1</v>
          </cell>
          <cell r="M184">
            <v>116</v>
          </cell>
        </row>
        <row r="185">
          <cell r="B185">
            <v>7008</v>
          </cell>
          <cell r="C185" t="str">
            <v>CP CRECHE SÃO PAULO APÓSTOLO</v>
          </cell>
          <cell r="D185">
            <v>60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36</v>
          </cell>
          <cell r="J185">
            <v>0</v>
          </cell>
          <cell r="K185">
            <v>24</v>
          </cell>
          <cell r="L185">
            <v>0</v>
          </cell>
          <cell r="M185">
            <v>60</v>
          </cell>
        </row>
        <row r="186">
          <cell r="B186">
            <v>7010</v>
          </cell>
          <cell r="C186" t="str">
            <v>CP CRECHE NOVA ESPERANÇA</v>
          </cell>
          <cell r="D186">
            <v>83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40</v>
          </cell>
          <cell r="J186">
            <v>0</v>
          </cell>
          <cell r="K186">
            <v>39</v>
          </cell>
          <cell r="L186">
            <v>1</v>
          </cell>
          <cell r="M186">
            <v>79</v>
          </cell>
        </row>
        <row r="187">
          <cell r="B187">
            <v>7011</v>
          </cell>
          <cell r="C187" t="str">
            <v>CP CRECHE RITA ALEXANDRINA FERREIRA</v>
          </cell>
          <cell r="D187">
            <v>170</v>
          </cell>
          <cell r="E187">
            <v>0</v>
          </cell>
          <cell r="F187">
            <v>0</v>
          </cell>
          <cell r="G187">
            <v>1</v>
          </cell>
          <cell r="H187">
            <v>0</v>
          </cell>
          <cell r="I187">
            <v>75</v>
          </cell>
          <cell r="J187">
            <v>1</v>
          </cell>
          <cell r="K187">
            <v>89</v>
          </cell>
          <cell r="L187">
            <v>1</v>
          </cell>
          <cell r="M187">
            <v>165</v>
          </cell>
        </row>
        <row r="188">
          <cell r="B188">
            <v>7013</v>
          </cell>
          <cell r="C188" t="str">
            <v>CP ESPAÇO DE EDUCAÇÃO INFANTIL CIDADE DE DEUS</v>
          </cell>
          <cell r="D188">
            <v>207</v>
          </cell>
          <cell r="E188">
            <v>22</v>
          </cell>
          <cell r="F188">
            <v>0</v>
          </cell>
          <cell r="G188">
            <v>42</v>
          </cell>
          <cell r="H188">
            <v>0</v>
          </cell>
          <cell r="I188">
            <v>60</v>
          </cell>
          <cell r="J188">
            <v>1</v>
          </cell>
          <cell r="K188">
            <v>68</v>
          </cell>
          <cell r="L188">
            <v>1</v>
          </cell>
          <cell r="M188">
            <v>192</v>
          </cell>
        </row>
        <row r="189">
          <cell r="B189">
            <v>7014</v>
          </cell>
          <cell r="C189" t="str">
            <v>CP CENTRO INTEGRADO SÃO JOSÉ</v>
          </cell>
          <cell r="D189">
            <v>117</v>
          </cell>
          <cell r="E189">
            <v>0</v>
          </cell>
          <cell r="F189">
            <v>0</v>
          </cell>
          <cell r="G189">
            <v>24</v>
          </cell>
          <cell r="H189">
            <v>1</v>
          </cell>
          <cell r="I189">
            <v>43</v>
          </cell>
          <cell r="J189">
            <v>0</v>
          </cell>
          <cell r="K189">
            <v>47</v>
          </cell>
          <cell r="L189">
            <v>2</v>
          </cell>
          <cell r="M189">
            <v>114</v>
          </cell>
        </row>
        <row r="190">
          <cell r="B190">
            <v>7015</v>
          </cell>
          <cell r="C190" t="str">
            <v>CP CRECHE CANTINHO FELIZ II</v>
          </cell>
          <cell r="D190">
            <v>232</v>
          </cell>
          <cell r="E190">
            <v>13</v>
          </cell>
          <cell r="F190">
            <v>0</v>
          </cell>
          <cell r="G190">
            <v>58</v>
          </cell>
          <cell r="H190">
            <v>0</v>
          </cell>
          <cell r="I190">
            <v>85</v>
          </cell>
          <cell r="J190">
            <v>0</v>
          </cell>
          <cell r="K190">
            <v>72</v>
          </cell>
          <cell r="L190">
            <v>2</v>
          </cell>
          <cell r="M190">
            <v>228</v>
          </cell>
        </row>
        <row r="191">
          <cell r="B191">
            <v>7017</v>
          </cell>
          <cell r="C191" t="str">
            <v>CP CRECHE RAIMUNDA NONATA DA SILVA</v>
          </cell>
          <cell r="D191">
            <v>87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27</v>
          </cell>
          <cell r="J191">
            <v>0</v>
          </cell>
          <cell r="K191">
            <v>51</v>
          </cell>
          <cell r="L191">
            <v>3</v>
          </cell>
          <cell r="M191">
            <v>78</v>
          </cell>
        </row>
        <row r="192">
          <cell r="B192">
            <v>7018</v>
          </cell>
          <cell r="C192" t="str">
            <v>CP CRECHE SANT ANA IRMÃ ANCILA</v>
          </cell>
          <cell r="D192">
            <v>155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71</v>
          </cell>
          <cell r="J192">
            <v>0</v>
          </cell>
          <cell r="K192">
            <v>81</v>
          </cell>
          <cell r="L192">
            <v>1</v>
          </cell>
          <cell r="M192">
            <v>152</v>
          </cell>
        </row>
        <row r="193">
          <cell r="B193">
            <v>7019</v>
          </cell>
          <cell r="C193" t="str">
            <v>CP JARDIM ESCOLA TURMINHA DA ARCA - JETA</v>
          </cell>
          <cell r="D193">
            <v>195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94</v>
          </cell>
          <cell r="J193">
            <v>2</v>
          </cell>
          <cell r="K193">
            <v>95</v>
          </cell>
          <cell r="L193">
            <v>1</v>
          </cell>
          <cell r="M193">
            <v>189</v>
          </cell>
        </row>
        <row r="194">
          <cell r="B194">
            <v>7020</v>
          </cell>
          <cell r="C194" t="str">
            <v>CP JARDIM ESCOLA CRESCENDO E APRENDENDO</v>
          </cell>
          <cell r="D194">
            <v>80</v>
          </cell>
          <cell r="E194">
            <v>0</v>
          </cell>
          <cell r="F194">
            <v>0</v>
          </cell>
          <cell r="G194">
            <v>11</v>
          </cell>
          <cell r="H194">
            <v>0</v>
          </cell>
          <cell r="I194">
            <v>53</v>
          </cell>
          <cell r="J194">
            <v>0</v>
          </cell>
          <cell r="K194">
            <v>15</v>
          </cell>
          <cell r="L194">
            <v>1</v>
          </cell>
          <cell r="M194">
            <v>79</v>
          </cell>
        </row>
        <row r="195">
          <cell r="B195">
            <v>7025</v>
          </cell>
          <cell r="C195" t="str">
            <v>CP INSTITUTO CONSUELO PINHEIRO</v>
          </cell>
          <cell r="D195">
            <v>184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90</v>
          </cell>
          <cell r="J195">
            <v>2</v>
          </cell>
          <cell r="K195">
            <v>89</v>
          </cell>
          <cell r="L195">
            <v>3</v>
          </cell>
          <cell r="M195">
            <v>179</v>
          </cell>
        </row>
        <row r="196">
          <cell r="B196">
            <v>7027</v>
          </cell>
          <cell r="C196" t="str">
            <v>CP CRECHE MUNDO MÁGICO I</v>
          </cell>
          <cell r="D196">
            <v>202</v>
          </cell>
          <cell r="E196">
            <v>12</v>
          </cell>
          <cell r="F196">
            <v>0</v>
          </cell>
          <cell r="G196">
            <v>45</v>
          </cell>
          <cell r="H196">
            <v>0</v>
          </cell>
          <cell r="I196">
            <v>66</v>
          </cell>
          <cell r="J196">
            <v>2</v>
          </cell>
          <cell r="K196">
            <v>73</v>
          </cell>
          <cell r="L196">
            <v>1</v>
          </cell>
          <cell r="M196">
            <v>196</v>
          </cell>
        </row>
        <row r="197">
          <cell r="B197">
            <v>7034</v>
          </cell>
          <cell r="C197" t="str">
            <v>CP INSTITUTO EDUCACIONAL DIVA ALVES</v>
          </cell>
          <cell r="D197">
            <v>76</v>
          </cell>
          <cell r="E197">
            <v>0</v>
          </cell>
          <cell r="F197">
            <v>0</v>
          </cell>
          <cell r="G197">
            <v>16</v>
          </cell>
          <cell r="H197">
            <v>0</v>
          </cell>
          <cell r="I197">
            <v>28</v>
          </cell>
          <cell r="J197">
            <v>1</v>
          </cell>
          <cell r="K197">
            <v>28</v>
          </cell>
          <cell r="L197">
            <v>1</v>
          </cell>
          <cell r="M197">
            <v>72</v>
          </cell>
        </row>
        <row r="198">
          <cell r="B198">
            <v>7035</v>
          </cell>
          <cell r="C198" t="str">
            <v>CP AEMMAC - ANIL</v>
          </cell>
          <cell r="D198">
            <v>219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59</v>
          </cell>
          <cell r="J198">
            <v>3</v>
          </cell>
          <cell r="K198">
            <v>138</v>
          </cell>
          <cell r="L198">
            <v>8</v>
          </cell>
          <cell r="M198">
            <v>197</v>
          </cell>
        </row>
        <row r="199">
          <cell r="B199">
            <v>7036</v>
          </cell>
          <cell r="C199" t="str">
            <v>CP CAAD UNIVERSO ENCANTADO</v>
          </cell>
          <cell r="D199">
            <v>179</v>
          </cell>
          <cell r="E199">
            <v>8</v>
          </cell>
          <cell r="F199">
            <v>0</v>
          </cell>
          <cell r="G199">
            <v>68</v>
          </cell>
          <cell r="H199">
            <v>1</v>
          </cell>
          <cell r="I199">
            <v>47</v>
          </cell>
          <cell r="J199">
            <v>1</v>
          </cell>
          <cell r="K199">
            <v>56</v>
          </cell>
          <cell r="L199">
            <v>2</v>
          </cell>
          <cell r="M199">
            <v>179</v>
          </cell>
        </row>
        <row r="200">
          <cell r="B200">
            <v>7037</v>
          </cell>
          <cell r="C200" t="str">
            <v>CP CAAD UNIVERSO DA CRIANÇA</v>
          </cell>
          <cell r="D200">
            <v>300</v>
          </cell>
          <cell r="E200">
            <v>11</v>
          </cell>
          <cell r="F200">
            <v>0</v>
          </cell>
          <cell r="G200">
            <v>89</v>
          </cell>
          <cell r="H200">
            <v>0</v>
          </cell>
          <cell r="I200">
            <v>99</v>
          </cell>
          <cell r="J200">
            <v>1</v>
          </cell>
          <cell r="K200">
            <v>96</v>
          </cell>
          <cell r="L200">
            <v>4</v>
          </cell>
          <cell r="M200">
            <v>295</v>
          </cell>
        </row>
        <row r="201">
          <cell r="B201">
            <v>7038</v>
          </cell>
          <cell r="C201" t="str">
            <v>CP CAAD UNIVERSO DAS FLORES</v>
          </cell>
          <cell r="D201">
            <v>164</v>
          </cell>
          <cell r="E201">
            <v>0</v>
          </cell>
          <cell r="F201">
            <v>0</v>
          </cell>
          <cell r="G201">
            <v>24</v>
          </cell>
          <cell r="H201">
            <v>0</v>
          </cell>
          <cell r="I201">
            <v>58</v>
          </cell>
          <cell r="J201">
            <v>1</v>
          </cell>
          <cell r="K201">
            <v>76</v>
          </cell>
          <cell r="L201">
            <v>2</v>
          </cell>
          <cell r="M201">
            <v>158</v>
          </cell>
        </row>
        <row r="202">
          <cell r="B202">
            <v>7039</v>
          </cell>
          <cell r="C202" t="str">
            <v>CP CRECHE JARDIM CLARICE</v>
          </cell>
          <cell r="D202">
            <v>150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62</v>
          </cell>
          <cell r="J202">
            <v>4</v>
          </cell>
          <cell r="K202">
            <v>79</v>
          </cell>
          <cell r="L202">
            <v>5</v>
          </cell>
          <cell r="M202">
            <v>141</v>
          </cell>
        </row>
        <row r="203">
          <cell r="B203">
            <v>7040</v>
          </cell>
          <cell r="C203" t="str">
            <v>CP CRECHE VALE DO SOL PRAÇA SECA</v>
          </cell>
          <cell r="D203">
            <v>393</v>
          </cell>
          <cell r="E203">
            <v>19</v>
          </cell>
          <cell r="F203">
            <v>0</v>
          </cell>
          <cell r="G203">
            <v>111</v>
          </cell>
          <cell r="H203">
            <v>0</v>
          </cell>
          <cell r="I203">
            <v>136</v>
          </cell>
          <cell r="J203">
            <v>0</v>
          </cell>
          <cell r="K203">
            <v>126</v>
          </cell>
          <cell r="L203">
            <v>1</v>
          </cell>
          <cell r="M203">
            <v>392</v>
          </cell>
        </row>
        <row r="204">
          <cell r="B204">
            <v>7041</v>
          </cell>
          <cell r="C204" t="str">
            <v>CP CRECHE VALE DO SOL TAQUARA</v>
          </cell>
          <cell r="D204">
            <v>125</v>
          </cell>
          <cell r="E204">
            <v>0</v>
          </cell>
          <cell r="F204">
            <v>0</v>
          </cell>
          <cell r="G204">
            <v>25</v>
          </cell>
          <cell r="H204">
            <v>0</v>
          </cell>
          <cell r="I204">
            <v>50</v>
          </cell>
          <cell r="J204">
            <v>0</v>
          </cell>
          <cell r="K204">
            <v>48</v>
          </cell>
          <cell r="L204">
            <v>2</v>
          </cell>
          <cell r="M204">
            <v>123</v>
          </cell>
        </row>
        <row r="205">
          <cell r="B205">
            <v>7042</v>
          </cell>
          <cell r="C205" t="str">
            <v>CP INSTITUTO EDUCACIONAL DIVA ALVES II</v>
          </cell>
          <cell r="D205">
            <v>133</v>
          </cell>
          <cell r="E205">
            <v>10</v>
          </cell>
          <cell r="F205">
            <v>0</v>
          </cell>
          <cell r="G205">
            <v>23</v>
          </cell>
          <cell r="H205">
            <v>0</v>
          </cell>
          <cell r="I205">
            <v>45</v>
          </cell>
          <cell r="J205">
            <v>0</v>
          </cell>
          <cell r="K205">
            <v>51</v>
          </cell>
          <cell r="L205">
            <v>1</v>
          </cell>
          <cell r="M205">
            <v>129</v>
          </cell>
        </row>
        <row r="206">
          <cell r="B206">
            <v>7043</v>
          </cell>
          <cell r="C206" t="str">
            <v>CP ESPAÇO DE EDUCAÇÃO INFANTIL PEQUENO APRENDIZ</v>
          </cell>
          <cell r="D206">
            <v>70</v>
          </cell>
          <cell r="E206">
            <v>12</v>
          </cell>
          <cell r="F206">
            <v>0</v>
          </cell>
          <cell r="G206">
            <v>22</v>
          </cell>
          <cell r="H206">
            <v>0</v>
          </cell>
          <cell r="I206">
            <v>23</v>
          </cell>
          <cell r="J206">
            <v>0</v>
          </cell>
          <cell r="K206">
            <v>11</v>
          </cell>
          <cell r="L206">
            <v>3</v>
          </cell>
          <cell r="M206">
            <v>68</v>
          </cell>
        </row>
        <row r="207">
          <cell r="B207">
            <v>7044</v>
          </cell>
          <cell r="C207" t="str">
            <v>CP CRECHE AMOR DE MÃE</v>
          </cell>
          <cell r="D207">
            <v>184</v>
          </cell>
          <cell r="E207">
            <v>18</v>
          </cell>
          <cell r="F207">
            <v>0</v>
          </cell>
          <cell r="G207">
            <v>45</v>
          </cell>
          <cell r="H207">
            <v>0</v>
          </cell>
          <cell r="I207">
            <v>55</v>
          </cell>
          <cell r="J207">
            <v>0</v>
          </cell>
          <cell r="K207">
            <v>57</v>
          </cell>
          <cell r="L207">
            <v>1</v>
          </cell>
          <cell r="M207">
            <v>175</v>
          </cell>
        </row>
        <row r="208">
          <cell r="B208">
            <v>7045</v>
          </cell>
          <cell r="C208" t="str">
            <v>CP JARDIM ESCOLA TURMINHA DA ARCA - JETA II</v>
          </cell>
          <cell r="D208">
            <v>150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74</v>
          </cell>
          <cell r="J208">
            <v>1</v>
          </cell>
          <cell r="K208">
            <v>72</v>
          </cell>
          <cell r="L208">
            <v>1</v>
          </cell>
          <cell r="M208">
            <v>146</v>
          </cell>
        </row>
        <row r="209">
          <cell r="B209">
            <v>8002</v>
          </cell>
          <cell r="C209" t="str">
            <v>CP CRECHE ESPÍRITA FRANCISCO DE ASSIS</v>
          </cell>
          <cell r="D209">
            <v>35</v>
          </cell>
          <cell r="E209">
            <v>0</v>
          </cell>
          <cell r="F209">
            <v>0</v>
          </cell>
          <cell r="G209">
            <v>10</v>
          </cell>
          <cell r="H209">
            <v>0</v>
          </cell>
          <cell r="I209">
            <v>7</v>
          </cell>
          <cell r="J209">
            <v>0</v>
          </cell>
          <cell r="K209">
            <v>13</v>
          </cell>
          <cell r="L209">
            <v>0</v>
          </cell>
          <cell r="M209">
            <v>30</v>
          </cell>
        </row>
        <row r="210">
          <cell r="B210">
            <v>8003</v>
          </cell>
          <cell r="C210" t="str">
            <v>CP CRECHE CRIANÇA JABOUR</v>
          </cell>
          <cell r="D210">
            <v>80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39</v>
          </cell>
          <cell r="J210">
            <v>0</v>
          </cell>
          <cell r="K210">
            <v>40</v>
          </cell>
          <cell r="L210">
            <v>0</v>
          </cell>
          <cell r="M210">
            <v>79</v>
          </cell>
        </row>
        <row r="211">
          <cell r="B211">
            <v>8004</v>
          </cell>
          <cell r="C211" t="str">
            <v>CP CRECHE COMUNITÁRIA NINO</v>
          </cell>
          <cell r="D211">
            <v>100</v>
          </cell>
          <cell r="E211">
            <v>5</v>
          </cell>
          <cell r="F211">
            <v>0</v>
          </cell>
          <cell r="G211">
            <v>34</v>
          </cell>
          <cell r="H211">
            <v>0</v>
          </cell>
          <cell r="I211">
            <v>29</v>
          </cell>
          <cell r="J211">
            <v>0</v>
          </cell>
          <cell r="K211">
            <v>31</v>
          </cell>
          <cell r="L211">
            <v>0</v>
          </cell>
          <cell r="M211">
            <v>99</v>
          </cell>
        </row>
        <row r="212">
          <cell r="B212">
            <v>8005</v>
          </cell>
          <cell r="C212" t="str">
            <v>CP CRECHE E ESCOLA COMUNITÁRIA GENTE INOCENTE - REALENGO</v>
          </cell>
          <cell r="D212">
            <v>145</v>
          </cell>
          <cell r="E212">
            <v>0</v>
          </cell>
          <cell r="F212">
            <v>0</v>
          </cell>
          <cell r="G212">
            <v>48</v>
          </cell>
          <cell r="H212">
            <v>0</v>
          </cell>
          <cell r="I212">
            <v>48</v>
          </cell>
          <cell r="J212">
            <v>0</v>
          </cell>
          <cell r="K212">
            <v>46</v>
          </cell>
          <cell r="L212">
            <v>1</v>
          </cell>
          <cell r="M212">
            <v>142</v>
          </cell>
        </row>
        <row r="213">
          <cell r="B213">
            <v>8006</v>
          </cell>
          <cell r="C213" t="str">
            <v>CP FUNDAÇÃO CASA DA JOANINHA - CRECHE</v>
          </cell>
          <cell r="D213">
            <v>50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20</v>
          </cell>
          <cell r="J213">
            <v>0</v>
          </cell>
          <cell r="K213">
            <v>30</v>
          </cell>
          <cell r="L213">
            <v>0</v>
          </cell>
          <cell r="M213">
            <v>50</v>
          </cell>
        </row>
        <row r="214">
          <cell r="B214">
            <v>8007</v>
          </cell>
          <cell r="C214" t="str">
            <v>CP CRECHE E ESCOLA COMUNITÁRIA GENTE INOCENTE - BANGU</v>
          </cell>
          <cell r="D214">
            <v>214</v>
          </cell>
          <cell r="E214">
            <v>0</v>
          </cell>
          <cell r="F214">
            <v>0</v>
          </cell>
          <cell r="G214">
            <v>71</v>
          </cell>
          <cell r="H214">
            <v>0</v>
          </cell>
          <cell r="I214">
            <v>71</v>
          </cell>
          <cell r="J214">
            <v>0</v>
          </cell>
          <cell r="K214">
            <v>69</v>
          </cell>
          <cell r="L214">
            <v>2</v>
          </cell>
          <cell r="M214">
            <v>211</v>
          </cell>
        </row>
        <row r="215">
          <cell r="B215">
            <v>8008</v>
          </cell>
          <cell r="C215" t="str">
            <v>CP ASSOCIAÇÃO DE MORADORES DO CONJUNTO PEDRO I E ADJACÊNCIAS</v>
          </cell>
          <cell r="D215">
            <v>40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39</v>
          </cell>
          <cell r="L215">
            <v>0</v>
          </cell>
          <cell r="M215">
            <v>39</v>
          </cell>
        </row>
        <row r="216">
          <cell r="B216">
            <v>8009</v>
          </cell>
          <cell r="C216" t="str">
            <v>CP ASSOCIAÇÃO RECREATIVA PINGUINHO DE GENTE</v>
          </cell>
          <cell r="D216">
            <v>98</v>
          </cell>
          <cell r="E216">
            <v>6</v>
          </cell>
          <cell r="F216">
            <v>0</v>
          </cell>
          <cell r="G216">
            <v>32</v>
          </cell>
          <cell r="H216">
            <v>0</v>
          </cell>
          <cell r="I216">
            <v>30</v>
          </cell>
          <cell r="J216">
            <v>0</v>
          </cell>
          <cell r="K216">
            <v>30</v>
          </cell>
          <cell r="L216">
            <v>0</v>
          </cell>
          <cell r="M216">
            <v>98</v>
          </cell>
        </row>
        <row r="217">
          <cell r="B217">
            <v>8010</v>
          </cell>
          <cell r="C217" t="str">
            <v>CP ASSOCIAÇÃO CENTRO EDUCACIONAL REBRAL III</v>
          </cell>
          <cell r="D217">
            <v>56</v>
          </cell>
          <cell r="E217">
            <v>0</v>
          </cell>
          <cell r="F217">
            <v>0</v>
          </cell>
          <cell r="G217">
            <v>13</v>
          </cell>
          <cell r="H217">
            <v>1</v>
          </cell>
          <cell r="I217">
            <v>19</v>
          </cell>
          <cell r="J217">
            <v>0</v>
          </cell>
          <cell r="K217">
            <v>21</v>
          </cell>
          <cell r="L217">
            <v>1</v>
          </cell>
          <cell r="M217">
            <v>53</v>
          </cell>
        </row>
        <row r="218">
          <cell r="B218">
            <v>8011</v>
          </cell>
          <cell r="C218" t="str">
            <v>CP ESPAÇO DE EDUCAÇÃO INFANTIL BATAN</v>
          </cell>
          <cell r="D218">
            <v>200</v>
          </cell>
          <cell r="E218">
            <v>10</v>
          </cell>
          <cell r="F218">
            <v>0</v>
          </cell>
          <cell r="G218">
            <v>60</v>
          </cell>
          <cell r="H218">
            <v>0</v>
          </cell>
          <cell r="I218">
            <v>63</v>
          </cell>
          <cell r="J218">
            <v>1</v>
          </cell>
          <cell r="K218">
            <v>61</v>
          </cell>
          <cell r="L218">
            <v>0</v>
          </cell>
          <cell r="M218">
            <v>194</v>
          </cell>
        </row>
        <row r="219">
          <cell r="B219">
            <v>8013</v>
          </cell>
          <cell r="C219" t="str">
            <v>CP CENTRO EDUCACIONAL LUIZA</v>
          </cell>
          <cell r="D219">
            <v>103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40</v>
          </cell>
          <cell r="J219">
            <v>1</v>
          </cell>
          <cell r="K219">
            <v>61</v>
          </cell>
          <cell r="L219">
            <v>1</v>
          </cell>
          <cell r="M219">
            <v>101</v>
          </cell>
        </row>
        <row r="220">
          <cell r="B220">
            <v>8014</v>
          </cell>
          <cell r="C220" t="str">
            <v>CP DO.RA., A AVENTUREIRA</v>
          </cell>
          <cell r="D220">
            <v>70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24</v>
          </cell>
          <cell r="J220">
            <v>0</v>
          </cell>
          <cell r="K220">
            <v>43</v>
          </cell>
          <cell r="L220">
            <v>4</v>
          </cell>
          <cell r="M220">
            <v>67</v>
          </cell>
        </row>
        <row r="221">
          <cell r="B221">
            <v>8015</v>
          </cell>
          <cell r="C221" t="str">
            <v>CP CEM CRECHE ESCOLA MACHADO</v>
          </cell>
          <cell r="D221">
            <v>361</v>
          </cell>
          <cell r="E221">
            <v>0</v>
          </cell>
          <cell r="F221">
            <v>0</v>
          </cell>
          <cell r="G221">
            <v>39</v>
          </cell>
          <cell r="H221">
            <v>0</v>
          </cell>
          <cell r="I221">
            <v>78</v>
          </cell>
          <cell r="J221">
            <v>0</v>
          </cell>
          <cell r="K221">
            <v>74</v>
          </cell>
          <cell r="L221">
            <v>0</v>
          </cell>
          <cell r="M221">
            <v>191</v>
          </cell>
        </row>
        <row r="222">
          <cell r="B222">
            <v>8016</v>
          </cell>
          <cell r="C222" t="str">
            <v>CP ASSOCIAÇÃO CENTRO EDUCACIONAL REBRAL VI</v>
          </cell>
          <cell r="D222">
            <v>260</v>
          </cell>
          <cell r="E222">
            <v>0</v>
          </cell>
          <cell r="F222">
            <v>0</v>
          </cell>
          <cell r="G222">
            <v>39</v>
          </cell>
          <cell r="H222">
            <v>0</v>
          </cell>
          <cell r="I222">
            <v>113</v>
          </cell>
          <cell r="J222">
            <v>2</v>
          </cell>
          <cell r="K222">
            <v>96</v>
          </cell>
          <cell r="L222">
            <v>2</v>
          </cell>
          <cell r="M222">
            <v>248</v>
          </cell>
        </row>
        <row r="223">
          <cell r="B223">
            <v>8017</v>
          </cell>
          <cell r="C223" t="str">
            <v>CP ASSOCIAÇÃO CRECHE ESPERANÇA - REALENGO</v>
          </cell>
          <cell r="D223">
            <v>200</v>
          </cell>
          <cell r="E223">
            <v>0</v>
          </cell>
          <cell r="F223">
            <v>0</v>
          </cell>
          <cell r="G223">
            <v>46</v>
          </cell>
          <cell r="H223">
            <v>1</v>
          </cell>
          <cell r="I223">
            <v>56</v>
          </cell>
          <cell r="J223">
            <v>1</v>
          </cell>
          <cell r="K223">
            <v>92</v>
          </cell>
          <cell r="L223">
            <v>1</v>
          </cell>
          <cell r="M223">
            <v>194</v>
          </cell>
        </row>
        <row r="224">
          <cell r="B224">
            <v>8018</v>
          </cell>
          <cell r="C224" t="str">
            <v>CP CRECHE COMUNITÁRIA ESTRELINHA</v>
          </cell>
          <cell r="D224">
            <v>83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26</v>
          </cell>
          <cell r="J224">
            <v>1</v>
          </cell>
          <cell r="K224">
            <v>53</v>
          </cell>
          <cell r="L224">
            <v>0</v>
          </cell>
          <cell r="M224">
            <v>79</v>
          </cell>
        </row>
        <row r="225">
          <cell r="B225">
            <v>8019</v>
          </cell>
          <cell r="C225" t="str">
            <v>CP ESCOLA COMUNITÁRIA JARDIM ARCO-ÍRIS - UNIDADE II</v>
          </cell>
          <cell r="D225">
            <v>149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68</v>
          </cell>
          <cell r="J225">
            <v>0</v>
          </cell>
          <cell r="K225">
            <v>76</v>
          </cell>
          <cell r="L225">
            <v>2</v>
          </cell>
          <cell r="M225">
            <v>144</v>
          </cell>
        </row>
        <row r="226">
          <cell r="B226">
            <v>8021</v>
          </cell>
          <cell r="C226" t="str">
            <v>CP ASSOCIAÇÃO RECREATIVA MUNDO MÁGICO DA TIA NATY</v>
          </cell>
          <cell r="D226">
            <v>38</v>
          </cell>
          <cell r="E226">
            <v>0</v>
          </cell>
          <cell r="F226">
            <v>0</v>
          </cell>
          <cell r="G226">
            <v>10</v>
          </cell>
          <cell r="H226">
            <v>0</v>
          </cell>
          <cell r="I226">
            <v>10</v>
          </cell>
          <cell r="J226">
            <v>0</v>
          </cell>
          <cell r="K226">
            <v>18</v>
          </cell>
          <cell r="L226">
            <v>0</v>
          </cell>
          <cell r="M226">
            <v>38</v>
          </cell>
        </row>
        <row r="227">
          <cell r="B227">
            <v>8022</v>
          </cell>
          <cell r="C227" t="str">
            <v>CP ASSOCIAÇÃO CRECHE ESPERANÇA - MAGALHÃES BASTOS</v>
          </cell>
          <cell r="D227">
            <v>215</v>
          </cell>
          <cell r="E227">
            <v>0</v>
          </cell>
          <cell r="F227">
            <v>0</v>
          </cell>
          <cell r="G227">
            <v>41</v>
          </cell>
          <cell r="H227">
            <v>0</v>
          </cell>
          <cell r="I227">
            <v>84</v>
          </cell>
          <cell r="J227">
            <v>1</v>
          </cell>
          <cell r="K227">
            <v>86</v>
          </cell>
          <cell r="L227">
            <v>1</v>
          </cell>
          <cell r="M227">
            <v>211</v>
          </cell>
        </row>
        <row r="228">
          <cell r="B228">
            <v>8023</v>
          </cell>
          <cell r="C228" t="str">
            <v>CP CRECHE COMUNITÁRIA IRMÃ MARIA DE LOURDES</v>
          </cell>
          <cell r="D228">
            <v>72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36</v>
          </cell>
          <cell r="J228">
            <v>0</v>
          </cell>
          <cell r="K228">
            <v>34</v>
          </cell>
          <cell r="L228">
            <v>1</v>
          </cell>
          <cell r="M228">
            <v>70</v>
          </cell>
        </row>
        <row r="229">
          <cell r="B229">
            <v>8024</v>
          </cell>
          <cell r="C229" t="str">
            <v>CP CEM CRECHE ESCOLA MACHADO - UNIDADE I</v>
          </cell>
          <cell r="D229">
            <v>120</v>
          </cell>
          <cell r="E229">
            <v>0</v>
          </cell>
          <cell r="F229">
            <v>0</v>
          </cell>
          <cell r="G229">
            <v>46</v>
          </cell>
          <cell r="H229">
            <v>0</v>
          </cell>
          <cell r="I229">
            <v>36</v>
          </cell>
          <cell r="J229">
            <v>0</v>
          </cell>
          <cell r="K229">
            <v>27</v>
          </cell>
          <cell r="L229">
            <v>0</v>
          </cell>
          <cell r="M229">
            <v>109</v>
          </cell>
        </row>
        <row r="230">
          <cell r="B230">
            <v>8025</v>
          </cell>
          <cell r="C230" t="str">
            <v>CP ASSOCIAÇÃO RECREATIVA MONIZ BARRETO</v>
          </cell>
          <cell r="D230">
            <v>50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18</v>
          </cell>
          <cell r="J230">
            <v>2</v>
          </cell>
          <cell r="K230">
            <v>28</v>
          </cell>
          <cell r="L230">
            <v>2</v>
          </cell>
          <cell r="M230">
            <v>46</v>
          </cell>
        </row>
        <row r="231">
          <cell r="B231">
            <v>8026</v>
          </cell>
          <cell r="C231" t="str">
            <v>CP CRECHE COMUNITÁRIA SNOOPY</v>
          </cell>
          <cell r="D231">
            <v>25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24</v>
          </cell>
          <cell r="L231">
            <v>1</v>
          </cell>
          <cell r="M231">
            <v>24</v>
          </cell>
        </row>
        <row r="232">
          <cell r="B232">
            <v>8027</v>
          </cell>
          <cell r="C232" t="str">
            <v>CP CENTRO EDUCACIONAL MUNDO DA MÔNICA</v>
          </cell>
          <cell r="D232">
            <v>18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9</v>
          </cell>
          <cell r="J232">
            <v>0</v>
          </cell>
          <cell r="K232">
            <v>9</v>
          </cell>
          <cell r="L232">
            <v>1</v>
          </cell>
          <cell r="M232">
            <v>18</v>
          </cell>
        </row>
        <row r="233">
          <cell r="B233">
            <v>9001</v>
          </cell>
          <cell r="C233" t="str">
            <v>CP CRECHE COMUNITÁRIA SANTA RITA</v>
          </cell>
          <cell r="D233">
            <v>35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15</v>
          </cell>
          <cell r="J233">
            <v>0</v>
          </cell>
          <cell r="K233">
            <v>20</v>
          </cell>
          <cell r="L233">
            <v>0</v>
          </cell>
          <cell r="M233">
            <v>35</v>
          </cell>
        </row>
        <row r="234">
          <cell r="B234">
            <v>9002</v>
          </cell>
          <cell r="C234" t="str">
            <v>CP CRECHE SAGRADA FAMÍLIA</v>
          </cell>
          <cell r="D234">
            <v>34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15</v>
          </cell>
          <cell r="J234">
            <v>0</v>
          </cell>
          <cell r="K234">
            <v>19</v>
          </cell>
          <cell r="L234">
            <v>1</v>
          </cell>
          <cell r="M234">
            <v>34</v>
          </cell>
        </row>
        <row r="235">
          <cell r="B235">
            <v>9003</v>
          </cell>
          <cell r="C235" t="str">
            <v>CP CRECHE SÃO JORGE</v>
          </cell>
          <cell r="D235">
            <v>35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15</v>
          </cell>
          <cell r="J235">
            <v>0</v>
          </cell>
          <cell r="K235">
            <v>20</v>
          </cell>
          <cell r="L235">
            <v>0</v>
          </cell>
          <cell r="M235">
            <v>35</v>
          </cell>
        </row>
        <row r="236">
          <cell r="B236">
            <v>9004</v>
          </cell>
          <cell r="C236" t="str">
            <v>CP CRECHE E PRÉ-ESCOLA CANTINHO DO SABER</v>
          </cell>
          <cell r="D236">
            <v>168</v>
          </cell>
          <cell r="E236">
            <v>0</v>
          </cell>
          <cell r="F236">
            <v>0</v>
          </cell>
          <cell r="G236">
            <v>36</v>
          </cell>
          <cell r="H236">
            <v>0</v>
          </cell>
          <cell r="I236">
            <v>63</v>
          </cell>
          <cell r="J236">
            <v>1</v>
          </cell>
          <cell r="K236">
            <v>67</v>
          </cell>
          <cell r="L236">
            <v>5</v>
          </cell>
          <cell r="M236">
            <v>166</v>
          </cell>
        </row>
        <row r="237">
          <cell r="B237">
            <v>9007</v>
          </cell>
          <cell r="C237" t="str">
            <v>CP INSTITUTO AVELINO - CAMPO GRANDE</v>
          </cell>
          <cell r="D237">
            <v>85</v>
          </cell>
          <cell r="E237">
            <v>0</v>
          </cell>
          <cell r="F237">
            <v>0</v>
          </cell>
          <cell r="G237">
            <v>16</v>
          </cell>
          <cell r="H237">
            <v>0</v>
          </cell>
          <cell r="I237">
            <v>23</v>
          </cell>
          <cell r="J237">
            <v>0</v>
          </cell>
          <cell r="K237">
            <v>46</v>
          </cell>
          <cell r="L237">
            <v>0</v>
          </cell>
          <cell r="M237">
            <v>85</v>
          </cell>
        </row>
        <row r="238">
          <cell r="B238">
            <v>9008</v>
          </cell>
          <cell r="C238" t="str">
            <v>CP CRECHE COMUNITÁRIA ANA &amp; LU</v>
          </cell>
          <cell r="D238">
            <v>70</v>
          </cell>
          <cell r="E238">
            <v>0</v>
          </cell>
          <cell r="F238">
            <v>0</v>
          </cell>
          <cell r="G238">
            <v>22</v>
          </cell>
          <cell r="H238">
            <v>1</v>
          </cell>
          <cell r="I238">
            <v>25</v>
          </cell>
          <cell r="J238">
            <v>0</v>
          </cell>
          <cell r="K238">
            <v>19</v>
          </cell>
          <cell r="L238">
            <v>1</v>
          </cell>
          <cell r="M238">
            <v>66</v>
          </cell>
        </row>
        <row r="239">
          <cell r="B239">
            <v>9009</v>
          </cell>
          <cell r="C239" t="str">
            <v>CP CRECHE COMUNITÁRIA CRIANÇAS DE OURO</v>
          </cell>
          <cell r="D239">
            <v>100</v>
          </cell>
          <cell r="E239">
            <v>0</v>
          </cell>
          <cell r="F239">
            <v>0</v>
          </cell>
          <cell r="G239">
            <v>16</v>
          </cell>
          <cell r="H239">
            <v>0</v>
          </cell>
          <cell r="I239">
            <v>42</v>
          </cell>
          <cell r="J239">
            <v>0</v>
          </cell>
          <cell r="K239">
            <v>42</v>
          </cell>
          <cell r="L239">
            <v>0</v>
          </cell>
          <cell r="M239">
            <v>100</v>
          </cell>
        </row>
        <row r="240">
          <cell r="B240">
            <v>9010</v>
          </cell>
          <cell r="C240" t="str">
            <v>CP CRECHE JARDIM ESCOLA RIO DA PRATA</v>
          </cell>
          <cell r="D240">
            <v>124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43</v>
          </cell>
          <cell r="J240">
            <v>2</v>
          </cell>
          <cell r="K240">
            <v>71</v>
          </cell>
          <cell r="L240">
            <v>3</v>
          </cell>
          <cell r="M240">
            <v>114</v>
          </cell>
        </row>
        <row r="241">
          <cell r="B241">
            <v>9011</v>
          </cell>
          <cell r="C241" t="str">
            <v>CP CRECHE NOVA JERUSALÉM EM CAMPO GRANDE</v>
          </cell>
          <cell r="D241">
            <v>151</v>
          </cell>
          <cell r="E241">
            <v>0</v>
          </cell>
          <cell r="F241">
            <v>0</v>
          </cell>
          <cell r="G241">
            <v>40</v>
          </cell>
          <cell r="H241">
            <v>1</v>
          </cell>
          <cell r="I241">
            <v>42</v>
          </cell>
          <cell r="J241">
            <v>2</v>
          </cell>
          <cell r="K241">
            <v>50</v>
          </cell>
          <cell r="L241">
            <v>1</v>
          </cell>
          <cell r="M241">
            <v>132</v>
          </cell>
        </row>
        <row r="242">
          <cell r="B242">
            <v>9012</v>
          </cell>
          <cell r="C242" t="str">
            <v>CP CRECHE COMUNITÁRIA TIA NEIDE - CAMPO GRANDE</v>
          </cell>
          <cell r="D242">
            <v>152</v>
          </cell>
          <cell r="E242">
            <v>0</v>
          </cell>
          <cell r="F242">
            <v>0</v>
          </cell>
          <cell r="G242">
            <v>19</v>
          </cell>
          <cell r="H242">
            <v>0</v>
          </cell>
          <cell r="I242">
            <v>72</v>
          </cell>
          <cell r="J242">
            <v>0</v>
          </cell>
          <cell r="K242">
            <v>61</v>
          </cell>
          <cell r="L242">
            <v>0</v>
          </cell>
          <cell r="M242">
            <v>152</v>
          </cell>
        </row>
        <row r="243">
          <cell r="B243">
            <v>9013</v>
          </cell>
          <cell r="C243" t="str">
            <v>CP CRECHE COMUNITÁRIA SOL DO SABER</v>
          </cell>
          <cell r="D243">
            <v>110</v>
          </cell>
          <cell r="E243">
            <v>0</v>
          </cell>
          <cell r="F243">
            <v>0</v>
          </cell>
          <cell r="G243">
            <v>16</v>
          </cell>
          <cell r="H243">
            <v>0</v>
          </cell>
          <cell r="I243">
            <v>40</v>
          </cell>
          <cell r="J243">
            <v>0</v>
          </cell>
          <cell r="K243">
            <v>50</v>
          </cell>
          <cell r="L243">
            <v>2</v>
          </cell>
          <cell r="M243">
            <v>106</v>
          </cell>
        </row>
        <row r="244">
          <cell r="B244">
            <v>9014</v>
          </cell>
          <cell r="C244" t="str">
            <v>CP INSTITUTO DE ENSINO AVANÇADO</v>
          </cell>
          <cell r="D244">
            <v>117</v>
          </cell>
          <cell r="E244">
            <v>0</v>
          </cell>
          <cell r="F244">
            <v>0</v>
          </cell>
          <cell r="G244">
            <v>17</v>
          </cell>
          <cell r="H244">
            <v>0</v>
          </cell>
          <cell r="I244">
            <v>41</v>
          </cell>
          <cell r="J244">
            <v>0</v>
          </cell>
          <cell r="K244">
            <v>57</v>
          </cell>
          <cell r="L244">
            <v>1</v>
          </cell>
          <cell r="M244">
            <v>115</v>
          </cell>
        </row>
        <row r="245">
          <cell r="B245">
            <v>9017</v>
          </cell>
          <cell r="C245" t="str">
            <v>CP ESPAÇO CRESCER</v>
          </cell>
          <cell r="D245">
            <v>180</v>
          </cell>
          <cell r="E245">
            <v>0</v>
          </cell>
          <cell r="F245">
            <v>0</v>
          </cell>
          <cell r="G245">
            <v>13</v>
          </cell>
          <cell r="H245">
            <v>0</v>
          </cell>
          <cell r="I245">
            <v>77</v>
          </cell>
          <cell r="J245">
            <v>0</v>
          </cell>
          <cell r="K245">
            <v>89</v>
          </cell>
          <cell r="L245">
            <v>0</v>
          </cell>
          <cell r="M245">
            <v>179</v>
          </cell>
        </row>
        <row r="246">
          <cell r="B246">
            <v>9018</v>
          </cell>
          <cell r="C246" t="str">
            <v>CP ESPAÇO DE DESENVOLVIMENTO CARIOQUINHA</v>
          </cell>
          <cell r="D246">
            <v>126</v>
          </cell>
          <cell r="E246">
            <v>0</v>
          </cell>
          <cell r="F246">
            <v>0</v>
          </cell>
          <cell r="G246">
            <v>41</v>
          </cell>
          <cell r="H246">
            <v>1</v>
          </cell>
          <cell r="I246">
            <v>25</v>
          </cell>
          <cell r="J246">
            <v>0</v>
          </cell>
          <cell r="K246">
            <v>59</v>
          </cell>
          <cell r="L246">
            <v>0</v>
          </cell>
          <cell r="M246">
            <v>125</v>
          </cell>
        </row>
        <row r="247">
          <cell r="B247">
            <v>9019</v>
          </cell>
          <cell r="C247" t="str">
            <v>CP ASSOCIAÇÃO DE MORADORES UNIÃO DAS BASES DE URUCÂNIA E ADJACÊNCIAS - COSMOS</v>
          </cell>
          <cell r="D247">
            <v>102</v>
          </cell>
          <cell r="E247">
            <v>0</v>
          </cell>
          <cell r="F247">
            <v>0</v>
          </cell>
          <cell r="G247">
            <v>25</v>
          </cell>
          <cell r="H247">
            <v>0</v>
          </cell>
          <cell r="I247">
            <v>33</v>
          </cell>
          <cell r="J247">
            <v>0</v>
          </cell>
          <cell r="K247">
            <v>43</v>
          </cell>
          <cell r="L247">
            <v>3</v>
          </cell>
          <cell r="M247">
            <v>101</v>
          </cell>
        </row>
        <row r="248">
          <cell r="B248">
            <v>9020</v>
          </cell>
          <cell r="C248" t="str">
            <v>CP ASSOCIAÇÃO DE MORADORES UNIÃO DAS BASES DE URUCÂNIA E ADJACÊNCIAS - CAMPO GRANDE</v>
          </cell>
          <cell r="D248">
            <v>102</v>
          </cell>
          <cell r="E248">
            <v>0</v>
          </cell>
          <cell r="F248">
            <v>0</v>
          </cell>
          <cell r="G248">
            <v>24</v>
          </cell>
          <cell r="H248">
            <v>0</v>
          </cell>
          <cell r="I248">
            <v>33</v>
          </cell>
          <cell r="J248">
            <v>1</v>
          </cell>
          <cell r="K248">
            <v>45</v>
          </cell>
          <cell r="L248">
            <v>2</v>
          </cell>
          <cell r="M248">
            <v>102</v>
          </cell>
        </row>
        <row r="249">
          <cell r="B249">
            <v>9021</v>
          </cell>
          <cell r="C249" t="str">
            <v>CP INSTITUTO CRESCER &amp; APRENDER</v>
          </cell>
          <cell r="D249">
            <v>242</v>
          </cell>
          <cell r="E249">
            <v>0</v>
          </cell>
          <cell r="F249">
            <v>0</v>
          </cell>
          <cell r="G249">
            <v>57</v>
          </cell>
          <cell r="H249">
            <v>0</v>
          </cell>
          <cell r="I249">
            <v>63</v>
          </cell>
          <cell r="J249">
            <v>0</v>
          </cell>
          <cell r="K249">
            <v>106</v>
          </cell>
          <cell r="L249">
            <v>3</v>
          </cell>
          <cell r="M249">
            <v>226</v>
          </cell>
        </row>
        <row r="250">
          <cell r="B250">
            <v>9022</v>
          </cell>
          <cell r="C250" t="str">
            <v>CP ESPAÇO CRIATIVO CASTELINHO RINALDI</v>
          </cell>
          <cell r="D250">
            <v>110</v>
          </cell>
          <cell r="E250">
            <v>0</v>
          </cell>
          <cell r="F250">
            <v>0</v>
          </cell>
          <cell r="G250">
            <v>36</v>
          </cell>
          <cell r="H250">
            <v>0</v>
          </cell>
          <cell r="I250">
            <v>23</v>
          </cell>
          <cell r="J250">
            <v>1</v>
          </cell>
          <cell r="K250">
            <v>47</v>
          </cell>
          <cell r="L250">
            <v>1</v>
          </cell>
          <cell r="M250">
            <v>106</v>
          </cell>
        </row>
        <row r="251">
          <cell r="B251">
            <v>9023</v>
          </cell>
          <cell r="C251" t="str">
            <v>CP ESPAÇO CRIATIVO SALOMÃO</v>
          </cell>
          <cell r="D251">
            <v>70</v>
          </cell>
          <cell r="E251">
            <v>0</v>
          </cell>
          <cell r="F251">
            <v>0</v>
          </cell>
          <cell r="G251">
            <v>20</v>
          </cell>
          <cell r="H251">
            <v>0</v>
          </cell>
          <cell r="I251">
            <v>18</v>
          </cell>
          <cell r="J251">
            <v>1</v>
          </cell>
          <cell r="K251">
            <v>32</v>
          </cell>
          <cell r="L251">
            <v>1</v>
          </cell>
          <cell r="M251">
            <v>70</v>
          </cell>
        </row>
        <row r="252">
          <cell r="B252">
            <v>9024</v>
          </cell>
          <cell r="C252" t="str">
            <v>CP CRECHE COMUNITÁRIA DOCE INFÂNCIA</v>
          </cell>
          <cell r="D252">
            <v>86</v>
          </cell>
          <cell r="E252">
            <v>0</v>
          </cell>
          <cell r="F252">
            <v>0</v>
          </cell>
          <cell r="G252">
            <v>22</v>
          </cell>
          <cell r="H252">
            <v>0</v>
          </cell>
          <cell r="I252">
            <v>24</v>
          </cell>
          <cell r="J252">
            <v>0</v>
          </cell>
          <cell r="K252">
            <v>36</v>
          </cell>
          <cell r="L252">
            <v>1</v>
          </cell>
          <cell r="M252">
            <v>82</v>
          </cell>
        </row>
        <row r="253">
          <cell r="B253">
            <v>9025</v>
          </cell>
          <cell r="C253" t="str">
            <v>CP INSTITUTO Ô LUAR</v>
          </cell>
          <cell r="D253">
            <v>62</v>
          </cell>
          <cell r="E253">
            <v>0</v>
          </cell>
          <cell r="F253">
            <v>0</v>
          </cell>
          <cell r="G253">
            <v>12</v>
          </cell>
          <cell r="H253">
            <v>0</v>
          </cell>
          <cell r="I253">
            <v>26</v>
          </cell>
          <cell r="J253">
            <v>0</v>
          </cell>
          <cell r="K253">
            <v>24</v>
          </cell>
          <cell r="L253">
            <v>0</v>
          </cell>
          <cell r="M253">
            <v>62</v>
          </cell>
        </row>
        <row r="254">
          <cell r="B254">
            <v>9026</v>
          </cell>
          <cell r="C254" t="str">
            <v>CP CRECHE COMUNITÁRIA LEÃOZINHO FELIZ</v>
          </cell>
          <cell r="D254">
            <v>127</v>
          </cell>
          <cell r="E254">
            <v>0</v>
          </cell>
          <cell r="F254">
            <v>0</v>
          </cell>
          <cell r="G254">
            <v>25</v>
          </cell>
          <cell r="H254">
            <v>0</v>
          </cell>
          <cell r="I254">
            <v>58</v>
          </cell>
          <cell r="J254">
            <v>0</v>
          </cell>
          <cell r="K254">
            <v>38</v>
          </cell>
          <cell r="L254">
            <v>3</v>
          </cell>
          <cell r="M254">
            <v>121</v>
          </cell>
        </row>
        <row r="255">
          <cell r="B255">
            <v>9027</v>
          </cell>
          <cell r="C255" t="str">
            <v>CP INSTITUTO FRUTIFICAR</v>
          </cell>
          <cell r="D255">
            <v>100</v>
          </cell>
          <cell r="E255">
            <v>0</v>
          </cell>
          <cell r="F255">
            <v>0</v>
          </cell>
          <cell r="G255">
            <v>15</v>
          </cell>
          <cell r="H255">
            <v>0</v>
          </cell>
          <cell r="I255">
            <v>60</v>
          </cell>
          <cell r="J255">
            <v>0</v>
          </cell>
          <cell r="K255">
            <v>25</v>
          </cell>
          <cell r="L255">
            <v>0</v>
          </cell>
          <cell r="M255">
            <v>100</v>
          </cell>
        </row>
        <row r="256">
          <cell r="B256">
            <v>9028</v>
          </cell>
          <cell r="C256" t="str">
            <v>CP CRECHE COMUNITÁRIA ALÉM DO ARCO-ÍRIS</v>
          </cell>
          <cell r="D256">
            <v>102</v>
          </cell>
          <cell r="E256">
            <v>0</v>
          </cell>
          <cell r="F256">
            <v>0</v>
          </cell>
          <cell r="G256">
            <v>11</v>
          </cell>
          <cell r="H256">
            <v>0</v>
          </cell>
          <cell r="I256">
            <v>43</v>
          </cell>
          <cell r="J256">
            <v>3</v>
          </cell>
          <cell r="K256">
            <v>38</v>
          </cell>
          <cell r="L256">
            <v>1</v>
          </cell>
          <cell r="M256">
            <v>92</v>
          </cell>
        </row>
        <row r="257">
          <cell r="B257">
            <v>9029</v>
          </cell>
          <cell r="C257" t="str">
            <v>CP INSTITUTO CRECHE DO PAPAI</v>
          </cell>
          <cell r="D257">
            <v>85</v>
          </cell>
          <cell r="E257">
            <v>1</v>
          </cell>
          <cell r="F257">
            <v>0</v>
          </cell>
          <cell r="G257">
            <v>16</v>
          </cell>
          <cell r="H257">
            <v>0</v>
          </cell>
          <cell r="I257">
            <v>20</v>
          </cell>
          <cell r="J257">
            <v>0</v>
          </cell>
          <cell r="K257">
            <v>20</v>
          </cell>
          <cell r="L257">
            <v>1</v>
          </cell>
          <cell r="M257">
            <v>57</v>
          </cell>
        </row>
        <row r="258">
          <cell r="B258">
            <v>9030</v>
          </cell>
          <cell r="C258" t="str">
            <v>CP ESPAÇO DE DESENVOLVIMENTO PEDRITA</v>
          </cell>
          <cell r="D258">
            <v>120</v>
          </cell>
          <cell r="E258">
            <v>0</v>
          </cell>
          <cell r="F258">
            <v>0</v>
          </cell>
          <cell r="G258">
            <v>28</v>
          </cell>
          <cell r="H258">
            <v>0</v>
          </cell>
          <cell r="I258">
            <v>40</v>
          </cell>
          <cell r="J258">
            <v>1</v>
          </cell>
          <cell r="K258">
            <v>48</v>
          </cell>
          <cell r="L258">
            <v>1</v>
          </cell>
          <cell r="M258">
            <v>116</v>
          </cell>
        </row>
        <row r="259">
          <cell r="B259">
            <v>9031</v>
          </cell>
          <cell r="C259" t="str">
            <v>CP ESPAÇO CRIATIVO TURMINHA DO BAIRRO</v>
          </cell>
          <cell r="D259">
            <v>80</v>
          </cell>
          <cell r="E259">
            <v>10</v>
          </cell>
          <cell r="F259">
            <v>0</v>
          </cell>
          <cell r="G259">
            <v>17</v>
          </cell>
          <cell r="H259">
            <v>0</v>
          </cell>
          <cell r="I259">
            <v>18</v>
          </cell>
          <cell r="J259">
            <v>0</v>
          </cell>
          <cell r="K259">
            <v>8</v>
          </cell>
          <cell r="L259">
            <v>1</v>
          </cell>
          <cell r="M259">
            <v>53</v>
          </cell>
        </row>
        <row r="260">
          <cell r="B260">
            <v>9032</v>
          </cell>
          <cell r="C260" t="str">
            <v>CP CRECHE COMUNITÁRIA SOLDADINHO DE DEUS</v>
          </cell>
          <cell r="D260">
            <v>90</v>
          </cell>
          <cell r="E260">
            <v>0</v>
          </cell>
          <cell r="F260">
            <v>0</v>
          </cell>
          <cell r="G260">
            <v>45</v>
          </cell>
          <cell r="H260">
            <v>0</v>
          </cell>
          <cell r="I260">
            <v>28</v>
          </cell>
          <cell r="J260">
            <v>0</v>
          </cell>
          <cell r="K260">
            <v>14</v>
          </cell>
          <cell r="L260">
            <v>1</v>
          </cell>
          <cell r="M260">
            <v>87</v>
          </cell>
        </row>
        <row r="261">
          <cell r="B261">
            <v>9033</v>
          </cell>
          <cell r="C261" t="str">
            <v>CP INSTITUTO TEMPO DE CRIANÇA</v>
          </cell>
          <cell r="D261">
            <v>50</v>
          </cell>
          <cell r="E261">
            <v>5</v>
          </cell>
          <cell r="F261">
            <v>0</v>
          </cell>
          <cell r="G261">
            <v>5</v>
          </cell>
          <cell r="H261">
            <v>0</v>
          </cell>
          <cell r="I261">
            <v>23</v>
          </cell>
          <cell r="J261">
            <v>1</v>
          </cell>
          <cell r="K261">
            <v>15</v>
          </cell>
          <cell r="L261">
            <v>1</v>
          </cell>
          <cell r="M261">
            <v>48</v>
          </cell>
        </row>
        <row r="262">
          <cell r="B262">
            <v>9034</v>
          </cell>
          <cell r="C262" t="str">
            <v>CP CRECHE COMUNITÁRIA ARTE DA CRIANÇA</v>
          </cell>
          <cell r="D262">
            <v>90</v>
          </cell>
          <cell r="E262">
            <v>0</v>
          </cell>
          <cell r="F262">
            <v>0</v>
          </cell>
          <cell r="G262">
            <v>34</v>
          </cell>
          <cell r="H262">
            <v>1</v>
          </cell>
          <cell r="I262">
            <v>28</v>
          </cell>
          <cell r="J262">
            <v>1</v>
          </cell>
          <cell r="K262">
            <v>21</v>
          </cell>
          <cell r="L262">
            <v>1</v>
          </cell>
          <cell r="M262">
            <v>83</v>
          </cell>
        </row>
        <row r="263">
          <cell r="B263">
            <v>9035</v>
          </cell>
          <cell r="C263" t="str">
            <v>CP INSTITUTO CRESCER E APRENDER - FILIAL</v>
          </cell>
          <cell r="D263">
            <v>90</v>
          </cell>
          <cell r="E263">
            <v>0</v>
          </cell>
          <cell r="F263">
            <v>0</v>
          </cell>
          <cell r="G263">
            <v>29</v>
          </cell>
          <cell r="H263">
            <v>0</v>
          </cell>
          <cell r="I263">
            <v>15</v>
          </cell>
          <cell r="J263">
            <v>0</v>
          </cell>
          <cell r="K263">
            <v>6</v>
          </cell>
          <cell r="L263">
            <v>0</v>
          </cell>
          <cell r="M263">
            <v>50</v>
          </cell>
        </row>
        <row r="264">
          <cell r="B264">
            <v>9036</v>
          </cell>
          <cell r="C264" t="str">
            <v>CP INSTITUTO CONSTRUINDO AMANHÃ</v>
          </cell>
          <cell r="D264">
            <v>160</v>
          </cell>
          <cell r="E264">
            <v>7</v>
          </cell>
          <cell r="F264">
            <v>0</v>
          </cell>
          <cell r="G264">
            <v>58</v>
          </cell>
          <cell r="H264">
            <v>0</v>
          </cell>
          <cell r="I264">
            <v>46</v>
          </cell>
          <cell r="J264">
            <v>1</v>
          </cell>
          <cell r="K264">
            <v>37</v>
          </cell>
          <cell r="L264">
            <v>1</v>
          </cell>
          <cell r="M264">
            <v>148</v>
          </cell>
        </row>
        <row r="265">
          <cell r="B265">
            <v>9037</v>
          </cell>
          <cell r="C265" t="str">
            <v>CP CRECHE COMUNITÁRIA AURINA</v>
          </cell>
          <cell r="D265">
            <v>40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22</v>
          </cell>
          <cell r="J265">
            <v>0</v>
          </cell>
          <cell r="K265">
            <v>18</v>
          </cell>
          <cell r="L265">
            <v>0</v>
          </cell>
          <cell r="M265">
            <v>40</v>
          </cell>
        </row>
        <row r="266">
          <cell r="B266">
            <v>9038</v>
          </cell>
          <cell r="C266" t="str">
            <v>CP CRECHE ESCOLA MACHADO UNIDADE II</v>
          </cell>
          <cell r="D266">
            <v>200</v>
          </cell>
          <cell r="E266">
            <v>0</v>
          </cell>
          <cell r="F266">
            <v>0</v>
          </cell>
          <cell r="G266">
            <v>93</v>
          </cell>
          <cell r="H266">
            <v>0</v>
          </cell>
          <cell r="I266">
            <v>80</v>
          </cell>
          <cell r="J266">
            <v>0</v>
          </cell>
          <cell r="K266">
            <v>21</v>
          </cell>
          <cell r="L266">
            <v>0</v>
          </cell>
          <cell r="M266">
            <v>194</v>
          </cell>
        </row>
        <row r="267">
          <cell r="B267">
            <v>9039</v>
          </cell>
          <cell r="C267" t="str">
            <v>CP CRECHE COMUNITÁRIA ESTRELINHA DO SABER</v>
          </cell>
          <cell r="D267">
            <v>50</v>
          </cell>
          <cell r="E267">
            <v>0</v>
          </cell>
          <cell r="F267">
            <v>0</v>
          </cell>
          <cell r="G267">
            <v>23</v>
          </cell>
          <cell r="H267">
            <v>0</v>
          </cell>
          <cell r="I267">
            <v>15</v>
          </cell>
          <cell r="J267">
            <v>0</v>
          </cell>
          <cell r="K267">
            <v>11</v>
          </cell>
          <cell r="L267">
            <v>0</v>
          </cell>
          <cell r="M267">
            <v>49</v>
          </cell>
        </row>
        <row r="268">
          <cell r="B268">
            <v>9040</v>
          </cell>
          <cell r="C268" t="str">
            <v>CP CRECHE E ESCOLA COMUNITARIA GENTE BAIXINHA - UNIDADE COSMOS</v>
          </cell>
          <cell r="D268">
            <v>50</v>
          </cell>
          <cell r="E268">
            <v>0</v>
          </cell>
          <cell r="F268">
            <v>0</v>
          </cell>
          <cell r="G268">
            <v>15</v>
          </cell>
          <cell r="H268">
            <v>0</v>
          </cell>
          <cell r="I268">
            <v>21</v>
          </cell>
          <cell r="J268">
            <v>0</v>
          </cell>
          <cell r="K268">
            <v>14</v>
          </cell>
          <cell r="L268">
            <v>0</v>
          </cell>
          <cell r="M268">
            <v>50</v>
          </cell>
        </row>
        <row r="269">
          <cell r="B269">
            <v>9041</v>
          </cell>
          <cell r="C269" t="str">
            <v>CP CRECHE COMUNITÁRIA PEQUENOS PASSOS</v>
          </cell>
          <cell r="D269">
            <v>60</v>
          </cell>
          <cell r="E269">
            <v>0</v>
          </cell>
          <cell r="F269">
            <v>0</v>
          </cell>
          <cell r="G269">
            <v>12</v>
          </cell>
          <cell r="H269">
            <v>0</v>
          </cell>
          <cell r="I269">
            <v>24</v>
          </cell>
          <cell r="J269">
            <v>0</v>
          </cell>
          <cell r="K269">
            <v>24</v>
          </cell>
          <cell r="L269">
            <v>0</v>
          </cell>
          <cell r="M269">
            <v>60</v>
          </cell>
        </row>
        <row r="270">
          <cell r="B270">
            <v>9042</v>
          </cell>
          <cell r="C270" t="str">
            <v>CP CRECHE PEQUENA CANAÃ</v>
          </cell>
          <cell r="D270">
            <v>40</v>
          </cell>
          <cell r="E270">
            <v>0</v>
          </cell>
          <cell r="F270">
            <v>0</v>
          </cell>
          <cell r="G270">
            <v>8</v>
          </cell>
          <cell r="H270">
            <v>0</v>
          </cell>
          <cell r="I270">
            <v>11</v>
          </cell>
          <cell r="J270">
            <v>0</v>
          </cell>
          <cell r="K270">
            <v>7</v>
          </cell>
          <cell r="L270">
            <v>0</v>
          </cell>
          <cell r="M270">
            <v>26</v>
          </cell>
        </row>
        <row r="271">
          <cell r="B271">
            <v>9043</v>
          </cell>
          <cell r="C271" t="str">
            <v>CP CRECHE COMUNITÁRIA RIBEIRO</v>
          </cell>
          <cell r="D271">
            <v>50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25</v>
          </cell>
          <cell r="J271">
            <v>0</v>
          </cell>
          <cell r="K271">
            <v>25</v>
          </cell>
          <cell r="L271">
            <v>0</v>
          </cell>
          <cell r="M271">
            <v>50</v>
          </cell>
        </row>
        <row r="272">
          <cell r="B272">
            <v>9044</v>
          </cell>
          <cell r="C272" t="str">
            <v>CP CRECHE COMUNITÁRIA JARDIM FELIZ</v>
          </cell>
          <cell r="D272">
            <v>110</v>
          </cell>
          <cell r="E272">
            <v>0</v>
          </cell>
          <cell r="F272">
            <v>0</v>
          </cell>
          <cell r="G272">
            <v>36</v>
          </cell>
          <cell r="H272">
            <v>0</v>
          </cell>
          <cell r="I272">
            <v>39</v>
          </cell>
          <cell r="J272">
            <v>0</v>
          </cell>
          <cell r="K272">
            <v>31</v>
          </cell>
          <cell r="L272">
            <v>2</v>
          </cell>
          <cell r="M272">
            <v>106</v>
          </cell>
        </row>
        <row r="273">
          <cell r="B273">
            <v>9045</v>
          </cell>
          <cell r="C273" t="str">
            <v>CP CRECHE PINTANDO SONHOS</v>
          </cell>
          <cell r="D273">
            <v>40</v>
          </cell>
          <cell r="E273">
            <v>0</v>
          </cell>
          <cell r="F273">
            <v>0</v>
          </cell>
          <cell r="G273">
            <v>16</v>
          </cell>
          <cell r="H273">
            <v>0</v>
          </cell>
          <cell r="I273">
            <v>21</v>
          </cell>
          <cell r="J273">
            <v>2</v>
          </cell>
          <cell r="K273">
            <v>0</v>
          </cell>
          <cell r="L273">
            <v>0</v>
          </cell>
          <cell r="M273">
            <v>37</v>
          </cell>
        </row>
        <row r="274">
          <cell r="B274">
            <v>9046</v>
          </cell>
          <cell r="C274" t="str">
            <v>CP CRECHE COMUNITÁRIA URSINHO PIMPÃO</v>
          </cell>
          <cell r="D274">
            <v>75</v>
          </cell>
          <cell r="E274">
            <v>0</v>
          </cell>
          <cell r="F274">
            <v>0</v>
          </cell>
          <cell r="G274">
            <v>16</v>
          </cell>
          <cell r="H274">
            <v>0</v>
          </cell>
          <cell r="I274">
            <v>43</v>
          </cell>
          <cell r="J274">
            <v>1</v>
          </cell>
          <cell r="K274">
            <v>14</v>
          </cell>
          <cell r="L274">
            <v>1</v>
          </cell>
          <cell r="M274">
            <v>73</v>
          </cell>
        </row>
        <row r="275">
          <cell r="B275">
            <v>10001</v>
          </cell>
          <cell r="C275" t="str">
            <v>CP ESCOLA COMUNITÁRIA JARDIM DE INFÂNCIA TIA ANASTÁCIA</v>
          </cell>
          <cell r="D275">
            <v>137</v>
          </cell>
          <cell r="E275">
            <v>0</v>
          </cell>
          <cell r="F275">
            <v>0</v>
          </cell>
          <cell r="G275">
            <v>38</v>
          </cell>
          <cell r="H275">
            <v>0</v>
          </cell>
          <cell r="I275">
            <v>45</v>
          </cell>
          <cell r="J275">
            <v>0</v>
          </cell>
          <cell r="K275">
            <v>52</v>
          </cell>
          <cell r="L275">
            <v>1</v>
          </cell>
          <cell r="M275">
            <v>135</v>
          </cell>
        </row>
        <row r="276">
          <cell r="B276">
            <v>10004</v>
          </cell>
          <cell r="C276" t="str">
            <v>CP ESCOLA COMUNITÁRIA JARDIM BALÃO MÁGICO</v>
          </cell>
          <cell r="D276">
            <v>90</v>
          </cell>
          <cell r="E276">
            <v>0</v>
          </cell>
          <cell r="F276">
            <v>0</v>
          </cell>
          <cell r="G276">
            <v>41</v>
          </cell>
          <cell r="H276">
            <v>0</v>
          </cell>
          <cell r="I276">
            <v>27</v>
          </cell>
          <cell r="J276">
            <v>0</v>
          </cell>
          <cell r="K276">
            <v>20</v>
          </cell>
          <cell r="L276">
            <v>0</v>
          </cell>
          <cell r="M276">
            <v>88</v>
          </cell>
        </row>
        <row r="277">
          <cell r="B277">
            <v>10005</v>
          </cell>
          <cell r="C277" t="str">
            <v>CP CRECHE COMUNITÁRIA JARDIM PEDRA AZUL</v>
          </cell>
          <cell r="D277">
            <v>45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16</v>
          </cell>
          <cell r="J277">
            <v>1</v>
          </cell>
          <cell r="K277">
            <v>26</v>
          </cell>
          <cell r="L277">
            <v>0</v>
          </cell>
          <cell r="M277">
            <v>42</v>
          </cell>
        </row>
        <row r="278">
          <cell r="B278">
            <v>10006</v>
          </cell>
          <cell r="C278" t="str">
            <v>CP CRECHE ESCOLA COMUNITÁRIA ISMÊNIA RIBEIRO</v>
          </cell>
          <cell r="D278">
            <v>115</v>
          </cell>
          <cell r="E278">
            <v>0</v>
          </cell>
          <cell r="F278">
            <v>0</v>
          </cell>
          <cell r="G278">
            <v>13</v>
          </cell>
          <cell r="H278">
            <v>0</v>
          </cell>
          <cell r="I278">
            <v>53</v>
          </cell>
          <cell r="J278">
            <v>2</v>
          </cell>
          <cell r="K278">
            <v>42</v>
          </cell>
          <cell r="L278">
            <v>2</v>
          </cell>
          <cell r="M278">
            <v>108</v>
          </cell>
        </row>
        <row r="279">
          <cell r="B279">
            <v>10008</v>
          </cell>
          <cell r="C279" t="str">
            <v>CP CRECHE COMUNITÁRIA JARDIM ESPERANÇA</v>
          </cell>
          <cell r="D279">
            <v>115</v>
          </cell>
          <cell r="E279">
            <v>0</v>
          </cell>
          <cell r="F279">
            <v>0</v>
          </cell>
          <cell r="G279">
            <v>25</v>
          </cell>
          <cell r="H279">
            <v>0</v>
          </cell>
          <cell r="I279">
            <v>29</v>
          </cell>
          <cell r="J279">
            <v>0</v>
          </cell>
          <cell r="K279">
            <v>58</v>
          </cell>
          <cell r="L279">
            <v>2</v>
          </cell>
          <cell r="M279">
            <v>112</v>
          </cell>
        </row>
        <row r="280">
          <cell r="B280">
            <v>10009</v>
          </cell>
          <cell r="C280" t="str">
            <v>CP JARDIM ESCOLA ERNESTO FAGUNDES VARELA</v>
          </cell>
          <cell r="D280">
            <v>70</v>
          </cell>
          <cell r="E280">
            <v>0</v>
          </cell>
          <cell r="F280">
            <v>0</v>
          </cell>
          <cell r="G280">
            <v>20</v>
          </cell>
          <cell r="H280">
            <v>0</v>
          </cell>
          <cell r="I280">
            <v>30</v>
          </cell>
          <cell r="J280">
            <v>2</v>
          </cell>
          <cell r="K280">
            <v>17</v>
          </cell>
          <cell r="L280">
            <v>0</v>
          </cell>
          <cell r="M280">
            <v>67</v>
          </cell>
        </row>
        <row r="281">
          <cell r="B281">
            <v>10010</v>
          </cell>
          <cell r="C281" t="str">
            <v>CP ESCOLA COMUNITÁRIA JARDIM ARCO-ÍRIS</v>
          </cell>
          <cell r="D281">
            <v>118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64</v>
          </cell>
          <cell r="J281">
            <v>0</v>
          </cell>
          <cell r="K281">
            <v>45</v>
          </cell>
          <cell r="L281">
            <v>2</v>
          </cell>
          <cell r="M281">
            <v>109</v>
          </cell>
        </row>
        <row r="282">
          <cell r="B282">
            <v>10011</v>
          </cell>
          <cell r="C282" t="str">
            <v>CP SEMPRE VIDA</v>
          </cell>
          <cell r="D282">
            <v>118</v>
          </cell>
          <cell r="E282">
            <v>0</v>
          </cell>
          <cell r="F282">
            <v>0</v>
          </cell>
          <cell r="G282">
            <v>28</v>
          </cell>
          <cell r="H282">
            <v>0</v>
          </cell>
          <cell r="I282">
            <v>44</v>
          </cell>
          <cell r="J282">
            <v>0</v>
          </cell>
          <cell r="K282">
            <v>44</v>
          </cell>
          <cell r="L282">
            <v>1</v>
          </cell>
          <cell r="M282">
            <v>116</v>
          </cell>
        </row>
        <row r="283">
          <cell r="B283">
            <v>10013</v>
          </cell>
          <cell r="C283" t="str">
            <v>CP ESCOLA COMUNITÁRIA ENCANTO DE MARIA</v>
          </cell>
          <cell r="D283">
            <v>90</v>
          </cell>
          <cell r="E283">
            <v>0</v>
          </cell>
          <cell r="F283">
            <v>0</v>
          </cell>
          <cell r="G283">
            <v>23</v>
          </cell>
          <cell r="H283">
            <v>0</v>
          </cell>
          <cell r="I283">
            <v>24</v>
          </cell>
          <cell r="J283">
            <v>1</v>
          </cell>
          <cell r="K283">
            <v>26</v>
          </cell>
          <cell r="L283">
            <v>0</v>
          </cell>
          <cell r="M283">
            <v>73</v>
          </cell>
        </row>
        <row r="284">
          <cell r="B284">
            <v>10014</v>
          </cell>
          <cell r="C284" t="str">
            <v>CP CRECHE COMUNITÁRIA SÃO JOÃO BATISTA</v>
          </cell>
          <cell r="D284">
            <v>30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15</v>
          </cell>
          <cell r="J284">
            <v>0</v>
          </cell>
          <cell r="K284">
            <v>15</v>
          </cell>
          <cell r="L284">
            <v>0</v>
          </cell>
          <cell r="M284">
            <v>30</v>
          </cell>
        </row>
        <row r="285">
          <cell r="B285">
            <v>10018</v>
          </cell>
          <cell r="C285" t="str">
            <v>CP CRECHE ESCOLA COMUNITÁRIA SÍTIO ALEGRE</v>
          </cell>
          <cell r="D285">
            <v>220</v>
          </cell>
          <cell r="E285">
            <v>27</v>
          </cell>
          <cell r="F285">
            <v>0</v>
          </cell>
          <cell r="G285">
            <v>59</v>
          </cell>
          <cell r="H285">
            <v>0</v>
          </cell>
          <cell r="I285">
            <v>55</v>
          </cell>
          <cell r="J285">
            <v>0</v>
          </cell>
          <cell r="K285">
            <v>77</v>
          </cell>
          <cell r="L285">
            <v>2</v>
          </cell>
          <cell r="M285">
            <v>218</v>
          </cell>
        </row>
        <row r="286">
          <cell r="B286">
            <v>10019</v>
          </cell>
          <cell r="C286" t="str">
            <v>CP ESCOLA COMUNITÁRIA JARDIM ALEXANDRINO</v>
          </cell>
          <cell r="D286">
            <v>175</v>
          </cell>
          <cell r="E286">
            <v>0</v>
          </cell>
          <cell r="F286">
            <v>0</v>
          </cell>
          <cell r="G286">
            <v>50</v>
          </cell>
          <cell r="H286">
            <v>0</v>
          </cell>
          <cell r="I286">
            <v>50</v>
          </cell>
          <cell r="J286">
            <v>1</v>
          </cell>
          <cell r="K286">
            <v>70</v>
          </cell>
          <cell r="L286">
            <v>3</v>
          </cell>
          <cell r="M286">
            <v>170</v>
          </cell>
        </row>
        <row r="287">
          <cell r="B287">
            <v>10020</v>
          </cell>
          <cell r="C287" t="str">
            <v>CP CASA MATERNAL NOSSA SENHORA DE NAZARÉ</v>
          </cell>
          <cell r="D287">
            <v>175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81</v>
          </cell>
          <cell r="J287">
            <v>1</v>
          </cell>
          <cell r="K287">
            <v>90</v>
          </cell>
          <cell r="L287">
            <v>2</v>
          </cell>
          <cell r="M287">
            <v>171</v>
          </cell>
        </row>
        <row r="288">
          <cell r="B288">
            <v>10022</v>
          </cell>
          <cell r="C288" t="str">
            <v>CP ASSOCIAÇÃO DE MORADORES E AMIGOS DO PARQUE ESTORIL - AMAPE</v>
          </cell>
          <cell r="D288">
            <v>220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103</v>
          </cell>
          <cell r="J288">
            <v>0</v>
          </cell>
          <cell r="K288">
            <v>113</v>
          </cell>
          <cell r="L288">
            <v>1</v>
          </cell>
          <cell r="M288">
            <v>216</v>
          </cell>
        </row>
        <row r="289">
          <cell r="B289">
            <v>10023</v>
          </cell>
          <cell r="C289" t="str">
            <v>CP CRECHE ESCOLA SOSSEGO DA MAMÃE</v>
          </cell>
          <cell r="D289">
            <v>100</v>
          </cell>
          <cell r="E289">
            <v>0</v>
          </cell>
          <cell r="F289">
            <v>0</v>
          </cell>
          <cell r="G289">
            <v>22</v>
          </cell>
          <cell r="H289">
            <v>0</v>
          </cell>
          <cell r="I289">
            <v>26</v>
          </cell>
          <cell r="J289">
            <v>0</v>
          </cell>
          <cell r="K289">
            <v>50</v>
          </cell>
          <cell r="L289">
            <v>2</v>
          </cell>
          <cell r="M289">
            <v>98</v>
          </cell>
        </row>
        <row r="290">
          <cell r="B290">
            <v>10024</v>
          </cell>
          <cell r="C290" t="str">
            <v>CP CRECHE COMUNITÁRIA MUNDO ENCANTADO DA CRIANÇA</v>
          </cell>
          <cell r="D290">
            <v>140</v>
          </cell>
          <cell r="E290">
            <v>0</v>
          </cell>
          <cell r="F290">
            <v>0</v>
          </cell>
          <cell r="G290">
            <v>26</v>
          </cell>
          <cell r="H290">
            <v>0</v>
          </cell>
          <cell r="I290">
            <v>59</v>
          </cell>
          <cell r="J290">
            <v>1</v>
          </cell>
          <cell r="K290">
            <v>56</v>
          </cell>
          <cell r="L290">
            <v>0</v>
          </cell>
          <cell r="M290">
            <v>141</v>
          </cell>
        </row>
        <row r="291">
          <cell r="B291">
            <v>10026</v>
          </cell>
          <cell r="C291" t="str">
            <v>CP CRECHE E ESCOLA COMUNITÁRIA GENTE BAIXINHA I</v>
          </cell>
          <cell r="D291">
            <v>145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73</v>
          </cell>
          <cell r="J291">
            <v>2</v>
          </cell>
          <cell r="K291">
            <v>72</v>
          </cell>
          <cell r="L291">
            <v>6</v>
          </cell>
          <cell r="M291">
            <v>145</v>
          </cell>
        </row>
        <row r="292">
          <cell r="B292">
            <v>10027</v>
          </cell>
          <cell r="C292" t="str">
            <v>CP CRECHE CASULO AGOSTINHO - SANTA CRUZ</v>
          </cell>
          <cell r="D292">
            <v>160</v>
          </cell>
          <cell r="E292">
            <v>0</v>
          </cell>
          <cell r="F292">
            <v>0</v>
          </cell>
          <cell r="G292">
            <v>47</v>
          </cell>
          <cell r="H292">
            <v>0</v>
          </cell>
          <cell r="I292">
            <v>63</v>
          </cell>
          <cell r="J292">
            <v>0</v>
          </cell>
          <cell r="K292">
            <v>50</v>
          </cell>
          <cell r="L292">
            <v>2</v>
          </cell>
          <cell r="M292">
            <v>160</v>
          </cell>
        </row>
        <row r="293">
          <cell r="B293">
            <v>10028</v>
          </cell>
          <cell r="C293" t="str">
            <v>CP CRECHE CASULO AGOSTINHO - VERIDIANA</v>
          </cell>
          <cell r="D293">
            <v>141</v>
          </cell>
          <cell r="E293">
            <v>18</v>
          </cell>
          <cell r="F293">
            <v>0</v>
          </cell>
          <cell r="G293">
            <v>34</v>
          </cell>
          <cell r="H293">
            <v>0</v>
          </cell>
          <cell r="I293">
            <v>39</v>
          </cell>
          <cell r="J293">
            <v>0</v>
          </cell>
          <cell r="K293">
            <v>49</v>
          </cell>
          <cell r="L293">
            <v>1</v>
          </cell>
          <cell r="M293">
            <v>140</v>
          </cell>
        </row>
        <row r="294">
          <cell r="B294">
            <v>10029</v>
          </cell>
          <cell r="C294" t="str">
            <v>CP ASSOCIAÇÃO DE MORADORES DAS MORADAS DO IMPÉRIO</v>
          </cell>
          <cell r="D294">
            <v>75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37</v>
          </cell>
          <cell r="J294">
            <v>0</v>
          </cell>
          <cell r="K294">
            <v>37</v>
          </cell>
          <cell r="L294">
            <v>0</v>
          </cell>
          <cell r="M294">
            <v>74</v>
          </cell>
        </row>
        <row r="295">
          <cell r="B295">
            <v>10030</v>
          </cell>
          <cell r="C295" t="str">
            <v>CP INSTITUTO AVELINO - GUARATIBA</v>
          </cell>
          <cell r="D295">
            <v>142</v>
          </cell>
          <cell r="E295">
            <v>0</v>
          </cell>
          <cell r="F295">
            <v>0</v>
          </cell>
          <cell r="G295">
            <v>55</v>
          </cell>
          <cell r="H295">
            <v>0</v>
          </cell>
          <cell r="I295">
            <v>34</v>
          </cell>
          <cell r="J295">
            <v>0</v>
          </cell>
          <cell r="K295">
            <v>53</v>
          </cell>
          <cell r="L295">
            <v>0</v>
          </cell>
          <cell r="M295">
            <v>142</v>
          </cell>
        </row>
        <row r="296">
          <cell r="B296">
            <v>10032</v>
          </cell>
          <cell r="C296" t="str">
            <v>CP CRECHE COMUNITÁRIA MUNDO MÁGICO</v>
          </cell>
          <cell r="D296">
            <v>222</v>
          </cell>
          <cell r="E296">
            <v>26</v>
          </cell>
          <cell r="F296">
            <v>0</v>
          </cell>
          <cell r="G296">
            <v>71</v>
          </cell>
          <cell r="H296">
            <v>0</v>
          </cell>
          <cell r="I296">
            <v>57</v>
          </cell>
          <cell r="J296">
            <v>1</v>
          </cell>
          <cell r="K296">
            <v>59</v>
          </cell>
          <cell r="L296">
            <v>2</v>
          </cell>
          <cell r="M296">
            <v>213</v>
          </cell>
        </row>
        <row r="297">
          <cell r="B297">
            <v>10033</v>
          </cell>
          <cell r="C297" t="str">
            <v>CP PROJETO QUEBRA CABEÇA</v>
          </cell>
          <cell r="D297">
            <v>117</v>
          </cell>
          <cell r="E297">
            <v>4</v>
          </cell>
          <cell r="F297">
            <v>0</v>
          </cell>
          <cell r="G297">
            <v>23</v>
          </cell>
          <cell r="H297">
            <v>0</v>
          </cell>
          <cell r="I297">
            <v>35</v>
          </cell>
          <cell r="J297">
            <v>1</v>
          </cell>
          <cell r="K297">
            <v>48</v>
          </cell>
          <cell r="L297">
            <v>1</v>
          </cell>
          <cell r="M297">
            <v>110</v>
          </cell>
        </row>
        <row r="298">
          <cell r="B298">
            <v>10034</v>
          </cell>
          <cell r="C298" t="str">
            <v>CP OS BENEDITINHOS</v>
          </cell>
          <cell r="D298">
            <v>135</v>
          </cell>
          <cell r="E298">
            <v>0</v>
          </cell>
          <cell r="F298">
            <v>0</v>
          </cell>
          <cell r="G298">
            <v>27</v>
          </cell>
          <cell r="H298">
            <v>0</v>
          </cell>
          <cell r="I298">
            <v>59</v>
          </cell>
          <cell r="J298">
            <v>2</v>
          </cell>
          <cell r="K298">
            <v>46</v>
          </cell>
          <cell r="L298">
            <v>1</v>
          </cell>
          <cell r="M298">
            <v>132</v>
          </cell>
        </row>
        <row r="299">
          <cell r="B299">
            <v>10035</v>
          </cell>
          <cell r="C299" t="str">
            <v>CP ESCOLA COMUNITÁRIA JARDIM DE INFÂNCIA CHAVE DO TAMANHO</v>
          </cell>
          <cell r="D299">
            <v>160</v>
          </cell>
          <cell r="E299">
            <v>14</v>
          </cell>
          <cell r="F299">
            <v>0</v>
          </cell>
          <cell r="G299">
            <v>25</v>
          </cell>
          <cell r="H299">
            <v>0</v>
          </cell>
          <cell r="I299">
            <v>27</v>
          </cell>
          <cell r="J299">
            <v>0</v>
          </cell>
          <cell r="K299">
            <v>21</v>
          </cell>
          <cell r="L299">
            <v>0</v>
          </cell>
          <cell r="M299">
            <v>87</v>
          </cell>
        </row>
        <row r="300">
          <cell r="B300">
            <v>10036</v>
          </cell>
          <cell r="C300" t="str">
            <v>CP CAAD DONA ZULMIRA TELLES</v>
          </cell>
          <cell r="D300">
            <v>120</v>
          </cell>
          <cell r="E300">
            <v>0</v>
          </cell>
          <cell r="F300">
            <v>0</v>
          </cell>
          <cell r="G300">
            <v>21</v>
          </cell>
          <cell r="H300">
            <v>0</v>
          </cell>
          <cell r="I300">
            <v>44</v>
          </cell>
          <cell r="J300">
            <v>0</v>
          </cell>
          <cell r="K300">
            <v>38</v>
          </cell>
          <cell r="L300">
            <v>0</v>
          </cell>
          <cell r="M300">
            <v>103</v>
          </cell>
        </row>
        <row r="301">
          <cell r="B301">
            <v>10037</v>
          </cell>
          <cell r="C301" t="str">
            <v>CP CAAD - COMITÊ DE ATENDIMENTO À CRIANÇA E AO ADOLESCENTE</v>
          </cell>
          <cell r="D301">
            <v>163</v>
          </cell>
          <cell r="E301">
            <v>0</v>
          </cell>
          <cell r="F301">
            <v>0</v>
          </cell>
          <cell r="G301">
            <v>17</v>
          </cell>
          <cell r="H301">
            <v>0</v>
          </cell>
          <cell r="I301">
            <v>39</v>
          </cell>
          <cell r="J301">
            <v>0</v>
          </cell>
          <cell r="K301">
            <v>43</v>
          </cell>
          <cell r="L301">
            <v>1</v>
          </cell>
          <cell r="M301">
            <v>99</v>
          </cell>
        </row>
        <row r="302">
          <cell r="B302">
            <v>10039</v>
          </cell>
          <cell r="C302" t="str">
            <v>CP FUNDAÇÃO KLINGNER PARA O DESENVOLVIMENTO SOCIAL</v>
          </cell>
          <cell r="D302">
            <v>350</v>
          </cell>
          <cell r="E302">
            <v>0</v>
          </cell>
          <cell r="F302">
            <v>0</v>
          </cell>
          <cell r="G302">
            <v>73</v>
          </cell>
          <cell r="H302">
            <v>0</v>
          </cell>
          <cell r="I302">
            <v>130</v>
          </cell>
          <cell r="J302">
            <v>1</v>
          </cell>
          <cell r="K302">
            <v>140</v>
          </cell>
          <cell r="L302">
            <v>5</v>
          </cell>
          <cell r="M302">
            <v>343</v>
          </cell>
        </row>
        <row r="303">
          <cell r="B303">
            <v>10040</v>
          </cell>
          <cell r="C303" t="str">
            <v>CP CICIM I</v>
          </cell>
          <cell r="D303">
            <v>200</v>
          </cell>
          <cell r="E303">
            <v>0</v>
          </cell>
          <cell r="F303">
            <v>0</v>
          </cell>
          <cell r="G303">
            <v>50</v>
          </cell>
          <cell r="H303">
            <v>0</v>
          </cell>
          <cell r="I303">
            <v>72</v>
          </cell>
          <cell r="J303">
            <v>0</v>
          </cell>
          <cell r="K303">
            <v>72</v>
          </cell>
          <cell r="L303">
            <v>3</v>
          </cell>
          <cell r="M303">
            <v>194</v>
          </cell>
        </row>
        <row r="304">
          <cell r="B304">
            <v>10041</v>
          </cell>
          <cell r="C304" t="str">
            <v>CP CRECHE BEZERRA DE MENEZES - SANTA CRUZ</v>
          </cell>
          <cell r="D304">
            <v>160</v>
          </cell>
          <cell r="E304">
            <v>0</v>
          </cell>
          <cell r="F304">
            <v>0</v>
          </cell>
          <cell r="G304">
            <v>40</v>
          </cell>
          <cell r="H304">
            <v>0</v>
          </cell>
          <cell r="I304">
            <v>59</v>
          </cell>
          <cell r="J304">
            <v>1</v>
          </cell>
          <cell r="K304">
            <v>61</v>
          </cell>
          <cell r="L304">
            <v>4</v>
          </cell>
          <cell r="M304">
            <v>160</v>
          </cell>
        </row>
        <row r="305">
          <cell r="B305">
            <v>10042</v>
          </cell>
          <cell r="C305" t="str">
            <v>CP CICIM II</v>
          </cell>
          <cell r="D305">
            <v>128</v>
          </cell>
          <cell r="E305">
            <v>0</v>
          </cell>
          <cell r="F305">
            <v>0</v>
          </cell>
          <cell r="G305">
            <v>24</v>
          </cell>
          <cell r="H305">
            <v>0</v>
          </cell>
          <cell r="I305">
            <v>44</v>
          </cell>
          <cell r="J305">
            <v>0</v>
          </cell>
          <cell r="K305">
            <v>60</v>
          </cell>
          <cell r="L305">
            <v>0</v>
          </cell>
          <cell r="M305">
            <v>128</v>
          </cell>
        </row>
        <row r="306">
          <cell r="B306">
            <v>10043</v>
          </cell>
          <cell r="C306" t="str">
            <v>CP CRECHE CANTINHO CASLU</v>
          </cell>
          <cell r="D306">
            <v>126</v>
          </cell>
          <cell r="E306">
            <v>0</v>
          </cell>
          <cell r="F306">
            <v>0</v>
          </cell>
          <cell r="G306">
            <v>42</v>
          </cell>
          <cell r="H306">
            <v>0</v>
          </cell>
          <cell r="I306">
            <v>42</v>
          </cell>
          <cell r="J306">
            <v>0</v>
          </cell>
          <cell r="K306">
            <v>42</v>
          </cell>
          <cell r="L306">
            <v>0</v>
          </cell>
          <cell r="M306">
            <v>126</v>
          </cell>
        </row>
        <row r="307">
          <cell r="B307">
            <v>10044</v>
          </cell>
          <cell r="C307" t="str">
            <v>CP CRECHE COMUNITÁRIA MAGIA DA CRIANÇA</v>
          </cell>
          <cell r="D307">
            <v>168</v>
          </cell>
          <cell r="E307">
            <v>7</v>
          </cell>
          <cell r="F307">
            <v>0</v>
          </cell>
          <cell r="G307">
            <v>45</v>
          </cell>
          <cell r="H307">
            <v>0</v>
          </cell>
          <cell r="I307">
            <v>56</v>
          </cell>
          <cell r="J307">
            <v>0</v>
          </cell>
          <cell r="K307">
            <v>60</v>
          </cell>
          <cell r="L307">
            <v>0</v>
          </cell>
          <cell r="M307">
            <v>168</v>
          </cell>
        </row>
        <row r="308">
          <cell r="B308">
            <v>10045</v>
          </cell>
          <cell r="C308" t="str">
            <v>CP ESPAÇO CRIATIVO ERA UMA VEZ</v>
          </cell>
          <cell r="D308">
            <v>135</v>
          </cell>
          <cell r="E308">
            <v>0</v>
          </cell>
          <cell r="F308">
            <v>0</v>
          </cell>
          <cell r="G308">
            <v>22</v>
          </cell>
          <cell r="H308">
            <v>0</v>
          </cell>
          <cell r="I308">
            <v>41</v>
          </cell>
          <cell r="J308">
            <v>0</v>
          </cell>
          <cell r="K308">
            <v>66</v>
          </cell>
          <cell r="L308">
            <v>4</v>
          </cell>
          <cell r="M308">
            <v>129</v>
          </cell>
        </row>
        <row r="309">
          <cell r="B309">
            <v>10046</v>
          </cell>
          <cell r="C309" t="str">
            <v>CP CRECHE COMUNITÁRIA DEUS É FIEL - CCDF</v>
          </cell>
          <cell r="D309">
            <v>317</v>
          </cell>
          <cell r="E309">
            <v>0</v>
          </cell>
          <cell r="F309">
            <v>0</v>
          </cell>
          <cell r="G309">
            <v>96</v>
          </cell>
          <cell r="H309">
            <v>0</v>
          </cell>
          <cell r="I309">
            <v>120</v>
          </cell>
          <cell r="J309">
            <v>0</v>
          </cell>
          <cell r="K309">
            <v>101</v>
          </cell>
          <cell r="L309">
            <v>0</v>
          </cell>
          <cell r="M309">
            <v>317</v>
          </cell>
        </row>
        <row r="310">
          <cell r="B310">
            <v>10047</v>
          </cell>
          <cell r="C310" t="str">
            <v>CP CENTRO CULTURAL MONTESSORI - SANTA CRUZ</v>
          </cell>
          <cell r="D310">
            <v>186</v>
          </cell>
          <cell r="E310">
            <v>12</v>
          </cell>
          <cell r="F310">
            <v>0</v>
          </cell>
          <cell r="G310">
            <v>65</v>
          </cell>
          <cell r="H310">
            <v>0</v>
          </cell>
          <cell r="I310">
            <v>55</v>
          </cell>
          <cell r="J310">
            <v>0</v>
          </cell>
          <cell r="K310">
            <v>56</v>
          </cell>
          <cell r="L310">
            <v>2</v>
          </cell>
          <cell r="M310">
            <v>188</v>
          </cell>
        </row>
        <row r="311">
          <cell r="B311">
            <v>10051</v>
          </cell>
          <cell r="C311" t="str">
            <v>CP CRECHE COMUNITÁRIA DEUS É FIEL - UNIDADE VI</v>
          </cell>
          <cell r="D311">
            <v>333</v>
          </cell>
          <cell r="E311">
            <v>0</v>
          </cell>
          <cell r="F311">
            <v>0</v>
          </cell>
          <cell r="G311">
            <v>72</v>
          </cell>
          <cell r="H311">
            <v>0</v>
          </cell>
          <cell r="I311">
            <v>140</v>
          </cell>
          <cell r="J311">
            <v>0</v>
          </cell>
          <cell r="K311">
            <v>121</v>
          </cell>
          <cell r="L311">
            <v>0</v>
          </cell>
          <cell r="M311">
            <v>333</v>
          </cell>
        </row>
        <row r="312">
          <cell r="B312">
            <v>10052</v>
          </cell>
          <cell r="C312" t="str">
            <v>CP CRECHE COMUNITÁRIA DEUS É FIEL - UNIDADE VII</v>
          </cell>
          <cell r="D312">
            <v>321</v>
          </cell>
          <cell r="E312">
            <v>0</v>
          </cell>
          <cell r="F312">
            <v>0</v>
          </cell>
          <cell r="G312">
            <v>108</v>
          </cell>
          <cell r="H312">
            <v>0</v>
          </cell>
          <cell r="I312">
            <v>152</v>
          </cell>
          <cell r="J312">
            <v>0</v>
          </cell>
          <cell r="K312">
            <v>61</v>
          </cell>
          <cell r="L312">
            <v>0</v>
          </cell>
          <cell r="M312">
            <v>321</v>
          </cell>
        </row>
        <row r="313">
          <cell r="B313">
            <v>10053</v>
          </cell>
          <cell r="C313" t="str">
            <v>CP CRECHE COMUNITÁRIA GÊNIO DO FUTURO</v>
          </cell>
          <cell r="D313">
            <v>300</v>
          </cell>
          <cell r="E313">
            <v>29</v>
          </cell>
          <cell r="F313">
            <v>0</v>
          </cell>
          <cell r="G313">
            <v>83</v>
          </cell>
          <cell r="H313">
            <v>1</v>
          </cell>
          <cell r="I313">
            <v>98</v>
          </cell>
          <cell r="J313">
            <v>2</v>
          </cell>
          <cell r="K313">
            <v>81</v>
          </cell>
          <cell r="L313">
            <v>2</v>
          </cell>
          <cell r="M313">
            <v>291</v>
          </cell>
        </row>
        <row r="314">
          <cell r="B314">
            <v>10054</v>
          </cell>
          <cell r="C314" t="str">
            <v>CP CRECHE COMUNITÁRIA AQUARELA DO SABER</v>
          </cell>
          <cell r="D314">
            <v>81</v>
          </cell>
          <cell r="E314">
            <v>0</v>
          </cell>
          <cell r="F314">
            <v>0</v>
          </cell>
          <cell r="G314">
            <v>9</v>
          </cell>
          <cell r="H314">
            <v>0</v>
          </cell>
          <cell r="I314">
            <v>20</v>
          </cell>
          <cell r="J314">
            <v>0</v>
          </cell>
          <cell r="K314">
            <v>26</v>
          </cell>
          <cell r="L314">
            <v>0</v>
          </cell>
          <cell r="M314">
            <v>55</v>
          </cell>
        </row>
        <row r="315">
          <cell r="B315">
            <v>10055</v>
          </cell>
          <cell r="C315" t="str">
            <v>CP ESPAÇO DE DESENVOLVIMENTO MÃE GAIA</v>
          </cell>
          <cell r="D315">
            <v>150</v>
          </cell>
          <cell r="E315">
            <v>0</v>
          </cell>
          <cell r="F315">
            <v>0</v>
          </cell>
          <cell r="G315">
            <v>25</v>
          </cell>
          <cell r="H315">
            <v>0</v>
          </cell>
          <cell r="I315">
            <v>49</v>
          </cell>
          <cell r="J315">
            <v>0</v>
          </cell>
          <cell r="K315">
            <v>74</v>
          </cell>
          <cell r="L315">
            <v>2</v>
          </cell>
          <cell r="M315">
            <v>148</v>
          </cell>
        </row>
        <row r="316">
          <cell r="B316">
            <v>10056</v>
          </cell>
          <cell r="C316" t="str">
            <v>CP CRECHE MUNDO DA BIBI</v>
          </cell>
          <cell r="D316">
            <v>100</v>
          </cell>
          <cell r="E316">
            <v>0</v>
          </cell>
          <cell r="F316">
            <v>0</v>
          </cell>
          <cell r="G316">
            <v>24</v>
          </cell>
          <cell r="H316">
            <v>0</v>
          </cell>
          <cell r="I316">
            <v>36</v>
          </cell>
          <cell r="J316">
            <v>0</v>
          </cell>
          <cell r="K316">
            <v>39</v>
          </cell>
          <cell r="L316">
            <v>2</v>
          </cell>
          <cell r="M316">
            <v>99</v>
          </cell>
        </row>
        <row r="317">
          <cell r="B317">
            <v>10057</v>
          </cell>
          <cell r="C317" t="str">
            <v>CP CENTRO CULTURAL MONTESSORI - PACIÊNCIA</v>
          </cell>
          <cell r="D317">
            <v>305</v>
          </cell>
          <cell r="E317">
            <v>0</v>
          </cell>
          <cell r="F317">
            <v>0</v>
          </cell>
          <cell r="G317">
            <v>106</v>
          </cell>
          <cell r="H317">
            <v>0</v>
          </cell>
          <cell r="I317">
            <v>69</v>
          </cell>
          <cell r="J317">
            <v>0</v>
          </cell>
          <cell r="K317">
            <v>132</v>
          </cell>
          <cell r="L317">
            <v>4</v>
          </cell>
          <cell r="M317">
            <v>307</v>
          </cell>
        </row>
        <row r="318">
          <cell r="B318">
            <v>10058</v>
          </cell>
          <cell r="C318" t="str">
            <v>CP CRECHE ESCOLA COMUNITÁRIA MALLETZINHO</v>
          </cell>
          <cell r="D318">
            <v>280</v>
          </cell>
          <cell r="E318">
            <v>32</v>
          </cell>
          <cell r="F318">
            <v>0</v>
          </cell>
          <cell r="G318">
            <v>69</v>
          </cell>
          <cell r="H318">
            <v>0</v>
          </cell>
          <cell r="I318">
            <v>71</v>
          </cell>
          <cell r="J318">
            <v>1</v>
          </cell>
          <cell r="K318">
            <v>97</v>
          </cell>
          <cell r="L318">
            <v>1</v>
          </cell>
          <cell r="M318">
            <v>269</v>
          </cell>
        </row>
        <row r="319">
          <cell r="B319">
            <v>10059</v>
          </cell>
          <cell r="C319" t="str">
            <v>CP CRECHE COMUNITÁRIA PLANETA BEBÊ</v>
          </cell>
          <cell r="D319">
            <v>92</v>
          </cell>
          <cell r="E319">
            <v>0</v>
          </cell>
          <cell r="F319">
            <v>0</v>
          </cell>
          <cell r="G319">
            <v>25</v>
          </cell>
          <cell r="H319">
            <v>0</v>
          </cell>
          <cell r="I319">
            <v>28</v>
          </cell>
          <cell r="J319">
            <v>0</v>
          </cell>
          <cell r="K319">
            <v>38</v>
          </cell>
          <cell r="L319">
            <v>1</v>
          </cell>
          <cell r="M319">
            <v>91</v>
          </cell>
        </row>
        <row r="320">
          <cell r="B320">
            <v>10060</v>
          </cell>
          <cell r="C320" t="str">
            <v>CP CRECHE COMUNITÁRIA JARDIM DO CONHECIMENTO</v>
          </cell>
          <cell r="D320">
            <v>100</v>
          </cell>
          <cell r="E320">
            <v>0</v>
          </cell>
          <cell r="F320">
            <v>0</v>
          </cell>
          <cell r="G320">
            <v>18</v>
          </cell>
          <cell r="H320">
            <v>0</v>
          </cell>
          <cell r="I320">
            <v>29</v>
          </cell>
          <cell r="J320">
            <v>1</v>
          </cell>
          <cell r="K320">
            <v>51</v>
          </cell>
          <cell r="L320">
            <v>1</v>
          </cell>
          <cell r="M320">
            <v>98</v>
          </cell>
        </row>
        <row r="321">
          <cell r="B321">
            <v>10061</v>
          </cell>
          <cell r="C321" t="str">
            <v>CP CRECHE COMUNITÁRIA ESTRELA DO AMANHÃ</v>
          </cell>
          <cell r="D321">
            <v>92</v>
          </cell>
          <cell r="E321">
            <v>0</v>
          </cell>
          <cell r="F321">
            <v>0</v>
          </cell>
          <cell r="G321">
            <v>25</v>
          </cell>
          <cell r="H321">
            <v>0</v>
          </cell>
          <cell r="I321">
            <v>39</v>
          </cell>
          <cell r="J321">
            <v>0</v>
          </cell>
          <cell r="K321">
            <v>28</v>
          </cell>
          <cell r="L321">
            <v>0</v>
          </cell>
          <cell r="M321">
            <v>92</v>
          </cell>
        </row>
        <row r="322">
          <cell r="B322">
            <v>10062</v>
          </cell>
          <cell r="C322" t="str">
            <v>CP CENTRO CULTURAL DE DESENVOLVIMENTO INFANTIL JOÃO BATISTA</v>
          </cell>
          <cell r="D322">
            <v>112</v>
          </cell>
          <cell r="E322">
            <v>0</v>
          </cell>
          <cell r="F322">
            <v>0</v>
          </cell>
          <cell r="G322">
            <v>24</v>
          </cell>
          <cell r="H322">
            <v>0</v>
          </cell>
          <cell r="I322">
            <v>34</v>
          </cell>
          <cell r="J322">
            <v>1</v>
          </cell>
          <cell r="K322">
            <v>48</v>
          </cell>
          <cell r="L322">
            <v>1</v>
          </cell>
          <cell r="M322">
            <v>106</v>
          </cell>
        </row>
        <row r="323">
          <cell r="B323">
            <v>10063</v>
          </cell>
          <cell r="C323" t="str">
            <v>CP CRECHE COMUNITÁRIA UNIVERSO INFANTIL</v>
          </cell>
          <cell r="D323">
            <v>130</v>
          </cell>
          <cell r="E323">
            <v>0</v>
          </cell>
          <cell r="F323">
            <v>0</v>
          </cell>
          <cell r="G323">
            <v>24</v>
          </cell>
          <cell r="H323">
            <v>0</v>
          </cell>
          <cell r="I323">
            <v>50</v>
          </cell>
          <cell r="J323">
            <v>2</v>
          </cell>
          <cell r="K323">
            <v>53</v>
          </cell>
          <cell r="L323">
            <v>1</v>
          </cell>
          <cell r="M323">
            <v>127</v>
          </cell>
        </row>
        <row r="324">
          <cell r="B324">
            <v>10064</v>
          </cell>
          <cell r="C324" t="str">
            <v>CP CRECHE COMUNITÁRIA CORAÇÃO DE MÃE</v>
          </cell>
          <cell r="D324">
            <v>130</v>
          </cell>
          <cell r="E324">
            <v>0</v>
          </cell>
          <cell r="F324">
            <v>0</v>
          </cell>
          <cell r="G324">
            <v>35</v>
          </cell>
          <cell r="H324">
            <v>0</v>
          </cell>
          <cell r="I324">
            <v>45</v>
          </cell>
          <cell r="J324">
            <v>2</v>
          </cell>
          <cell r="K324">
            <v>47</v>
          </cell>
          <cell r="L324">
            <v>1</v>
          </cell>
          <cell r="M324">
            <v>127</v>
          </cell>
        </row>
        <row r="325">
          <cell r="B325">
            <v>10065</v>
          </cell>
          <cell r="C325" t="str">
            <v>CP CRECHE MAGIA DA CRIANÇA II</v>
          </cell>
          <cell r="D325">
            <v>173</v>
          </cell>
          <cell r="E325">
            <v>27</v>
          </cell>
          <cell r="F325">
            <v>0</v>
          </cell>
          <cell r="G325">
            <v>46</v>
          </cell>
          <cell r="H325">
            <v>0</v>
          </cell>
          <cell r="I325">
            <v>56</v>
          </cell>
          <cell r="J325">
            <v>0</v>
          </cell>
          <cell r="K325">
            <v>40</v>
          </cell>
          <cell r="L325">
            <v>1</v>
          </cell>
          <cell r="M325">
            <v>169</v>
          </cell>
        </row>
        <row r="326">
          <cell r="B326">
            <v>10066</v>
          </cell>
          <cell r="C326" t="str">
            <v>CP CRECHE COMUNITÁRIA ARTE &amp; CULTURA</v>
          </cell>
          <cell r="D326">
            <v>250</v>
          </cell>
          <cell r="E326">
            <v>0</v>
          </cell>
          <cell r="F326">
            <v>0</v>
          </cell>
          <cell r="G326">
            <v>72</v>
          </cell>
          <cell r="H326">
            <v>0</v>
          </cell>
          <cell r="I326">
            <v>77</v>
          </cell>
          <cell r="J326">
            <v>0</v>
          </cell>
          <cell r="K326">
            <v>102</v>
          </cell>
          <cell r="L326">
            <v>0</v>
          </cell>
          <cell r="M326">
            <v>251</v>
          </cell>
        </row>
        <row r="327">
          <cell r="B327">
            <v>10067</v>
          </cell>
          <cell r="C327" t="str">
            <v>CP CRECHE COMUNITÁRIA ARCA DE NOÉ</v>
          </cell>
          <cell r="D327">
            <v>124</v>
          </cell>
          <cell r="E327">
            <v>0</v>
          </cell>
          <cell r="F327">
            <v>0</v>
          </cell>
          <cell r="G327">
            <v>25</v>
          </cell>
          <cell r="H327">
            <v>0</v>
          </cell>
          <cell r="I327">
            <v>39</v>
          </cell>
          <cell r="J327">
            <v>1</v>
          </cell>
          <cell r="K327">
            <v>62</v>
          </cell>
          <cell r="L327">
            <v>5</v>
          </cell>
          <cell r="M327">
            <v>126</v>
          </cell>
        </row>
        <row r="328">
          <cell r="B328">
            <v>10068</v>
          </cell>
          <cell r="C328" t="str">
            <v>CP CRECHE COMUNITÁRIA TIA NEIDE - GUARATIBA</v>
          </cell>
          <cell r="D328">
            <v>120</v>
          </cell>
          <cell r="E328">
            <v>0</v>
          </cell>
          <cell r="F328">
            <v>0</v>
          </cell>
          <cell r="G328">
            <v>27</v>
          </cell>
          <cell r="H328">
            <v>0</v>
          </cell>
          <cell r="I328">
            <v>42</v>
          </cell>
          <cell r="J328">
            <v>0</v>
          </cell>
          <cell r="K328">
            <v>49</v>
          </cell>
          <cell r="L328">
            <v>1</v>
          </cell>
          <cell r="M328">
            <v>118</v>
          </cell>
        </row>
        <row r="329">
          <cell r="B329">
            <v>10069</v>
          </cell>
          <cell r="C329" t="str">
            <v>CP CRECHE E ESCOLA COMUNITÁRIA GENTE BAIXINHA II</v>
          </cell>
          <cell r="D329">
            <v>75</v>
          </cell>
          <cell r="E329">
            <v>0</v>
          </cell>
          <cell r="F329">
            <v>0</v>
          </cell>
          <cell r="G329">
            <v>16</v>
          </cell>
          <cell r="H329">
            <v>0</v>
          </cell>
          <cell r="I329">
            <v>39</v>
          </cell>
          <cell r="J329">
            <v>1</v>
          </cell>
          <cell r="K329">
            <v>20</v>
          </cell>
          <cell r="L329">
            <v>0</v>
          </cell>
          <cell r="M329">
            <v>75</v>
          </cell>
        </row>
        <row r="330">
          <cell r="B330">
            <v>10070</v>
          </cell>
          <cell r="C330" t="str">
            <v>CP PEDACINHO DO CÉU</v>
          </cell>
          <cell r="D330">
            <v>49</v>
          </cell>
          <cell r="E330">
            <v>0</v>
          </cell>
          <cell r="F330">
            <v>0</v>
          </cell>
          <cell r="G330">
            <v>10</v>
          </cell>
          <cell r="H330">
            <v>0</v>
          </cell>
          <cell r="I330">
            <v>21</v>
          </cell>
          <cell r="J330">
            <v>0</v>
          </cell>
          <cell r="K330">
            <v>16</v>
          </cell>
          <cell r="L330">
            <v>0</v>
          </cell>
          <cell r="M330">
            <v>47</v>
          </cell>
        </row>
        <row r="331">
          <cell r="B331">
            <v>10071</v>
          </cell>
          <cell r="C331" t="str">
            <v>CP CRECHE COMUNITÁRIA ARTE &amp; CULTURA - UNIDADE I</v>
          </cell>
          <cell r="D331">
            <v>250</v>
          </cell>
          <cell r="E331">
            <v>0</v>
          </cell>
          <cell r="F331">
            <v>0</v>
          </cell>
          <cell r="G331">
            <v>49</v>
          </cell>
          <cell r="H331">
            <v>0</v>
          </cell>
          <cell r="I331">
            <v>88</v>
          </cell>
          <cell r="J331">
            <v>0</v>
          </cell>
          <cell r="K331">
            <v>113</v>
          </cell>
          <cell r="L331">
            <v>0</v>
          </cell>
          <cell r="M331">
            <v>250</v>
          </cell>
        </row>
        <row r="332">
          <cell r="B332">
            <v>10072</v>
          </cell>
          <cell r="C332" t="str">
            <v>CP CRECHE COMUNITÁRIA DEUS É FIEL - UNIDADE X</v>
          </cell>
          <cell r="D332">
            <v>125</v>
          </cell>
          <cell r="E332">
            <v>0</v>
          </cell>
          <cell r="F332">
            <v>0</v>
          </cell>
          <cell r="G332">
            <v>48</v>
          </cell>
          <cell r="H332">
            <v>0</v>
          </cell>
          <cell r="I332">
            <v>45</v>
          </cell>
          <cell r="J332">
            <v>0</v>
          </cell>
          <cell r="K332">
            <v>32</v>
          </cell>
          <cell r="L332">
            <v>0</v>
          </cell>
          <cell r="M332">
            <v>125</v>
          </cell>
        </row>
        <row r="333">
          <cell r="B333">
            <v>10073</v>
          </cell>
          <cell r="C333" t="str">
            <v>CP NINHO CARIOCA</v>
          </cell>
          <cell r="D333">
            <v>152</v>
          </cell>
          <cell r="E333">
            <v>0</v>
          </cell>
          <cell r="F333">
            <v>0</v>
          </cell>
          <cell r="G333">
            <v>18</v>
          </cell>
          <cell r="H333">
            <v>0</v>
          </cell>
          <cell r="I333">
            <v>49</v>
          </cell>
          <cell r="J333">
            <v>0</v>
          </cell>
          <cell r="K333">
            <v>85</v>
          </cell>
          <cell r="L333">
            <v>0</v>
          </cell>
          <cell r="M333">
            <v>152</v>
          </cell>
        </row>
        <row r="334">
          <cell r="B334">
            <v>10074</v>
          </cell>
          <cell r="C334" t="str">
            <v>CP CRECHE COMUNITÁRIA MUNDO MÁGICO II</v>
          </cell>
          <cell r="D334">
            <v>120</v>
          </cell>
          <cell r="E334">
            <v>0</v>
          </cell>
          <cell r="F334">
            <v>0</v>
          </cell>
          <cell r="G334">
            <v>20</v>
          </cell>
          <cell r="H334">
            <v>0</v>
          </cell>
          <cell r="I334">
            <v>34</v>
          </cell>
          <cell r="J334">
            <v>0</v>
          </cell>
          <cell r="K334">
            <v>66</v>
          </cell>
          <cell r="L334">
            <v>0</v>
          </cell>
          <cell r="M334">
            <v>120</v>
          </cell>
        </row>
        <row r="335">
          <cell r="B335">
            <v>10075</v>
          </cell>
          <cell r="C335" t="str">
            <v>CP CRECHE COMUNITÁRIA PEDACINHO DE CÉU</v>
          </cell>
          <cell r="D335">
            <v>60</v>
          </cell>
          <cell r="E335">
            <v>1</v>
          </cell>
          <cell r="F335">
            <v>0</v>
          </cell>
          <cell r="G335">
            <v>0</v>
          </cell>
          <cell r="H335">
            <v>0</v>
          </cell>
          <cell r="I335">
            <v>19</v>
          </cell>
          <cell r="J335">
            <v>0</v>
          </cell>
          <cell r="K335">
            <v>41</v>
          </cell>
          <cell r="L335">
            <v>0</v>
          </cell>
          <cell r="M335">
            <v>61</v>
          </cell>
        </row>
        <row r="336">
          <cell r="B336">
            <v>10076</v>
          </cell>
          <cell r="C336" t="str">
            <v>CP ESPAÇO DE DESENVOLVIMENTO MÃE GAIA - UNIDADE I</v>
          </cell>
          <cell r="D336">
            <v>60</v>
          </cell>
          <cell r="E336">
            <v>0</v>
          </cell>
          <cell r="F336">
            <v>0</v>
          </cell>
          <cell r="G336">
            <v>20</v>
          </cell>
          <cell r="H336">
            <v>0</v>
          </cell>
          <cell r="I336">
            <v>14</v>
          </cell>
          <cell r="J336">
            <v>0</v>
          </cell>
          <cell r="K336">
            <v>26</v>
          </cell>
          <cell r="L336">
            <v>0</v>
          </cell>
          <cell r="M336">
            <v>60</v>
          </cell>
        </row>
        <row r="337">
          <cell r="B337">
            <v>10077</v>
          </cell>
          <cell r="C337" t="str">
            <v>CP CRECHE COMUNITÁRIA CANTINHO DO SABER</v>
          </cell>
          <cell r="D337">
            <v>40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15</v>
          </cell>
          <cell r="J337">
            <v>0</v>
          </cell>
          <cell r="K337">
            <v>22</v>
          </cell>
          <cell r="L337">
            <v>0</v>
          </cell>
          <cell r="M337">
            <v>37</v>
          </cell>
        </row>
        <row r="338">
          <cell r="B338">
            <v>10078</v>
          </cell>
          <cell r="C338" t="str">
            <v>CP CRECHE COMUNITÁRIA CRIANÇA FELIZ</v>
          </cell>
          <cell r="D338">
            <v>40</v>
          </cell>
          <cell r="E338">
            <v>1</v>
          </cell>
          <cell r="F338">
            <v>0</v>
          </cell>
          <cell r="G338">
            <v>14</v>
          </cell>
          <cell r="H338">
            <v>0</v>
          </cell>
          <cell r="I338">
            <v>15</v>
          </cell>
          <cell r="J338">
            <v>0</v>
          </cell>
          <cell r="K338">
            <v>10</v>
          </cell>
          <cell r="L338">
            <v>0</v>
          </cell>
          <cell r="M338">
            <v>40</v>
          </cell>
        </row>
        <row r="339">
          <cell r="B339">
            <v>10079</v>
          </cell>
          <cell r="C339" t="str">
            <v>CP CRECHE COMUNITÁRIA DEUS É FIEL - UNIDADE VIII</v>
          </cell>
          <cell r="D339">
            <v>225</v>
          </cell>
          <cell r="E339">
            <v>0</v>
          </cell>
          <cell r="F339">
            <v>0</v>
          </cell>
          <cell r="G339">
            <v>72</v>
          </cell>
          <cell r="H339">
            <v>0</v>
          </cell>
          <cell r="I339">
            <v>67</v>
          </cell>
          <cell r="J339">
            <v>0</v>
          </cell>
          <cell r="K339">
            <v>86</v>
          </cell>
          <cell r="L339">
            <v>0</v>
          </cell>
          <cell r="M339">
            <v>225</v>
          </cell>
        </row>
        <row r="340">
          <cell r="B340">
            <v>10080</v>
          </cell>
          <cell r="C340" t="str">
            <v>CP ASSOCIAÇÃO CENTRO EDUCACIONAL REBRAL XII (GUARATIBA)</v>
          </cell>
          <cell r="D340">
            <v>100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26</v>
          </cell>
          <cell r="J340">
            <v>0</v>
          </cell>
          <cell r="K340">
            <v>20</v>
          </cell>
          <cell r="L340">
            <v>1</v>
          </cell>
          <cell r="M340">
            <v>46</v>
          </cell>
        </row>
        <row r="341">
          <cell r="B341">
            <v>10081</v>
          </cell>
          <cell r="C341" t="str">
            <v>CP CENTRO EDUCACIONAL ESTRELA DO AMANHÃ</v>
          </cell>
          <cell r="D341">
            <v>100</v>
          </cell>
          <cell r="E341">
            <v>0</v>
          </cell>
          <cell r="F341">
            <v>0</v>
          </cell>
          <cell r="G341">
            <v>24</v>
          </cell>
          <cell r="H341">
            <v>1</v>
          </cell>
          <cell r="I341">
            <v>40</v>
          </cell>
          <cell r="J341">
            <v>1</v>
          </cell>
          <cell r="K341">
            <v>36</v>
          </cell>
          <cell r="L341">
            <v>2</v>
          </cell>
          <cell r="M341">
            <v>100</v>
          </cell>
        </row>
        <row r="342">
          <cell r="B342">
            <v>10082</v>
          </cell>
          <cell r="C342" t="str">
            <v>CP CRECHE ESCOLA BAIXINHOS SABIDOS</v>
          </cell>
          <cell r="D342">
            <v>31</v>
          </cell>
          <cell r="E342">
            <v>0</v>
          </cell>
          <cell r="F342">
            <v>0</v>
          </cell>
          <cell r="G342">
            <v>17</v>
          </cell>
          <cell r="H342">
            <v>0</v>
          </cell>
          <cell r="I342">
            <v>7</v>
          </cell>
          <cell r="J342">
            <v>0</v>
          </cell>
          <cell r="K342">
            <v>7</v>
          </cell>
          <cell r="L342">
            <v>0</v>
          </cell>
          <cell r="M342">
            <v>31</v>
          </cell>
        </row>
        <row r="343">
          <cell r="B343">
            <v>10083</v>
          </cell>
          <cell r="C343" t="str">
            <v>CP CRECHE COMUNITÁRIA CRISTÃ CORDEIRINHO DE CRISTO</v>
          </cell>
          <cell r="D343">
            <v>40</v>
          </cell>
          <cell r="E343">
            <v>0</v>
          </cell>
          <cell r="F343">
            <v>0</v>
          </cell>
          <cell r="G343">
            <v>19</v>
          </cell>
          <cell r="H343">
            <v>0</v>
          </cell>
          <cell r="I343">
            <v>21</v>
          </cell>
          <cell r="J343">
            <v>0</v>
          </cell>
          <cell r="K343">
            <v>0</v>
          </cell>
          <cell r="L343">
            <v>0</v>
          </cell>
          <cell r="M343">
            <v>40</v>
          </cell>
        </row>
        <row r="344">
          <cell r="B344">
            <v>10084</v>
          </cell>
          <cell r="C344" t="str">
            <v>CP CRECHE COMUNITÁRIA AQUARELA DO SABER (GUARATIBA)</v>
          </cell>
          <cell r="D344">
            <v>45</v>
          </cell>
          <cell r="E344">
            <v>0</v>
          </cell>
          <cell r="F344">
            <v>0</v>
          </cell>
          <cell r="G344">
            <v>8</v>
          </cell>
          <cell r="H344">
            <v>0</v>
          </cell>
          <cell r="I344">
            <v>17</v>
          </cell>
          <cell r="J344">
            <v>0</v>
          </cell>
          <cell r="K344">
            <v>16</v>
          </cell>
          <cell r="L344">
            <v>0</v>
          </cell>
          <cell r="M344">
            <v>41</v>
          </cell>
        </row>
        <row r="345">
          <cell r="B345">
            <v>10085</v>
          </cell>
          <cell r="C345" t="str">
            <v>CP INSTITUTO DE AÇÃO SOCIAL VIDA</v>
          </cell>
          <cell r="D345">
            <v>60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24</v>
          </cell>
          <cell r="J345">
            <v>1</v>
          </cell>
          <cell r="K345">
            <v>32</v>
          </cell>
          <cell r="L345">
            <v>1</v>
          </cell>
          <cell r="M345">
            <v>56</v>
          </cell>
        </row>
        <row r="346">
          <cell r="B346">
            <v>11001</v>
          </cell>
          <cell r="C346" t="str">
            <v>CP CRECHE COMUNITÁRIA ALEGRIA DA CRIANÇA</v>
          </cell>
          <cell r="D346">
            <v>105</v>
          </cell>
          <cell r="E346">
            <v>0</v>
          </cell>
          <cell r="F346">
            <v>0</v>
          </cell>
          <cell r="G346">
            <v>18</v>
          </cell>
          <cell r="H346">
            <v>0</v>
          </cell>
          <cell r="I346">
            <v>43</v>
          </cell>
          <cell r="J346">
            <v>0</v>
          </cell>
          <cell r="K346">
            <v>44</v>
          </cell>
          <cell r="L346">
            <v>0</v>
          </cell>
          <cell r="M346">
            <v>105</v>
          </cell>
        </row>
        <row r="347">
          <cell r="B347">
            <v>11003</v>
          </cell>
          <cell r="C347" t="str">
            <v>CP AMIG - ASSOCIAÇÃO DOS MORADORES DA ILHA DO GOVERNADOR</v>
          </cell>
          <cell r="D347">
            <v>110</v>
          </cell>
          <cell r="E347">
            <v>0</v>
          </cell>
          <cell r="F347">
            <v>0</v>
          </cell>
          <cell r="G347">
            <v>19</v>
          </cell>
          <cell r="H347">
            <v>1</v>
          </cell>
          <cell r="I347">
            <v>47</v>
          </cell>
          <cell r="J347">
            <v>0</v>
          </cell>
          <cell r="K347">
            <v>41</v>
          </cell>
          <cell r="L347">
            <v>2</v>
          </cell>
          <cell r="M347">
            <v>107</v>
          </cell>
        </row>
        <row r="348">
          <cell r="B348">
            <v>11004</v>
          </cell>
          <cell r="C348" t="str">
            <v>CP CENTRO DE ATIVIDADES EDUCACIONAIS E CULTURAIS ARCA DE NOÉ - CAECAN</v>
          </cell>
          <cell r="D348">
            <v>135</v>
          </cell>
          <cell r="E348">
            <v>0</v>
          </cell>
          <cell r="F348">
            <v>0</v>
          </cell>
          <cell r="G348">
            <v>21</v>
          </cell>
          <cell r="H348">
            <v>0</v>
          </cell>
          <cell r="I348">
            <v>68</v>
          </cell>
          <cell r="J348">
            <v>1</v>
          </cell>
          <cell r="K348">
            <v>44</v>
          </cell>
          <cell r="L348">
            <v>1</v>
          </cell>
          <cell r="M348">
            <v>133</v>
          </cell>
        </row>
        <row r="349">
          <cell r="B349">
            <v>11006</v>
          </cell>
          <cell r="C349" t="str">
            <v>CP CRECHE CASULO DO DENDÊ</v>
          </cell>
          <cell r="D349">
            <v>310</v>
          </cell>
          <cell r="E349">
            <v>0</v>
          </cell>
          <cell r="F349">
            <v>0</v>
          </cell>
          <cell r="G349">
            <v>72</v>
          </cell>
          <cell r="H349">
            <v>0</v>
          </cell>
          <cell r="I349">
            <v>116</v>
          </cell>
          <cell r="J349">
            <v>0</v>
          </cell>
          <cell r="K349">
            <v>122</v>
          </cell>
          <cell r="L349">
            <v>0</v>
          </cell>
          <cell r="M349">
            <v>310</v>
          </cell>
        </row>
        <row r="350">
          <cell r="B350">
            <v>11007</v>
          </cell>
          <cell r="C350" t="str">
            <v>CP CRECHE ESFERA KIDS</v>
          </cell>
          <cell r="D350">
            <v>78</v>
          </cell>
          <cell r="E350">
            <v>0</v>
          </cell>
          <cell r="F350">
            <v>0</v>
          </cell>
          <cell r="G350">
            <v>26</v>
          </cell>
          <cell r="H350">
            <v>0</v>
          </cell>
          <cell r="I350">
            <v>27</v>
          </cell>
          <cell r="J350">
            <v>1</v>
          </cell>
          <cell r="K350">
            <v>25</v>
          </cell>
          <cell r="L350">
            <v>2</v>
          </cell>
          <cell r="M350">
            <v>78</v>
          </cell>
        </row>
        <row r="351">
          <cell r="B351">
            <v>11008</v>
          </cell>
          <cell r="C351" t="str">
            <v>CP FILIAL BANCÁRIOS - RJ</v>
          </cell>
          <cell r="D351">
            <v>104</v>
          </cell>
          <cell r="E351">
            <v>0</v>
          </cell>
          <cell r="F351">
            <v>0</v>
          </cell>
          <cell r="G351">
            <v>24</v>
          </cell>
          <cell r="H351">
            <v>1</v>
          </cell>
          <cell r="I351">
            <v>26</v>
          </cell>
          <cell r="J351">
            <v>0</v>
          </cell>
          <cell r="K351">
            <v>54</v>
          </cell>
          <cell r="L351">
            <v>0</v>
          </cell>
          <cell r="M351">
            <v>104</v>
          </cell>
        </row>
        <row r="352">
          <cell r="B352">
            <v>11009</v>
          </cell>
          <cell r="C352" t="str">
            <v>CP CRECHE COMUNITÁRIA IRMÃ MOROCHA</v>
          </cell>
          <cell r="D352">
            <v>40</v>
          </cell>
          <cell r="E352">
            <v>12</v>
          </cell>
          <cell r="F352">
            <v>0</v>
          </cell>
          <cell r="G352">
            <v>6</v>
          </cell>
          <cell r="H352">
            <v>0</v>
          </cell>
          <cell r="I352">
            <v>14</v>
          </cell>
          <cell r="J352">
            <v>1</v>
          </cell>
          <cell r="K352">
            <v>16</v>
          </cell>
          <cell r="L352">
            <v>1</v>
          </cell>
          <cell r="M352">
            <v>48</v>
          </cell>
        </row>
        <row r="353">
          <cell r="B353">
            <v>11010</v>
          </cell>
          <cell r="C353" t="str">
            <v>CP CHALÉ SEMENTINHA (ILHA DO GOVERNADOR)</v>
          </cell>
          <cell r="D353">
            <v>50</v>
          </cell>
          <cell r="E353">
            <v>9</v>
          </cell>
          <cell r="F353">
            <v>0</v>
          </cell>
          <cell r="G353">
            <v>15</v>
          </cell>
          <cell r="H353">
            <v>0</v>
          </cell>
          <cell r="I353">
            <v>12</v>
          </cell>
          <cell r="J353">
            <v>1</v>
          </cell>
          <cell r="K353">
            <v>11</v>
          </cell>
          <cell r="L353">
            <v>0</v>
          </cell>
          <cell r="M353">
            <v>47</v>
          </cell>
        </row>
      </sheetData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320F1-B192-43F6-BE63-93CF08C28DDB}">
  <sheetPr codeName="Planilha4"/>
  <dimension ref="A1:B250"/>
  <sheetViews>
    <sheetView topLeftCell="A214" workbookViewId="0">
      <selection activeCell="G230" sqref="G230"/>
    </sheetView>
  </sheetViews>
  <sheetFormatPr defaultRowHeight="15" x14ac:dyDescent="0.25"/>
  <sheetData>
    <row r="1" spans="1:2" x14ac:dyDescent="0.25">
      <c r="A1">
        <v>1</v>
      </c>
      <c r="B1">
        <v>1</v>
      </c>
    </row>
    <row r="2" spans="1:2" x14ac:dyDescent="0.25">
      <c r="A2">
        <v>2</v>
      </c>
      <c r="B2">
        <v>1</v>
      </c>
    </row>
    <row r="3" spans="1:2" x14ac:dyDescent="0.25">
      <c r="A3">
        <v>3</v>
      </c>
      <c r="B3">
        <v>1</v>
      </c>
    </row>
    <row r="4" spans="1:2" x14ac:dyDescent="0.25">
      <c r="A4">
        <v>4</v>
      </c>
      <c r="B4">
        <v>1</v>
      </c>
    </row>
    <row r="5" spans="1:2" x14ac:dyDescent="0.25">
      <c r="A5">
        <v>5</v>
      </c>
      <c r="B5">
        <v>1</v>
      </c>
    </row>
    <row r="6" spans="1:2" x14ac:dyDescent="0.25">
      <c r="A6">
        <v>6</v>
      </c>
      <c r="B6">
        <v>1</v>
      </c>
    </row>
    <row r="7" spans="1:2" x14ac:dyDescent="0.25">
      <c r="A7">
        <v>7</v>
      </c>
      <c r="B7">
        <v>1</v>
      </c>
    </row>
    <row r="8" spans="1:2" x14ac:dyDescent="0.25">
      <c r="A8">
        <v>8</v>
      </c>
      <c r="B8">
        <v>1</v>
      </c>
    </row>
    <row r="9" spans="1:2" x14ac:dyDescent="0.25">
      <c r="A9">
        <v>9</v>
      </c>
      <c r="B9">
        <v>1</v>
      </c>
    </row>
    <row r="10" spans="1:2" x14ac:dyDescent="0.25">
      <c r="A10">
        <v>10</v>
      </c>
      <c r="B10">
        <v>1</v>
      </c>
    </row>
    <row r="11" spans="1:2" x14ac:dyDescent="0.25">
      <c r="A11">
        <v>11</v>
      </c>
      <c r="B11">
        <v>1</v>
      </c>
    </row>
    <row r="12" spans="1:2" x14ac:dyDescent="0.25">
      <c r="A12">
        <v>12</v>
      </c>
      <c r="B12">
        <v>1</v>
      </c>
    </row>
    <row r="13" spans="1:2" x14ac:dyDescent="0.25">
      <c r="A13">
        <v>13</v>
      </c>
      <c r="B13">
        <v>1</v>
      </c>
    </row>
    <row r="14" spans="1:2" x14ac:dyDescent="0.25">
      <c r="A14">
        <v>14</v>
      </c>
      <c r="B14">
        <v>1</v>
      </c>
    </row>
    <row r="15" spans="1:2" x14ac:dyDescent="0.25">
      <c r="A15">
        <v>15</v>
      </c>
      <c r="B15">
        <v>1</v>
      </c>
    </row>
    <row r="16" spans="1:2" x14ac:dyDescent="0.25">
      <c r="A16">
        <v>16</v>
      </c>
      <c r="B16">
        <v>1</v>
      </c>
    </row>
    <row r="17" spans="1:2" x14ac:dyDescent="0.25">
      <c r="A17">
        <v>17</v>
      </c>
      <c r="B17">
        <v>1</v>
      </c>
    </row>
    <row r="18" spans="1:2" x14ac:dyDescent="0.25">
      <c r="A18">
        <v>18</v>
      </c>
      <c r="B18">
        <v>1</v>
      </c>
    </row>
    <row r="19" spans="1:2" x14ac:dyDescent="0.25">
      <c r="A19">
        <v>19</v>
      </c>
      <c r="B19">
        <v>1</v>
      </c>
    </row>
    <row r="20" spans="1:2" x14ac:dyDescent="0.25">
      <c r="A20">
        <v>20</v>
      </c>
      <c r="B20">
        <v>1</v>
      </c>
    </row>
    <row r="21" spans="1:2" x14ac:dyDescent="0.25">
      <c r="A21">
        <v>21</v>
      </c>
      <c r="B21">
        <v>1</v>
      </c>
    </row>
    <row r="22" spans="1:2" x14ac:dyDescent="0.25">
      <c r="A22">
        <v>22</v>
      </c>
      <c r="B22">
        <v>1</v>
      </c>
    </row>
    <row r="23" spans="1:2" x14ac:dyDescent="0.25">
      <c r="A23">
        <v>23</v>
      </c>
      <c r="B23">
        <v>1</v>
      </c>
    </row>
    <row r="24" spans="1:2" x14ac:dyDescent="0.25">
      <c r="A24">
        <v>24</v>
      </c>
      <c r="B24">
        <v>1</v>
      </c>
    </row>
    <row r="25" spans="1:2" x14ac:dyDescent="0.25">
      <c r="A25">
        <v>25</v>
      </c>
      <c r="B25">
        <v>1</v>
      </c>
    </row>
    <row r="26" spans="1:2" x14ac:dyDescent="0.25">
      <c r="A26">
        <v>26</v>
      </c>
      <c r="B26">
        <v>2</v>
      </c>
    </row>
    <row r="27" spans="1:2" x14ac:dyDescent="0.25">
      <c r="A27">
        <v>27</v>
      </c>
      <c r="B27">
        <v>2</v>
      </c>
    </row>
    <row r="28" spans="1:2" x14ac:dyDescent="0.25">
      <c r="A28">
        <v>28</v>
      </c>
      <c r="B28">
        <v>2</v>
      </c>
    </row>
    <row r="29" spans="1:2" x14ac:dyDescent="0.25">
      <c r="A29">
        <v>29</v>
      </c>
      <c r="B29">
        <v>2</v>
      </c>
    </row>
    <row r="30" spans="1:2" x14ac:dyDescent="0.25">
      <c r="A30">
        <v>30</v>
      </c>
      <c r="B30">
        <v>2</v>
      </c>
    </row>
    <row r="31" spans="1:2" x14ac:dyDescent="0.25">
      <c r="A31">
        <v>31</v>
      </c>
      <c r="B31">
        <v>2</v>
      </c>
    </row>
    <row r="32" spans="1:2" x14ac:dyDescent="0.25">
      <c r="A32">
        <v>32</v>
      </c>
      <c r="B32">
        <v>2</v>
      </c>
    </row>
    <row r="33" spans="1:2" x14ac:dyDescent="0.25">
      <c r="A33">
        <v>33</v>
      </c>
      <c r="B33">
        <v>2</v>
      </c>
    </row>
    <row r="34" spans="1:2" x14ac:dyDescent="0.25">
      <c r="A34">
        <v>34</v>
      </c>
      <c r="B34">
        <v>2</v>
      </c>
    </row>
    <row r="35" spans="1:2" x14ac:dyDescent="0.25">
      <c r="A35">
        <v>35</v>
      </c>
      <c r="B35">
        <v>2</v>
      </c>
    </row>
    <row r="36" spans="1:2" x14ac:dyDescent="0.25">
      <c r="A36">
        <v>36</v>
      </c>
      <c r="B36">
        <v>2</v>
      </c>
    </row>
    <row r="37" spans="1:2" x14ac:dyDescent="0.25">
      <c r="A37">
        <v>37</v>
      </c>
      <c r="B37">
        <v>2</v>
      </c>
    </row>
    <row r="38" spans="1:2" x14ac:dyDescent="0.25">
      <c r="A38">
        <v>38</v>
      </c>
      <c r="B38">
        <v>2</v>
      </c>
    </row>
    <row r="39" spans="1:2" x14ac:dyDescent="0.25">
      <c r="A39">
        <v>39</v>
      </c>
      <c r="B39">
        <v>2</v>
      </c>
    </row>
    <row r="40" spans="1:2" x14ac:dyDescent="0.25">
      <c r="A40">
        <v>40</v>
      </c>
      <c r="B40">
        <v>2</v>
      </c>
    </row>
    <row r="41" spans="1:2" x14ac:dyDescent="0.25">
      <c r="A41">
        <v>41</v>
      </c>
      <c r="B41">
        <v>2</v>
      </c>
    </row>
    <row r="42" spans="1:2" x14ac:dyDescent="0.25">
      <c r="A42">
        <v>42</v>
      </c>
      <c r="B42">
        <v>2</v>
      </c>
    </row>
    <row r="43" spans="1:2" x14ac:dyDescent="0.25">
      <c r="A43">
        <v>43</v>
      </c>
      <c r="B43">
        <v>2</v>
      </c>
    </row>
    <row r="44" spans="1:2" x14ac:dyDescent="0.25">
      <c r="A44">
        <v>44</v>
      </c>
      <c r="B44">
        <v>2</v>
      </c>
    </row>
    <row r="45" spans="1:2" x14ac:dyDescent="0.25">
      <c r="A45">
        <v>45</v>
      </c>
      <c r="B45">
        <v>2</v>
      </c>
    </row>
    <row r="46" spans="1:2" x14ac:dyDescent="0.25">
      <c r="A46">
        <v>46</v>
      </c>
      <c r="B46">
        <v>2</v>
      </c>
    </row>
    <row r="47" spans="1:2" x14ac:dyDescent="0.25">
      <c r="A47">
        <v>47</v>
      </c>
      <c r="B47">
        <v>2</v>
      </c>
    </row>
    <row r="48" spans="1:2" x14ac:dyDescent="0.25">
      <c r="A48">
        <v>48</v>
      </c>
      <c r="B48">
        <v>2</v>
      </c>
    </row>
    <row r="49" spans="1:2" x14ac:dyDescent="0.25">
      <c r="A49">
        <v>49</v>
      </c>
      <c r="B49">
        <v>2</v>
      </c>
    </row>
    <row r="50" spans="1:2" x14ac:dyDescent="0.25">
      <c r="A50">
        <v>50</v>
      </c>
      <c r="B50">
        <v>2</v>
      </c>
    </row>
    <row r="51" spans="1:2" x14ac:dyDescent="0.25">
      <c r="A51">
        <v>51</v>
      </c>
      <c r="B51">
        <v>3</v>
      </c>
    </row>
    <row r="52" spans="1:2" x14ac:dyDescent="0.25">
      <c r="A52">
        <v>52</v>
      </c>
      <c r="B52">
        <v>3</v>
      </c>
    </row>
    <row r="53" spans="1:2" x14ac:dyDescent="0.25">
      <c r="A53">
        <v>53</v>
      </c>
      <c r="B53">
        <v>3</v>
      </c>
    </row>
    <row r="54" spans="1:2" x14ac:dyDescent="0.25">
      <c r="A54">
        <v>54</v>
      </c>
      <c r="B54">
        <v>3</v>
      </c>
    </row>
    <row r="55" spans="1:2" x14ac:dyDescent="0.25">
      <c r="A55">
        <v>55</v>
      </c>
      <c r="B55">
        <v>3</v>
      </c>
    </row>
    <row r="56" spans="1:2" x14ac:dyDescent="0.25">
      <c r="A56">
        <v>56</v>
      </c>
      <c r="B56">
        <v>3</v>
      </c>
    </row>
    <row r="57" spans="1:2" x14ac:dyDescent="0.25">
      <c r="A57">
        <v>57</v>
      </c>
      <c r="B57">
        <v>3</v>
      </c>
    </row>
    <row r="58" spans="1:2" x14ac:dyDescent="0.25">
      <c r="A58">
        <v>58</v>
      </c>
      <c r="B58">
        <v>3</v>
      </c>
    </row>
    <row r="59" spans="1:2" x14ac:dyDescent="0.25">
      <c r="A59">
        <v>59</v>
      </c>
      <c r="B59">
        <v>3</v>
      </c>
    </row>
    <row r="60" spans="1:2" x14ac:dyDescent="0.25">
      <c r="A60">
        <v>60</v>
      </c>
      <c r="B60">
        <v>3</v>
      </c>
    </row>
    <row r="61" spans="1:2" x14ac:dyDescent="0.25">
      <c r="A61">
        <v>61</v>
      </c>
      <c r="B61">
        <v>3</v>
      </c>
    </row>
    <row r="62" spans="1:2" x14ac:dyDescent="0.25">
      <c r="A62">
        <v>62</v>
      </c>
      <c r="B62">
        <v>3</v>
      </c>
    </row>
    <row r="63" spans="1:2" x14ac:dyDescent="0.25">
      <c r="A63">
        <v>63</v>
      </c>
      <c r="B63">
        <v>3</v>
      </c>
    </row>
    <row r="64" spans="1:2" x14ac:dyDescent="0.25">
      <c r="A64">
        <v>64</v>
      </c>
      <c r="B64">
        <v>3</v>
      </c>
    </row>
    <row r="65" spans="1:2" x14ac:dyDescent="0.25">
      <c r="A65">
        <v>65</v>
      </c>
      <c r="B65">
        <v>3</v>
      </c>
    </row>
    <row r="66" spans="1:2" x14ac:dyDescent="0.25">
      <c r="A66">
        <v>66</v>
      </c>
      <c r="B66">
        <v>3</v>
      </c>
    </row>
    <row r="67" spans="1:2" x14ac:dyDescent="0.25">
      <c r="A67">
        <v>67</v>
      </c>
      <c r="B67">
        <v>3</v>
      </c>
    </row>
    <row r="68" spans="1:2" x14ac:dyDescent="0.25">
      <c r="A68">
        <v>68</v>
      </c>
      <c r="B68">
        <v>3</v>
      </c>
    </row>
    <row r="69" spans="1:2" x14ac:dyDescent="0.25">
      <c r="A69">
        <v>69</v>
      </c>
      <c r="B69">
        <v>3</v>
      </c>
    </row>
    <row r="70" spans="1:2" x14ac:dyDescent="0.25">
      <c r="A70">
        <v>70</v>
      </c>
      <c r="B70">
        <v>3</v>
      </c>
    </row>
    <row r="71" spans="1:2" x14ac:dyDescent="0.25">
      <c r="A71">
        <v>71</v>
      </c>
      <c r="B71">
        <v>3</v>
      </c>
    </row>
    <row r="72" spans="1:2" x14ac:dyDescent="0.25">
      <c r="A72">
        <v>72</v>
      </c>
      <c r="B72">
        <v>3</v>
      </c>
    </row>
    <row r="73" spans="1:2" x14ac:dyDescent="0.25">
      <c r="A73">
        <v>73</v>
      </c>
      <c r="B73">
        <v>3</v>
      </c>
    </row>
    <row r="74" spans="1:2" x14ac:dyDescent="0.25">
      <c r="A74">
        <v>74</v>
      </c>
      <c r="B74">
        <v>3</v>
      </c>
    </row>
    <row r="75" spans="1:2" x14ac:dyDescent="0.25">
      <c r="A75">
        <v>75</v>
      </c>
      <c r="B75">
        <v>3</v>
      </c>
    </row>
    <row r="76" spans="1:2" x14ac:dyDescent="0.25">
      <c r="A76">
        <v>76</v>
      </c>
      <c r="B76">
        <v>4</v>
      </c>
    </row>
    <row r="77" spans="1:2" x14ac:dyDescent="0.25">
      <c r="A77">
        <v>77</v>
      </c>
      <c r="B77">
        <v>4</v>
      </c>
    </row>
    <row r="78" spans="1:2" x14ac:dyDescent="0.25">
      <c r="A78">
        <v>78</v>
      </c>
      <c r="B78">
        <v>4</v>
      </c>
    </row>
    <row r="79" spans="1:2" x14ac:dyDescent="0.25">
      <c r="A79">
        <v>79</v>
      </c>
      <c r="B79">
        <v>4</v>
      </c>
    </row>
    <row r="80" spans="1:2" x14ac:dyDescent="0.25">
      <c r="A80">
        <v>80</v>
      </c>
      <c r="B80">
        <v>4</v>
      </c>
    </row>
    <row r="81" spans="1:2" x14ac:dyDescent="0.25">
      <c r="A81">
        <v>81</v>
      </c>
      <c r="B81">
        <v>4</v>
      </c>
    </row>
    <row r="82" spans="1:2" x14ac:dyDescent="0.25">
      <c r="A82">
        <v>82</v>
      </c>
      <c r="B82">
        <v>4</v>
      </c>
    </row>
    <row r="83" spans="1:2" x14ac:dyDescent="0.25">
      <c r="A83">
        <v>83</v>
      </c>
      <c r="B83">
        <v>4</v>
      </c>
    </row>
    <row r="84" spans="1:2" x14ac:dyDescent="0.25">
      <c r="A84">
        <v>84</v>
      </c>
      <c r="B84">
        <v>4</v>
      </c>
    </row>
    <row r="85" spans="1:2" x14ac:dyDescent="0.25">
      <c r="A85">
        <v>85</v>
      </c>
      <c r="B85">
        <v>4</v>
      </c>
    </row>
    <row r="86" spans="1:2" x14ac:dyDescent="0.25">
      <c r="A86">
        <v>86</v>
      </c>
      <c r="B86">
        <v>4</v>
      </c>
    </row>
    <row r="87" spans="1:2" x14ac:dyDescent="0.25">
      <c r="A87">
        <v>87</v>
      </c>
      <c r="B87">
        <v>4</v>
      </c>
    </row>
    <row r="88" spans="1:2" x14ac:dyDescent="0.25">
      <c r="A88">
        <v>88</v>
      </c>
      <c r="B88">
        <v>4</v>
      </c>
    </row>
    <row r="89" spans="1:2" x14ac:dyDescent="0.25">
      <c r="A89">
        <v>89</v>
      </c>
      <c r="B89">
        <v>4</v>
      </c>
    </row>
    <row r="90" spans="1:2" x14ac:dyDescent="0.25">
      <c r="A90">
        <v>90</v>
      </c>
      <c r="B90">
        <v>4</v>
      </c>
    </row>
    <row r="91" spans="1:2" x14ac:dyDescent="0.25">
      <c r="A91">
        <v>91</v>
      </c>
      <c r="B91">
        <v>4</v>
      </c>
    </row>
    <row r="92" spans="1:2" x14ac:dyDescent="0.25">
      <c r="A92">
        <v>92</v>
      </c>
      <c r="B92">
        <v>4</v>
      </c>
    </row>
    <row r="93" spans="1:2" x14ac:dyDescent="0.25">
      <c r="A93">
        <v>93</v>
      </c>
      <c r="B93">
        <v>4</v>
      </c>
    </row>
    <row r="94" spans="1:2" x14ac:dyDescent="0.25">
      <c r="A94">
        <v>94</v>
      </c>
      <c r="B94">
        <v>4</v>
      </c>
    </row>
    <row r="95" spans="1:2" x14ac:dyDescent="0.25">
      <c r="A95">
        <v>95</v>
      </c>
      <c r="B95">
        <v>4</v>
      </c>
    </row>
    <row r="96" spans="1:2" x14ac:dyDescent="0.25">
      <c r="A96">
        <v>96</v>
      </c>
      <c r="B96">
        <v>4</v>
      </c>
    </row>
    <row r="97" spans="1:2" x14ac:dyDescent="0.25">
      <c r="A97">
        <v>97</v>
      </c>
      <c r="B97">
        <v>4</v>
      </c>
    </row>
    <row r="98" spans="1:2" x14ac:dyDescent="0.25">
      <c r="A98">
        <v>98</v>
      </c>
      <c r="B98">
        <v>4</v>
      </c>
    </row>
    <row r="99" spans="1:2" x14ac:dyDescent="0.25">
      <c r="A99">
        <v>99</v>
      </c>
      <c r="B99">
        <v>4</v>
      </c>
    </row>
    <row r="100" spans="1:2" x14ac:dyDescent="0.25">
      <c r="A100">
        <v>100</v>
      </c>
      <c r="B100">
        <v>4</v>
      </c>
    </row>
    <row r="101" spans="1:2" x14ac:dyDescent="0.25">
      <c r="A101">
        <v>101</v>
      </c>
      <c r="B101">
        <v>5</v>
      </c>
    </row>
    <row r="102" spans="1:2" x14ac:dyDescent="0.25">
      <c r="A102">
        <v>102</v>
      </c>
      <c r="B102">
        <v>5</v>
      </c>
    </row>
    <row r="103" spans="1:2" x14ac:dyDescent="0.25">
      <c r="A103">
        <v>103</v>
      </c>
      <c r="B103">
        <v>5</v>
      </c>
    </row>
    <row r="104" spans="1:2" x14ac:dyDescent="0.25">
      <c r="A104">
        <v>104</v>
      </c>
      <c r="B104">
        <v>5</v>
      </c>
    </row>
    <row r="105" spans="1:2" x14ac:dyDescent="0.25">
      <c r="A105">
        <v>105</v>
      </c>
      <c r="B105">
        <v>5</v>
      </c>
    </row>
    <row r="106" spans="1:2" x14ac:dyDescent="0.25">
      <c r="A106">
        <v>106</v>
      </c>
      <c r="B106">
        <v>5</v>
      </c>
    </row>
    <row r="107" spans="1:2" x14ac:dyDescent="0.25">
      <c r="A107">
        <v>107</v>
      </c>
      <c r="B107">
        <v>5</v>
      </c>
    </row>
    <row r="108" spans="1:2" x14ac:dyDescent="0.25">
      <c r="A108">
        <v>108</v>
      </c>
      <c r="B108">
        <v>5</v>
      </c>
    </row>
    <row r="109" spans="1:2" x14ac:dyDescent="0.25">
      <c r="A109">
        <v>109</v>
      </c>
      <c r="B109">
        <v>5</v>
      </c>
    </row>
    <row r="110" spans="1:2" x14ac:dyDescent="0.25">
      <c r="A110">
        <v>110</v>
      </c>
      <c r="B110">
        <v>5</v>
      </c>
    </row>
    <row r="111" spans="1:2" x14ac:dyDescent="0.25">
      <c r="A111">
        <v>111</v>
      </c>
      <c r="B111">
        <v>5</v>
      </c>
    </row>
    <row r="112" spans="1:2" x14ac:dyDescent="0.25">
      <c r="A112">
        <v>112</v>
      </c>
      <c r="B112">
        <v>5</v>
      </c>
    </row>
    <row r="113" spans="1:2" x14ac:dyDescent="0.25">
      <c r="A113">
        <v>113</v>
      </c>
      <c r="B113">
        <v>5</v>
      </c>
    </row>
    <row r="114" spans="1:2" x14ac:dyDescent="0.25">
      <c r="A114">
        <v>114</v>
      </c>
      <c r="B114">
        <v>5</v>
      </c>
    </row>
    <row r="115" spans="1:2" x14ac:dyDescent="0.25">
      <c r="A115">
        <v>115</v>
      </c>
      <c r="B115">
        <v>5</v>
      </c>
    </row>
    <row r="116" spans="1:2" x14ac:dyDescent="0.25">
      <c r="A116">
        <v>116</v>
      </c>
      <c r="B116">
        <v>5</v>
      </c>
    </row>
    <row r="117" spans="1:2" x14ac:dyDescent="0.25">
      <c r="A117">
        <v>117</v>
      </c>
      <c r="B117">
        <v>5</v>
      </c>
    </row>
    <row r="118" spans="1:2" x14ac:dyDescent="0.25">
      <c r="A118">
        <v>118</v>
      </c>
      <c r="B118">
        <v>5</v>
      </c>
    </row>
    <row r="119" spans="1:2" x14ac:dyDescent="0.25">
      <c r="A119">
        <v>119</v>
      </c>
      <c r="B119">
        <v>5</v>
      </c>
    </row>
    <row r="120" spans="1:2" x14ac:dyDescent="0.25">
      <c r="A120">
        <v>120</v>
      </c>
      <c r="B120">
        <v>5</v>
      </c>
    </row>
    <row r="121" spans="1:2" x14ac:dyDescent="0.25">
      <c r="A121">
        <v>121</v>
      </c>
      <c r="B121">
        <v>5</v>
      </c>
    </row>
    <row r="122" spans="1:2" x14ac:dyDescent="0.25">
      <c r="A122">
        <v>122</v>
      </c>
      <c r="B122">
        <v>5</v>
      </c>
    </row>
    <row r="123" spans="1:2" x14ac:dyDescent="0.25">
      <c r="A123">
        <v>123</v>
      </c>
      <c r="B123">
        <v>5</v>
      </c>
    </row>
    <row r="124" spans="1:2" x14ac:dyDescent="0.25">
      <c r="A124">
        <v>124</v>
      </c>
      <c r="B124">
        <v>5</v>
      </c>
    </row>
    <row r="125" spans="1:2" x14ac:dyDescent="0.25">
      <c r="A125">
        <v>125</v>
      </c>
      <c r="B125">
        <v>5</v>
      </c>
    </row>
    <row r="126" spans="1:2" x14ac:dyDescent="0.25">
      <c r="A126">
        <v>126</v>
      </c>
      <c r="B126">
        <v>6</v>
      </c>
    </row>
    <row r="127" spans="1:2" x14ac:dyDescent="0.25">
      <c r="A127">
        <v>127</v>
      </c>
      <c r="B127">
        <v>6</v>
      </c>
    </row>
    <row r="128" spans="1:2" x14ac:dyDescent="0.25">
      <c r="A128">
        <v>128</v>
      </c>
      <c r="B128">
        <v>6</v>
      </c>
    </row>
    <row r="129" spans="1:2" x14ac:dyDescent="0.25">
      <c r="A129">
        <v>129</v>
      </c>
      <c r="B129">
        <v>6</v>
      </c>
    </row>
    <row r="130" spans="1:2" x14ac:dyDescent="0.25">
      <c r="A130">
        <v>130</v>
      </c>
      <c r="B130">
        <v>6</v>
      </c>
    </row>
    <row r="131" spans="1:2" x14ac:dyDescent="0.25">
      <c r="A131">
        <v>131</v>
      </c>
      <c r="B131">
        <v>6</v>
      </c>
    </row>
    <row r="132" spans="1:2" x14ac:dyDescent="0.25">
      <c r="A132">
        <v>132</v>
      </c>
      <c r="B132">
        <v>6</v>
      </c>
    </row>
    <row r="133" spans="1:2" x14ac:dyDescent="0.25">
      <c r="A133">
        <v>133</v>
      </c>
      <c r="B133">
        <v>6</v>
      </c>
    </row>
    <row r="134" spans="1:2" x14ac:dyDescent="0.25">
      <c r="A134">
        <v>134</v>
      </c>
      <c r="B134">
        <v>6</v>
      </c>
    </row>
    <row r="135" spans="1:2" x14ac:dyDescent="0.25">
      <c r="A135">
        <v>135</v>
      </c>
      <c r="B135">
        <v>6</v>
      </c>
    </row>
    <row r="136" spans="1:2" x14ac:dyDescent="0.25">
      <c r="A136">
        <v>136</v>
      </c>
      <c r="B136">
        <v>6</v>
      </c>
    </row>
    <row r="137" spans="1:2" x14ac:dyDescent="0.25">
      <c r="A137">
        <v>137</v>
      </c>
      <c r="B137">
        <v>6</v>
      </c>
    </row>
    <row r="138" spans="1:2" x14ac:dyDescent="0.25">
      <c r="A138">
        <v>138</v>
      </c>
      <c r="B138">
        <v>6</v>
      </c>
    </row>
    <row r="139" spans="1:2" x14ac:dyDescent="0.25">
      <c r="A139">
        <v>139</v>
      </c>
      <c r="B139">
        <v>6</v>
      </c>
    </row>
    <row r="140" spans="1:2" x14ac:dyDescent="0.25">
      <c r="A140">
        <v>140</v>
      </c>
      <c r="B140">
        <v>6</v>
      </c>
    </row>
    <row r="141" spans="1:2" x14ac:dyDescent="0.25">
      <c r="A141">
        <v>141</v>
      </c>
      <c r="B141">
        <v>6</v>
      </c>
    </row>
    <row r="142" spans="1:2" x14ac:dyDescent="0.25">
      <c r="A142">
        <v>142</v>
      </c>
      <c r="B142">
        <v>6</v>
      </c>
    </row>
    <row r="143" spans="1:2" x14ac:dyDescent="0.25">
      <c r="A143">
        <v>143</v>
      </c>
      <c r="B143">
        <v>6</v>
      </c>
    </row>
    <row r="144" spans="1:2" x14ac:dyDescent="0.25">
      <c r="A144">
        <v>144</v>
      </c>
      <c r="B144">
        <v>6</v>
      </c>
    </row>
    <row r="145" spans="1:2" x14ac:dyDescent="0.25">
      <c r="A145">
        <v>145</v>
      </c>
      <c r="B145">
        <v>6</v>
      </c>
    </row>
    <row r="146" spans="1:2" x14ac:dyDescent="0.25">
      <c r="A146">
        <v>146</v>
      </c>
      <c r="B146">
        <v>6</v>
      </c>
    </row>
    <row r="147" spans="1:2" x14ac:dyDescent="0.25">
      <c r="A147">
        <v>147</v>
      </c>
      <c r="B147">
        <v>6</v>
      </c>
    </row>
    <row r="148" spans="1:2" x14ac:dyDescent="0.25">
      <c r="A148">
        <v>148</v>
      </c>
      <c r="B148">
        <v>6</v>
      </c>
    </row>
    <row r="149" spans="1:2" x14ac:dyDescent="0.25">
      <c r="A149">
        <v>149</v>
      </c>
      <c r="B149">
        <v>6</v>
      </c>
    </row>
    <row r="150" spans="1:2" x14ac:dyDescent="0.25">
      <c r="A150">
        <v>150</v>
      </c>
      <c r="B150">
        <v>6</v>
      </c>
    </row>
    <row r="151" spans="1:2" x14ac:dyDescent="0.25">
      <c r="A151">
        <v>151</v>
      </c>
      <c r="B151">
        <v>7</v>
      </c>
    </row>
    <row r="152" spans="1:2" x14ac:dyDescent="0.25">
      <c r="A152">
        <v>152</v>
      </c>
      <c r="B152">
        <v>7</v>
      </c>
    </row>
    <row r="153" spans="1:2" x14ac:dyDescent="0.25">
      <c r="A153">
        <v>153</v>
      </c>
      <c r="B153">
        <v>7</v>
      </c>
    </row>
    <row r="154" spans="1:2" x14ac:dyDescent="0.25">
      <c r="A154">
        <v>154</v>
      </c>
      <c r="B154">
        <v>7</v>
      </c>
    </row>
    <row r="155" spans="1:2" x14ac:dyDescent="0.25">
      <c r="A155">
        <v>155</v>
      </c>
      <c r="B155">
        <v>7</v>
      </c>
    </row>
    <row r="156" spans="1:2" x14ac:dyDescent="0.25">
      <c r="A156">
        <v>156</v>
      </c>
      <c r="B156">
        <v>7</v>
      </c>
    </row>
    <row r="157" spans="1:2" x14ac:dyDescent="0.25">
      <c r="A157">
        <v>157</v>
      </c>
      <c r="B157">
        <v>7</v>
      </c>
    </row>
    <row r="158" spans="1:2" x14ac:dyDescent="0.25">
      <c r="A158">
        <v>158</v>
      </c>
      <c r="B158">
        <v>7</v>
      </c>
    </row>
    <row r="159" spans="1:2" x14ac:dyDescent="0.25">
      <c r="A159">
        <v>159</v>
      </c>
      <c r="B159">
        <v>7</v>
      </c>
    </row>
    <row r="160" spans="1:2" x14ac:dyDescent="0.25">
      <c r="A160">
        <v>160</v>
      </c>
      <c r="B160">
        <v>7</v>
      </c>
    </row>
    <row r="161" spans="1:2" x14ac:dyDescent="0.25">
      <c r="A161">
        <v>161</v>
      </c>
      <c r="B161">
        <v>7</v>
      </c>
    </row>
    <row r="162" spans="1:2" x14ac:dyDescent="0.25">
      <c r="A162">
        <v>162</v>
      </c>
      <c r="B162">
        <v>7</v>
      </c>
    </row>
    <row r="163" spans="1:2" x14ac:dyDescent="0.25">
      <c r="A163">
        <v>163</v>
      </c>
      <c r="B163">
        <v>7</v>
      </c>
    </row>
    <row r="164" spans="1:2" x14ac:dyDescent="0.25">
      <c r="A164">
        <v>164</v>
      </c>
      <c r="B164">
        <v>7</v>
      </c>
    </row>
    <row r="165" spans="1:2" x14ac:dyDescent="0.25">
      <c r="A165">
        <v>165</v>
      </c>
      <c r="B165">
        <v>7</v>
      </c>
    </row>
    <row r="166" spans="1:2" x14ac:dyDescent="0.25">
      <c r="A166">
        <v>166</v>
      </c>
      <c r="B166">
        <v>7</v>
      </c>
    </row>
    <row r="167" spans="1:2" x14ac:dyDescent="0.25">
      <c r="A167">
        <v>167</v>
      </c>
      <c r="B167">
        <v>7</v>
      </c>
    </row>
    <row r="168" spans="1:2" x14ac:dyDescent="0.25">
      <c r="A168">
        <v>168</v>
      </c>
      <c r="B168">
        <v>7</v>
      </c>
    </row>
    <row r="169" spans="1:2" x14ac:dyDescent="0.25">
      <c r="A169">
        <v>169</v>
      </c>
      <c r="B169">
        <v>7</v>
      </c>
    </row>
    <row r="170" spans="1:2" x14ac:dyDescent="0.25">
      <c r="A170">
        <v>170</v>
      </c>
      <c r="B170">
        <v>7</v>
      </c>
    </row>
    <row r="171" spans="1:2" x14ac:dyDescent="0.25">
      <c r="A171">
        <v>171</v>
      </c>
      <c r="B171">
        <v>7</v>
      </c>
    </row>
    <row r="172" spans="1:2" x14ac:dyDescent="0.25">
      <c r="A172">
        <v>172</v>
      </c>
      <c r="B172">
        <v>7</v>
      </c>
    </row>
    <row r="173" spans="1:2" x14ac:dyDescent="0.25">
      <c r="A173">
        <v>173</v>
      </c>
      <c r="B173">
        <v>7</v>
      </c>
    </row>
    <row r="174" spans="1:2" x14ac:dyDescent="0.25">
      <c r="A174">
        <v>174</v>
      </c>
      <c r="B174">
        <v>7</v>
      </c>
    </row>
    <row r="175" spans="1:2" x14ac:dyDescent="0.25">
      <c r="A175">
        <v>175</v>
      </c>
      <c r="B175">
        <v>7</v>
      </c>
    </row>
    <row r="176" spans="1:2" x14ac:dyDescent="0.25">
      <c r="A176">
        <v>176</v>
      </c>
      <c r="B176">
        <v>8</v>
      </c>
    </row>
    <row r="177" spans="1:2" x14ac:dyDescent="0.25">
      <c r="A177">
        <v>177</v>
      </c>
      <c r="B177">
        <v>8</v>
      </c>
    </row>
    <row r="178" spans="1:2" x14ac:dyDescent="0.25">
      <c r="A178">
        <v>178</v>
      </c>
      <c r="B178">
        <v>8</v>
      </c>
    </row>
    <row r="179" spans="1:2" x14ac:dyDescent="0.25">
      <c r="A179">
        <v>179</v>
      </c>
      <c r="B179">
        <v>8</v>
      </c>
    </row>
    <row r="180" spans="1:2" x14ac:dyDescent="0.25">
      <c r="A180">
        <v>180</v>
      </c>
      <c r="B180">
        <v>8</v>
      </c>
    </row>
    <row r="181" spans="1:2" x14ac:dyDescent="0.25">
      <c r="A181">
        <v>181</v>
      </c>
      <c r="B181">
        <v>8</v>
      </c>
    </row>
    <row r="182" spans="1:2" x14ac:dyDescent="0.25">
      <c r="A182">
        <v>182</v>
      </c>
      <c r="B182">
        <v>8</v>
      </c>
    </row>
    <row r="183" spans="1:2" x14ac:dyDescent="0.25">
      <c r="A183">
        <v>183</v>
      </c>
      <c r="B183">
        <v>8</v>
      </c>
    </row>
    <row r="184" spans="1:2" x14ac:dyDescent="0.25">
      <c r="A184">
        <v>184</v>
      </c>
      <c r="B184">
        <v>8</v>
      </c>
    </row>
    <row r="185" spans="1:2" x14ac:dyDescent="0.25">
      <c r="A185">
        <v>185</v>
      </c>
      <c r="B185">
        <v>8</v>
      </c>
    </row>
    <row r="186" spans="1:2" x14ac:dyDescent="0.25">
      <c r="A186">
        <v>186</v>
      </c>
      <c r="B186">
        <v>8</v>
      </c>
    </row>
    <row r="187" spans="1:2" x14ac:dyDescent="0.25">
      <c r="A187">
        <v>187</v>
      </c>
      <c r="B187">
        <v>8</v>
      </c>
    </row>
    <row r="188" spans="1:2" x14ac:dyDescent="0.25">
      <c r="A188">
        <v>188</v>
      </c>
      <c r="B188">
        <v>8</v>
      </c>
    </row>
    <row r="189" spans="1:2" x14ac:dyDescent="0.25">
      <c r="A189">
        <v>189</v>
      </c>
      <c r="B189">
        <v>8</v>
      </c>
    </row>
    <row r="190" spans="1:2" x14ac:dyDescent="0.25">
      <c r="A190">
        <v>190</v>
      </c>
      <c r="B190">
        <v>8</v>
      </c>
    </row>
    <row r="191" spans="1:2" x14ac:dyDescent="0.25">
      <c r="A191">
        <v>191</v>
      </c>
      <c r="B191">
        <v>8</v>
      </c>
    </row>
    <row r="192" spans="1:2" x14ac:dyDescent="0.25">
      <c r="A192">
        <v>192</v>
      </c>
      <c r="B192">
        <v>8</v>
      </c>
    </row>
    <row r="193" spans="1:2" x14ac:dyDescent="0.25">
      <c r="A193">
        <v>193</v>
      </c>
      <c r="B193">
        <v>8</v>
      </c>
    </row>
    <row r="194" spans="1:2" x14ac:dyDescent="0.25">
      <c r="A194">
        <v>194</v>
      </c>
      <c r="B194">
        <v>8</v>
      </c>
    </row>
    <row r="195" spans="1:2" x14ac:dyDescent="0.25">
      <c r="A195">
        <v>195</v>
      </c>
      <c r="B195">
        <v>8</v>
      </c>
    </row>
    <row r="196" spans="1:2" x14ac:dyDescent="0.25">
      <c r="A196">
        <v>196</v>
      </c>
      <c r="B196">
        <v>8</v>
      </c>
    </row>
    <row r="197" spans="1:2" x14ac:dyDescent="0.25">
      <c r="A197">
        <v>197</v>
      </c>
      <c r="B197">
        <v>8</v>
      </c>
    </row>
    <row r="198" spans="1:2" x14ac:dyDescent="0.25">
      <c r="A198">
        <v>198</v>
      </c>
      <c r="B198">
        <v>8</v>
      </c>
    </row>
    <row r="199" spans="1:2" x14ac:dyDescent="0.25">
      <c r="A199">
        <v>199</v>
      </c>
      <c r="B199">
        <v>8</v>
      </c>
    </row>
    <row r="200" spans="1:2" x14ac:dyDescent="0.25">
      <c r="A200">
        <v>200</v>
      </c>
      <c r="B200">
        <v>8</v>
      </c>
    </row>
    <row r="201" spans="1:2" x14ac:dyDescent="0.25">
      <c r="A201">
        <v>201</v>
      </c>
      <c r="B201">
        <v>9</v>
      </c>
    </row>
    <row r="202" spans="1:2" x14ac:dyDescent="0.25">
      <c r="A202">
        <v>202</v>
      </c>
      <c r="B202">
        <v>9</v>
      </c>
    </row>
    <row r="203" spans="1:2" x14ac:dyDescent="0.25">
      <c r="A203">
        <v>203</v>
      </c>
      <c r="B203">
        <v>9</v>
      </c>
    </row>
    <row r="204" spans="1:2" x14ac:dyDescent="0.25">
      <c r="A204">
        <v>204</v>
      </c>
      <c r="B204">
        <v>9</v>
      </c>
    </row>
    <row r="205" spans="1:2" x14ac:dyDescent="0.25">
      <c r="A205">
        <v>205</v>
      </c>
      <c r="B205">
        <v>9</v>
      </c>
    </row>
    <row r="206" spans="1:2" x14ac:dyDescent="0.25">
      <c r="A206">
        <v>206</v>
      </c>
      <c r="B206">
        <v>9</v>
      </c>
    </row>
    <row r="207" spans="1:2" x14ac:dyDescent="0.25">
      <c r="A207">
        <v>207</v>
      </c>
      <c r="B207">
        <v>9</v>
      </c>
    </row>
    <row r="208" spans="1:2" x14ac:dyDescent="0.25">
      <c r="A208">
        <v>208</v>
      </c>
      <c r="B208">
        <v>9</v>
      </c>
    </row>
    <row r="209" spans="1:2" x14ac:dyDescent="0.25">
      <c r="A209">
        <v>209</v>
      </c>
      <c r="B209">
        <v>9</v>
      </c>
    </row>
    <row r="210" spans="1:2" x14ac:dyDescent="0.25">
      <c r="A210">
        <v>210</v>
      </c>
      <c r="B210">
        <v>9</v>
      </c>
    </row>
    <row r="211" spans="1:2" x14ac:dyDescent="0.25">
      <c r="A211">
        <v>211</v>
      </c>
      <c r="B211">
        <v>9</v>
      </c>
    </row>
    <row r="212" spans="1:2" x14ac:dyDescent="0.25">
      <c r="A212">
        <v>212</v>
      </c>
      <c r="B212">
        <v>9</v>
      </c>
    </row>
    <row r="213" spans="1:2" x14ac:dyDescent="0.25">
      <c r="A213">
        <v>213</v>
      </c>
      <c r="B213">
        <v>9</v>
      </c>
    </row>
    <row r="214" spans="1:2" x14ac:dyDescent="0.25">
      <c r="A214">
        <v>214</v>
      </c>
      <c r="B214">
        <v>9</v>
      </c>
    </row>
    <row r="215" spans="1:2" x14ac:dyDescent="0.25">
      <c r="A215">
        <v>215</v>
      </c>
      <c r="B215">
        <v>9</v>
      </c>
    </row>
    <row r="216" spans="1:2" x14ac:dyDescent="0.25">
      <c r="A216">
        <v>216</v>
      </c>
      <c r="B216">
        <v>9</v>
      </c>
    </row>
    <row r="217" spans="1:2" x14ac:dyDescent="0.25">
      <c r="A217">
        <v>217</v>
      </c>
      <c r="B217">
        <v>9</v>
      </c>
    </row>
    <row r="218" spans="1:2" x14ac:dyDescent="0.25">
      <c r="A218">
        <v>218</v>
      </c>
      <c r="B218">
        <v>9</v>
      </c>
    </row>
    <row r="219" spans="1:2" x14ac:dyDescent="0.25">
      <c r="A219">
        <v>219</v>
      </c>
      <c r="B219">
        <v>9</v>
      </c>
    </row>
    <row r="220" spans="1:2" x14ac:dyDescent="0.25">
      <c r="A220">
        <v>220</v>
      </c>
      <c r="B220">
        <v>9</v>
      </c>
    </row>
    <row r="221" spans="1:2" x14ac:dyDescent="0.25">
      <c r="A221">
        <v>221</v>
      </c>
      <c r="B221">
        <v>9</v>
      </c>
    </row>
    <row r="222" spans="1:2" x14ac:dyDescent="0.25">
      <c r="A222">
        <v>222</v>
      </c>
      <c r="B222">
        <v>9</v>
      </c>
    </row>
    <row r="223" spans="1:2" x14ac:dyDescent="0.25">
      <c r="A223">
        <v>223</v>
      </c>
      <c r="B223">
        <v>9</v>
      </c>
    </row>
    <row r="224" spans="1:2" x14ac:dyDescent="0.25">
      <c r="A224">
        <v>224</v>
      </c>
      <c r="B224">
        <v>9</v>
      </c>
    </row>
    <row r="225" spans="1:2" x14ac:dyDescent="0.25">
      <c r="A225">
        <v>225</v>
      </c>
      <c r="B225">
        <v>9</v>
      </c>
    </row>
    <row r="226" spans="1:2" x14ac:dyDescent="0.25">
      <c r="A226">
        <v>226</v>
      </c>
      <c r="B226">
        <v>10</v>
      </c>
    </row>
    <row r="227" spans="1:2" x14ac:dyDescent="0.25">
      <c r="A227">
        <v>227</v>
      </c>
      <c r="B227">
        <v>10</v>
      </c>
    </row>
    <row r="228" spans="1:2" x14ac:dyDescent="0.25">
      <c r="A228">
        <v>228</v>
      </c>
      <c r="B228">
        <v>10</v>
      </c>
    </row>
    <row r="229" spans="1:2" x14ac:dyDescent="0.25">
      <c r="A229">
        <v>229</v>
      </c>
      <c r="B229">
        <v>10</v>
      </c>
    </row>
    <row r="230" spans="1:2" x14ac:dyDescent="0.25">
      <c r="A230">
        <v>230</v>
      </c>
      <c r="B230">
        <v>10</v>
      </c>
    </row>
    <row r="231" spans="1:2" x14ac:dyDescent="0.25">
      <c r="A231">
        <v>231</v>
      </c>
      <c r="B231">
        <v>10</v>
      </c>
    </row>
    <row r="232" spans="1:2" x14ac:dyDescent="0.25">
      <c r="A232">
        <v>232</v>
      </c>
      <c r="B232">
        <v>10</v>
      </c>
    </row>
    <row r="233" spans="1:2" x14ac:dyDescent="0.25">
      <c r="A233">
        <v>233</v>
      </c>
      <c r="B233">
        <v>10</v>
      </c>
    </row>
    <row r="234" spans="1:2" x14ac:dyDescent="0.25">
      <c r="A234">
        <v>234</v>
      </c>
      <c r="B234">
        <v>10</v>
      </c>
    </row>
    <row r="235" spans="1:2" x14ac:dyDescent="0.25">
      <c r="A235">
        <v>235</v>
      </c>
      <c r="B235">
        <v>10</v>
      </c>
    </row>
    <row r="236" spans="1:2" x14ac:dyDescent="0.25">
      <c r="A236">
        <v>236</v>
      </c>
      <c r="B236">
        <v>10</v>
      </c>
    </row>
    <row r="237" spans="1:2" x14ac:dyDescent="0.25">
      <c r="A237">
        <v>237</v>
      </c>
      <c r="B237">
        <v>10</v>
      </c>
    </row>
    <row r="238" spans="1:2" x14ac:dyDescent="0.25">
      <c r="A238">
        <v>238</v>
      </c>
      <c r="B238">
        <v>10</v>
      </c>
    </row>
    <row r="239" spans="1:2" x14ac:dyDescent="0.25">
      <c r="A239">
        <v>239</v>
      </c>
      <c r="B239">
        <v>10</v>
      </c>
    </row>
    <row r="240" spans="1:2" x14ac:dyDescent="0.25">
      <c r="A240">
        <v>240</v>
      </c>
      <c r="B240">
        <v>10</v>
      </c>
    </row>
    <row r="241" spans="1:2" x14ac:dyDescent="0.25">
      <c r="A241">
        <v>241</v>
      </c>
      <c r="B241">
        <v>10</v>
      </c>
    </row>
    <row r="242" spans="1:2" x14ac:dyDescent="0.25">
      <c r="A242">
        <v>242</v>
      </c>
      <c r="B242">
        <v>10</v>
      </c>
    </row>
    <row r="243" spans="1:2" x14ac:dyDescent="0.25">
      <c r="A243">
        <v>243</v>
      </c>
      <c r="B243">
        <v>10</v>
      </c>
    </row>
    <row r="244" spans="1:2" x14ac:dyDescent="0.25">
      <c r="A244">
        <v>244</v>
      </c>
      <c r="B244">
        <v>10</v>
      </c>
    </row>
    <row r="245" spans="1:2" x14ac:dyDescent="0.25">
      <c r="A245">
        <v>245</v>
      </c>
      <c r="B245">
        <v>10</v>
      </c>
    </row>
    <row r="246" spans="1:2" x14ac:dyDescent="0.25">
      <c r="A246">
        <v>246</v>
      </c>
      <c r="B246">
        <v>10</v>
      </c>
    </row>
    <row r="247" spans="1:2" x14ac:dyDescent="0.25">
      <c r="A247">
        <v>247</v>
      </c>
      <c r="B247">
        <v>10</v>
      </c>
    </row>
    <row r="248" spans="1:2" x14ac:dyDescent="0.25">
      <c r="A248">
        <v>248</v>
      </c>
      <c r="B248">
        <v>10</v>
      </c>
    </row>
    <row r="249" spans="1:2" x14ac:dyDescent="0.25">
      <c r="A249">
        <v>249</v>
      </c>
      <c r="B249">
        <v>10</v>
      </c>
    </row>
    <row r="250" spans="1:2" x14ac:dyDescent="0.25">
      <c r="A250">
        <v>250</v>
      </c>
      <c r="B250">
        <v>10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2D7C3-0B22-4FB1-A690-F1E369AF92CA}">
  <sheetPr codeName="Planilha5"/>
  <dimension ref="A1:D351"/>
  <sheetViews>
    <sheetView workbookViewId="0">
      <selection activeCell="C4" sqref="C4"/>
    </sheetView>
  </sheetViews>
  <sheetFormatPr defaultRowHeight="15" x14ac:dyDescent="0.25"/>
  <cols>
    <col min="1" max="1" width="8.85546875" bestFit="1" customWidth="1"/>
    <col min="2" max="2" width="91.5703125" bestFit="1" customWidth="1"/>
    <col min="3" max="3" width="66.28515625" bestFit="1" customWidth="1"/>
    <col min="4" max="4" width="37.28515625" bestFit="1" customWidth="1"/>
  </cols>
  <sheetData>
    <row r="1" spans="1:4" s="1" customFormat="1" ht="30" x14ac:dyDescent="0.25">
      <c r="A1" s="2" t="s">
        <v>1750</v>
      </c>
      <c r="B1" s="2" t="s">
        <v>1751</v>
      </c>
      <c r="C1" s="2" t="s">
        <v>1774</v>
      </c>
      <c r="D1" s="2" t="s">
        <v>1</v>
      </c>
    </row>
    <row r="2" spans="1:4" x14ac:dyDescent="0.25">
      <c r="A2">
        <v>1004</v>
      </c>
      <c r="B2" t="s">
        <v>16</v>
      </c>
      <c r="C2" t="s">
        <v>1242</v>
      </c>
      <c r="D2" t="s">
        <v>1536</v>
      </c>
    </row>
    <row r="3" spans="1:4" x14ac:dyDescent="0.25">
      <c r="A3">
        <v>1005</v>
      </c>
      <c r="B3" t="s">
        <v>15</v>
      </c>
      <c r="C3" t="s">
        <v>1241</v>
      </c>
      <c r="D3" t="s">
        <v>1535</v>
      </c>
    </row>
    <row r="4" spans="1:4" x14ac:dyDescent="0.25">
      <c r="A4">
        <v>1006</v>
      </c>
      <c r="B4" t="s">
        <v>17</v>
      </c>
      <c r="C4" t="s">
        <v>1243</v>
      </c>
      <c r="D4" t="s">
        <v>1537</v>
      </c>
    </row>
    <row r="5" spans="1:4" x14ac:dyDescent="0.25">
      <c r="A5">
        <v>1007</v>
      </c>
      <c r="B5" t="s">
        <v>18</v>
      </c>
      <c r="C5" t="s">
        <v>1244</v>
      </c>
      <c r="D5" t="s">
        <v>1538</v>
      </c>
    </row>
    <row r="6" spans="1:4" x14ac:dyDescent="0.25">
      <c r="A6">
        <v>1009</v>
      </c>
      <c r="B6" t="s">
        <v>19</v>
      </c>
      <c r="C6" t="s">
        <v>1245</v>
      </c>
      <c r="D6" t="s">
        <v>1539</v>
      </c>
    </row>
    <row r="7" spans="1:4" x14ac:dyDescent="0.25">
      <c r="A7">
        <v>1010</v>
      </c>
      <c r="B7" t="s">
        <v>78</v>
      </c>
      <c r="C7" t="s">
        <v>1246</v>
      </c>
      <c r="D7" t="s">
        <v>1540</v>
      </c>
    </row>
    <row r="8" spans="1:4" x14ac:dyDescent="0.25">
      <c r="A8">
        <v>2001</v>
      </c>
      <c r="B8" t="s">
        <v>98</v>
      </c>
      <c r="C8" t="s">
        <v>1266</v>
      </c>
      <c r="D8" t="s">
        <v>1549</v>
      </c>
    </row>
    <row r="9" spans="1:4" x14ac:dyDescent="0.25">
      <c r="A9">
        <v>2002</v>
      </c>
      <c r="B9" t="s">
        <v>113</v>
      </c>
      <c r="C9" t="s">
        <v>1281</v>
      </c>
      <c r="D9" t="s">
        <v>1541</v>
      </c>
    </row>
    <row r="10" spans="1:4" x14ac:dyDescent="0.25">
      <c r="A10">
        <v>2003</v>
      </c>
      <c r="B10" t="s">
        <v>85</v>
      </c>
      <c r="C10" t="s">
        <v>1253</v>
      </c>
      <c r="D10" t="s">
        <v>1542</v>
      </c>
    </row>
    <row r="11" spans="1:4" x14ac:dyDescent="0.25">
      <c r="A11">
        <v>2004</v>
      </c>
      <c r="B11" t="s">
        <v>80</v>
      </c>
      <c r="C11" t="s">
        <v>1248</v>
      </c>
      <c r="D11" t="s">
        <v>1542</v>
      </c>
    </row>
    <row r="12" spans="1:4" x14ac:dyDescent="0.25">
      <c r="A12">
        <v>2005</v>
      </c>
      <c r="B12" t="s">
        <v>114</v>
      </c>
      <c r="C12" t="s">
        <v>1282</v>
      </c>
      <c r="D12" t="s">
        <v>1547</v>
      </c>
    </row>
    <row r="13" spans="1:4" x14ac:dyDescent="0.25">
      <c r="A13">
        <v>2006</v>
      </c>
      <c r="B13" t="s">
        <v>104</v>
      </c>
      <c r="C13" t="s">
        <v>1272</v>
      </c>
      <c r="D13" t="s">
        <v>1542</v>
      </c>
    </row>
    <row r="14" spans="1:4" x14ac:dyDescent="0.25">
      <c r="A14">
        <v>2009</v>
      </c>
      <c r="B14" t="s">
        <v>79</v>
      </c>
      <c r="C14" t="s">
        <v>1247</v>
      </c>
      <c r="D14" t="s">
        <v>1541</v>
      </c>
    </row>
    <row r="15" spans="1:4" x14ac:dyDescent="0.25">
      <c r="A15">
        <v>2010</v>
      </c>
      <c r="B15" t="s">
        <v>102</v>
      </c>
      <c r="C15" t="s">
        <v>1270</v>
      </c>
      <c r="D15" t="s">
        <v>1552</v>
      </c>
    </row>
    <row r="16" spans="1:4" x14ac:dyDescent="0.25">
      <c r="A16">
        <v>2011</v>
      </c>
      <c r="B16" t="s">
        <v>123</v>
      </c>
      <c r="C16" t="s">
        <v>1291</v>
      </c>
      <c r="D16" t="s">
        <v>1552</v>
      </c>
    </row>
    <row r="17" spans="1:4" x14ac:dyDescent="0.25">
      <c r="A17">
        <v>2012</v>
      </c>
      <c r="B17" t="s">
        <v>116</v>
      </c>
      <c r="C17" t="s">
        <v>1284</v>
      </c>
      <c r="D17" t="s">
        <v>1558</v>
      </c>
    </row>
    <row r="18" spans="1:4" x14ac:dyDescent="0.25">
      <c r="A18">
        <v>2013</v>
      </c>
      <c r="B18" t="s">
        <v>86</v>
      </c>
      <c r="C18" t="s">
        <v>1254</v>
      </c>
      <c r="D18" t="s">
        <v>1545</v>
      </c>
    </row>
    <row r="19" spans="1:4" x14ac:dyDescent="0.25">
      <c r="A19">
        <v>2014</v>
      </c>
      <c r="B19" t="s">
        <v>111</v>
      </c>
      <c r="C19" t="s">
        <v>1279</v>
      </c>
      <c r="D19" t="s">
        <v>1547</v>
      </c>
    </row>
    <row r="20" spans="1:4" x14ac:dyDescent="0.25">
      <c r="A20">
        <v>2015</v>
      </c>
      <c r="B20" t="s">
        <v>105</v>
      </c>
      <c r="C20" t="s">
        <v>1273</v>
      </c>
      <c r="D20" t="s">
        <v>1553</v>
      </c>
    </row>
    <row r="21" spans="1:4" x14ac:dyDescent="0.25">
      <c r="A21">
        <v>2016</v>
      </c>
      <c r="B21" t="s">
        <v>83</v>
      </c>
      <c r="C21" t="s">
        <v>1251</v>
      </c>
      <c r="D21" t="s">
        <v>1544</v>
      </c>
    </row>
    <row r="22" spans="1:4" x14ac:dyDescent="0.25">
      <c r="A22">
        <v>2018</v>
      </c>
      <c r="B22" t="s">
        <v>115</v>
      </c>
      <c r="C22" t="s">
        <v>1283</v>
      </c>
      <c r="D22" t="s">
        <v>1557</v>
      </c>
    </row>
    <row r="23" spans="1:4" x14ac:dyDescent="0.25">
      <c r="A23">
        <v>2019</v>
      </c>
      <c r="B23" t="s">
        <v>120</v>
      </c>
      <c r="C23" t="s">
        <v>1288</v>
      </c>
      <c r="D23" t="s">
        <v>1543</v>
      </c>
    </row>
    <row r="24" spans="1:4" x14ac:dyDescent="0.25">
      <c r="A24">
        <v>2020</v>
      </c>
      <c r="B24" t="s">
        <v>82</v>
      </c>
      <c r="C24" t="s">
        <v>1250</v>
      </c>
      <c r="D24" t="s">
        <v>1542</v>
      </c>
    </row>
    <row r="25" spans="1:4" x14ac:dyDescent="0.25">
      <c r="A25">
        <v>2022</v>
      </c>
      <c r="B25" t="s">
        <v>94</v>
      </c>
      <c r="C25" t="s">
        <v>1262</v>
      </c>
      <c r="D25" t="s">
        <v>1548</v>
      </c>
    </row>
    <row r="26" spans="1:4" x14ac:dyDescent="0.25">
      <c r="A26">
        <v>2024</v>
      </c>
      <c r="B26" t="s">
        <v>96</v>
      </c>
      <c r="C26" t="s">
        <v>1264</v>
      </c>
      <c r="D26" t="s">
        <v>1546</v>
      </c>
    </row>
    <row r="27" spans="1:4" x14ac:dyDescent="0.25">
      <c r="A27">
        <v>2025</v>
      </c>
      <c r="B27" t="s">
        <v>91</v>
      </c>
      <c r="C27" t="s">
        <v>1259</v>
      </c>
      <c r="D27" t="s">
        <v>1543</v>
      </c>
    </row>
    <row r="28" spans="1:4" x14ac:dyDescent="0.25">
      <c r="A28">
        <v>2026</v>
      </c>
      <c r="B28" t="s">
        <v>101</v>
      </c>
      <c r="C28" t="s">
        <v>1269</v>
      </c>
      <c r="D28" t="s">
        <v>1551</v>
      </c>
    </row>
    <row r="29" spans="1:4" x14ac:dyDescent="0.25">
      <c r="A29">
        <v>2028</v>
      </c>
      <c r="B29" t="s">
        <v>121</v>
      </c>
      <c r="C29" t="s">
        <v>1289</v>
      </c>
      <c r="D29" t="s">
        <v>1560</v>
      </c>
    </row>
    <row r="30" spans="1:4" x14ac:dyDescent="0.25">
      <c r="A30">
        <v>2029</v>
      </c>
      <c r="B30" t="s">
        <v>81</v>
      </c>
      <c r="C30" t="s">
        <v>1249</v>
      </c>
      <c r="D30" t="s">
        <v>1543</v>
      </c>
    </row>
    <row r="31" spans="1:4" x14ac:dyDescent="0.25">
      <c r="A31">
        <v>2031</v>
      </c>
      <c r="B31" t="s">
        <v>881</v>
      </c>
      <c r="C31" t="s">
        <v>1252</v>
      </c>
      <c r="D31" t="s">
        <v>1542</v>
      </c>
    </row>
    <row r="32" spans="1:4" x14ac:dyDescent="0.25">
      <c r="A32">
        <v>2032</v>
      </c>
      <c r="B32" t="s">
        <v>122</v>
      </c>
      <c r="C32" t="s">
        <v>1290</v>
      </c>
      <c r="D32" t="s">
        <v>1557</v>
      </c>
    </row>
    <row r="33" spans="1:4" x14ac:dyDescent="0.25">
      <c r="A33">
        <v>2034</v>
      </c>
      <c r="B33" t="s">
        <v>88</v>
      </c>
      <c r="C33" t="s">
        <v>1256</v>
      </c>
      <c r="D33" t="s">
        <v>1542</v>
      </c>
    </row>
    <row r="34" spans="1:4" x14ac:dyDescent="0.25">
      <c r="A34">
        <v>2035</v>
      </c>
      <c r="B34" t="s">
        <v>89</v>
      </c>
      <c r="C34" t="s">
        <v>1257</v>
      </c>
      <c r="D34" t="s">
        <v>1542</v>
      </c>
    </row>
    <row r="35" spans="1:4" x14ac:dyDescent="0.25">
      <c r="A35">
        <v>2036</v>
      </c>
      <c r="B35" t="s">
        <v>887</v>
      </c>
      <c r="C35" t="s">
        <v>1258</v>
      </c>
      <c r="D35" t="s">
        <v>1542</v>
      </c>
    </row>
    <row r="36" spans="1:4" x14ac:dyDescent="0.25">
      <c r="A36">
        <v>2037</v>
      </c>
      <c r="B36" t="s">
        <v>95</v>
      </c>
      <c r="C36" t="s">
        <v>1263</v>
      </c>
      <c r="D36" t="s">
        <v>1547</v>
      </c>
    </row>
    <row r="37" spans="1:4" x14ac:dyDescent="0.25">
      <c r="A37">
        <v>2038</v>
      </c>
      <c r="B37" t="s">
        <v>1660</v>
      </c>
      <c r="C37" t="s">
        <v>1775</v>
      </c>
      <c r="D37" t="s">
        <v>1541</v>
      </c>
    </row>
    <row r="38" spans="1:4" x14ac:dyDescent="0.25">
      <c r="A38">
        <v>2039</v>
      </c>
      <c r="B38" t="s">
        <v>97</v>
      </c>
      <c r="C38" t="s">
        <v>1265</v>
      </c>
      <c r="D38" t="s">
        <v>1547</v>
      </c>
    </row>
    <row r="39" spans="1:4" x14ac:dyDescent="0.25">
      <c r="A39">
        <v>2040</v>
      </c>
      <c r="B39" t="s">
        <v>100</v>
      </c>
      <c r="C39" t="s">
        <v>1268</v>
      </c>
      <c r="D39" t="s">
        <v>1542</v>
      </c>
    </row>
    <row r="40" spans="1:4" x14ac:dyDescent="0.25">
      <c r="A40">
        <v>2041</v>
      </c>
      <c r="B40" t="s">
        <v>103</v>
      </c>
      <c r="C40" t="s">
        <v>1271</v>
      </c>
      <c r="D40" t="s">
        <v>1542</v>
      </c>
    </row>
    <row r="41" spans="1:4" x14ac:dyDescent="0.25">
      <c r="A41">
        <v>2042</v>
      </c>
      <c r="B41" t="s">
        <v>106</v>
      </c>
      <c r="C41" t="s">
        <v>1274</v>
      </c>
      <c r="D41" t="s">
        <v>1553</v>
      </c>
    </row>
    <row r="42" spans="1:4" x14ac:dyDescent="0.25">
      <c r="A42">
        <v>2043</v>
      </c>
      <c r="B42" t="s">
        <v>108</v>
      </c>
      <c r="C42" t="s">
        <v>1276</v>
      </c>
      <c r="D42" t="s">
        <v>1549</v>
      </c>
    </row>
    <row r="43" spans="1:4" x14ac:dyDescent="0.25">
      <c r="A43">
        <v>2044</v>
      </c>
      <c r="B43" t="s">
        <v>109</v>
      </c>
      <c r="C43" t="s">
        <v>1277</v>
      </c>
      <c r="D43" t="s">
        <v>1555</v>
      </c>
    </row>
    <row r="44" spans="1:4" x14ac:dyDescent="0.25">
      <c r="A44">
        <v>2045</v>
      </c>
      <c r="B44" t="s">
        <v>110</v>
      </c>
      <c r="C44" t="s">
        <v>1278</v>
      </c>
      <c r="D44" t="s">
        <v>1556</v>
      </c>
    </row>
    <row r="45" spans="1:4" x14ac:dyDescent="0.25">
      <c r="A45">
        <v>2046</v>
      </c>
      <c r="B45" t="s">
        <v>112</v>
      </c>
      <c r="C45" t="s">
        <v>1280</v>
      </c>
      <c r="D45" t="s">
        <v>1557</v>
      </c>
    </row>
    <row r="46" spans="1:4" x14ac:dyDescent="0.25">
      <c r="A46">
        <v>2047</v>
      </c>
      <c r="B46" t="s">
        <v>913</v>
      </c>
      <c r="C46" t="s">
        <v>1285</v>
      </c>
      <c r="D46" t="s">
        <v>1542</v>
      </c>
    </row>
    <row r="47" spans="1:4" x14ac:dyDescent="0.25">
      <c r="A47">
        <v>2048</v>
      </c>
      <c r="B47" t="s">
        <v>118</v>
      </c>
      <c r="C47" t="s">
        <v>1286</v>
      </c>
      <c r="D47" t="s">
        <v>1552</v>
      </c>
    </row>
    <row r="48" spans="1:4" x14ac:dyDescent="0.25">
      <c r="A48">
        <v>2049</v>
      </c>
      <c r="B48" t="s">
        <v>119</v>
      </c>
      <c r="C48" t="s">
        <v>1287</v>
      </c>
      <c r="D48" t="s">
        <v>1559</v>
      </c>
    </row>
    <row r="49" spans="1:4" x14ac:dyDescent="0.25">
      <c r="A49">
        <v>2052</v>
      </c>
      <c r="B49" t="s">
        <v>93</v>
      </c>
      <c r="C49" t="s">
        <v>1261</v>
      </c>
      <c r="D49" t="s">
        <v>1543</v>
      </c>
    </row>
    <row r="50" spans="1:4" x14ac:dyDescent="0.25">
      <c r="A50">
        <v>2053</v>
      </c>
      <c r="B50" t="s">
        <v>99</v>
      </c>
      <c r="C50" t="s">
        <v>1267</v>
      </c>
      <c r="D50" t="s">
        <v>1550</v>
      </c>
    </row>
    <row r="51" spans="1:4" x14ac:dyDescent="0.25">
      <c r="A51">
        <v>2054</v>
      </c>
      <c r="B51" t="s">
        <v>124</v>
      </c>
      <c r="C51" t="s">
        <v>1292</v>
      </c>
      <c r="D51" t="s">
        <v>1542</v>
      </c>
    </row>
    <row r="52" spans="1:4" x14ac:dyDescent="0.25">
      <c r="A52">
        <v>2055</v>
      </c>
      <c r="B52" t="s">
        <v>92</v>
      </c>
      <c r="C52" t="s">
        <v>1260</v>
      </c>
      <c r="D52" t="s">
        <v>1547</v>
      </c>
    </row>
    <row r="53" spans="1:4" x14ac:dyDescent="0.25">
      <c r="A53">
        <v>2056</v>
      </c>
      <c r="B53" t="s">
        <v>1752</v>
      </c>
      <c r="C53" t="s">
        <v>1275</v>
      </c>
      <c r="D53" t="s">
        <v>1554</v>
      </c>
    </row>
    <row r="54" spans="1:4" x14ac:dyDescent="0.25">
      <c r="A54">
        <v>2057</v>
      </c>
      <c r="B54" t="s">
        <v>87</v>
      </c>
      <c r="C54" t="s">
        <v>1255</v>
      </c>
      <c r="D54" t="s">
        <v>1546</v>
      </c>
    </row>
    <row r="55" spans="1:4" x14ac:dyDescent="0.25">
      <c r="A55">
        <v>2058</v>
      </c>
      <c r="B55" t="s">
        <v>862</v>
      </c>
      <c r="C55" t="s">
        <v>1293</v>
      </c>
      <c r="D55" t="s">
        <v>1542</v>
      </c>
    </row>
    <row r="56" spans="1:4" x14ac:dyDescent="0.25">
      <c r="A56">
        <v>2058</v>
      </c>
      <c r="B56" t="s">
        <v>862</v>
      </c>
      <c r="C56" t="s">
        <v>1293</v>
      </c>
      <c r="D56" t="s">
        <v>1542</v>
      </c>
    </row>
    <row r="57" spans="1:4" x14ac:dyDescent="0.25">
      <c r="A57">
        <v>2060</v>
      </c>
      <c r="B57" t="s">
        <v>1753</v>
      </c>
      <c r="C57" t="s">
        <v>1656</v>
      </c>
      <c r="D57" t="s">
        <v>1542</v>
      </c>
    </row>
    <row r="58" spans="1:4" x14ac:dyDescent="0.25">
      <c r="A58">
        <v>2061</v>
      </c>
      <c r="B58" t="s">
        <v>1663</v>
      </c>
      <c r="C58" t="s">
        <v>1776</v>
      </c>
      <c r="D58" t="s">
        <v>1547</v>
      </c>
    </row>
    <row r="59" spans="1:4" x14ac:dyDescent="0.25">
      <c r="A59">
        <v>2062</v>
      </c>
      <c r="B59" t="s">
        <v>1664</v>
      </c>
      <c r="C59" t="s">
        <v>1777</v>
      </c>
      <c r="D59" t="s">
        <v>1542</v>
      </c>
    </row>
    <row r="60" spans="1:4" x14ac:dyDescent="0.25">
      <c r="A60">
        <v>2063</v>
      </c>
      <c r="B60" t="s">
        <v>1754</v>
      </c>
      <c r="C60" t="s">
        <v>1778</v>
      </c>
      <c r="D60" t="s">
        <v>1779</v>
      </c>
    </row>
    <row r="61" spans="1:4" x14ac:dyDescent="0.25">
      <c r="A61">
        <v>3001</v>
      </c>
      <c r="B61" t="s">
        <v>126</v>
      </c>
      <c r="C61" t="s">
        <v>1295</v>
      </c>
      <c r="D61" t="s">
        <v>1562</v>
      </c>
    </row>
    <row r="62" spans="1:4" x14ac:dyDescent="0.25">
      <c r="A62">
        <v>3002</v>
      </c>
      <c r="B62" t="s">
        <v>125</v>
      </c>
      <c r="C62" t="s">
        <v>1294</v>
      </c>
      <c r="D62" t="s">
        <v>1561</v>
      </c>
    </row>
    <row r="63" spans="1:4" x14ac:dyDescent="0.25">
      <c r="A63">
        <v>3003</v>
      </c>
      <c r="B63" t="s">
        <v>128</v>
      </c>
      <c r="C63" t="s">
        <v>1297</v>
      </c>
      <c r="D63" t="s">
        <v>1561</v>
      </c>
    </row>
    <row r="64" spans="1:4" x14ac:dyDescent="0.25">
      <c r="A64">
        <v>3004</v>
      </c>
      <c r="B64" t="s">
        <v>129</v>
      </c>
      <c r="C64" t="s">
        <v>1298</v>
      </c>
      <c r="D64" t="s">
        <v>1564</v>
      </c>
    </row>
    <row r="65" spans="1:4" x14ac:dyDescent="0.25">
      <c r="A65">
        <v>3005</v>
      </c>
      <c r="B65" t="s">
        <v>133</v>
      </c>
      <c r="C65" t="s">
        <v>1302</v>
      </c>
      <c r="D65" t="s">
        <v>1568</v>
      </c>
    </row>
    <row r="66" spans="1:4" x14ac:dyDescent="0.25">
      <c r="A66">
        <v>3006</v>
      </c>
      <c r="B66" t="s">
        <v>136</v>
      </c>
      <c r="C66" t="s">
        <v>1305</v>
      </c>
      <c r="D66" t="s">
        <v>1562</v>
      </c>
    </row>
    <row r="67" spans="1:4" x14ac:dyDescent="0.25">
      <c r="A67">
        <v>3007</v>
      </c>
      <c r="B67" t="s">
        <v>137</v>
      </c>
      <c r="C67" t="s">
        <v>1306</v>
      </c>
      <c r="D67" t="s">
        <v>1569</v>
      </c>
    </row>
    <row r="68" spans="1:4" x14ac:dyDescent="0.25">
      <c r="A68">
        <v>3008</v>
      </c>
      <c r="B68" t="s">
        <v>138</v>
      </c>
      <c r="C68" t="s">
        <v>1307</v>
      </c>
      <c r="D68" t="s">
        <v>1570</v>
      </c>
    </row>
    <row r="69" spans="1:4" x14ac:dyDescent="0.25">
      <c r="A69">
        <v>3010</v>
      </c>
      <c r="B69" t="s">
        <v>143</v>
      </c>
      <c r="C69" t="s">
        <v>1311</v>
      </c>
      <c r="D69" t="s">
        <v>1566</v>
      </c>
    </row>
    <row r="70" spans="1:4" x14ac:dyDescent="0.25">
      <c r="A70">
        <v>3011</v>
      </c>
      <c r="B70" t="s">
        <v>936</v>
      </c>
      <c r="C70" t="s">
        <v>1309</v>
      </c>
      <c r="D70" t="s">
        <v>1570</v>
      </c>
    </row>
    <row r="71" spans="1:4" x14ac:dyDescent="0.25">
      <c r="A71">
        <v>3012</v>
      </c>
      <c r="B71" t="s">
        <v>144</v>
      </c>
      <c r="C71" t="s">
        <v>1312</v>
      </c>
      <c r="D71" t="s">
        <v>1572</v>
      </c>
    </row>
    <row r="72" spans="1:4" x14ac:dyDescent="0.25">
      <c r="A72">
        <v>3013</v>
      </c>
      <c r="B72" t="s">
        <v>142</v>
      </c>
      <c r="C72" t="s">
        <v>1310</v>
      </c>
      <c r="D72" t="s">
        <v>1564</v>
      </c>
    </row>
    <row r="73" spans="1:4" x14ac:dyDescent="0.25">
      <c r="A73">
        <v>3014</v>
      </c>
      <c r="B73" t="s">
        <v>146</v>
      </c>
      <c r="C73" t="s">
        <v>1314</v>
      </c>
      <c r="D73" t="s">
        <v>1573</v>
      </c>
    </row>
    <row r="74" spans="1:4" x14ac:dyDescent="0.25">
      <c r="A74">
        <v>3015</v>
      </c>
      <c r="B74" t="s">
        <v>145</v>
      </c>
      <c r="C74" t="s">
        <v>1313</v>
      </c>
      <c r="D74" t="s">
        <v>1561</v>
      </c>
    </row>
    <row r="75" spans="1:4" x14ac:dyDescent="0.25">
      <c r="A75">
        <v>3016</v>
      </c>
      <c r="B75" t="s">
        <v>148</v>
      </c>
      <c r="C75" t="s">
        <v>1316</v>
      </c>
      <c r="D75" t="s">
        <v>1570</v>
      </c>
    </row>
    <row r="76" spans="1:4" x14ac:dyDescent="0.25">
      <c r="A76">
        <v>3017</v>
      </c>
      <c r="B76" t="s">
        <v>149</v>
      </c>
      <c r="C76" t="s">
        <v>1317</v>
      </c>
      <c r="D76" t="s">
        <v>1569</v>
      </c>
    </row>
    <row r="77" spans="1:4" x14ac:dyDescent="0.25">
      <c r="A77">
        <v>3018</v>
      </c>
      <c r="B77" t="s">
        <v>153</v>
      </c>
      <c r="C77" t="s">
        <v>1321</v>
      </c>
      <c r="D77" t="s">
        <v>1576</v>
      </c>
    </row>
    <row r="78" spans="1:4" x14ac:dyDescent="0.25">
      <c r="A78">
        <v>3019</v>
      </c>
      <c r="B78" t="s">
        <v>155</v>
      </c>
      <c r="C78" t="s">
        <v>1323</v>
      </c>
      <c r="D78" t="s">
        <v>1570</v>
      </c>
    </row>
    <row r="79" spans="1:4" x14ac:dyDescent="0.25">
      <c r="A79">
        <v>3020</v>
      </c>
      <c r="B79" t="s">
        <v>157</v>
      </c>
      <c r="C79" t="s">
        <v>1325</v>
      </c>
      <c r="D79" t="s">
        <v>1566</v>
      </c>
    </row>
    <row r="80" spans="1:4" x14ac:dyDescent="0.25">
      <c r="A80">
        <v>3021</v>
      </c>
      <c r="B80" t="s">
        <v>140</v>
      </c>
      <c r="C80" t="s">
        <v>1308</v>
      </c>
      <c r="D80" t="s">
        <v>1571</v>
      </c>
    </row>
    <row r="81" spans="1:4" x14ac:dyDescent="0.25">
      <c r="A81">
        <v>3022</v>
      </c>
      <c r="B81" t="s">
        <v>154</v>
      </c>
      <c r="C81" t="s">
        <v>1322</v>
      </c>
      <c r="D81" t="s">
        <v>1574</v>
      </c>
    </row>
    <row r="82" spans="1:4" x14ac:dyDescent="0.25">
      <c r="A82">
        <v>3023</v>
      </c>
      <c r="B82" t="s">
        <v>158</v>
      </c>
      <c r="C82" t="s">
        <v>1326</v>
      </c>
      <c r="D82" t="s">
        <v>1561</v>
      </c>
    </row>
    <row r="83" spans="1:4" x14ac:dyDescent="0.25">
      <c r="A83">
        <v>3024</v>
      </c>
      <c r="B83" t="s">
        <v>127</v>
      </c>
      <c r="C83" t="s">
        <v>1296</v>
      </c>
      <c r="D83" t="s">
        <v>1563</v>
      </c>
    </row>
    <row r="84" spans="1:4" x14ac:dyDescent="0.25">
      <c r="A84">
        <v>3025</v>
      </c>
      <c r="B84" t="s">
        <v>130</v>
      </c>
      <c r="C84" t="s">
        <v>1299</v>
      </c>
      <c r="D84" t="s">
        <v>1565</v>
      </c>
    </row>
    <row r="85" spans="1:4" x14ac:dyDescent="0.25">
      <c r="A85">
        <v>3026</v>
      </c>
      <c r="B85" t="s">
        <v>132</v>
      </c>
      <c r="C85" t="s">
        <v>1301</v>
      </c>
      <c r="D85" t="s">
        <v>1567</v>
      </c>
    </row>
    <row r="86" spans="1:4" x14ac:dyDescent="0.25">
      <c r="A86">
        <v>3027</v>
      </c>
      <c r="B86" t="s">
        <v>134</v>
      </c>
      <c r="C86" t="s">
        <v>1303</v>
      </c>
      <c r="D86" t="s">
        <v>1568</v>
      </c>
    </row>
    <row r="87" spans="1:4" x14ac:dyDescent="0.25">
      <c r="A87">
        <v>3028</v>
      </c>
      <c r="B87" t="s">
        <v>152</v>
      </c>
      <c r="C87" t="s">
        <v>1320</v>
      </c>
      <c r="D87" t="s">
        <v>1572</v>
      </c>
    </row>
    <row r="88" spans="1:4" x14ac:dyDescent="0.25">
      <c r="A88">
        <v>3029</v>
      </c>
      <c r="B88" t="s">
        <v>135</v>
      </c>
      <c r="C88" t="s">
        <v>1304</v>
      </c>
      <c r="D88" t="s">
        <v>1562</v>
      </c>
    </row>
    <row r="89" spans="1:4" x14ac:dyDescent="0.25">
      <c r="A89">
        <v>3030</v>
      </c>
      <c r="B89" t="s">
        <v>150</v>
      </c>
      <c r="C89" t="s">
        <v>1318</v>
      </c>
      <c r="D89" t="s">
        <v>1575</v>
      </c>
    </row>
    <row r="90" spans="1:4" x14ac:dyDescent="0.25">
      <c r="A90">
        <v>3031</v>
      </c>
      <c r="B90" t="s">
        <v>151</v>
      </c>
      <c r="C90" t="s">
        <v>1319</v>
      </c>
      <c r="D90" t="s">
        <v>1569</v>
      </c>
    </row>
    <row r="91" spans="1:4" x14ac:dyDescent="0.25">
      <c r="A91">
        <v>3032</v>
      </c>
      <c r="B91" t="s">
        <v>159</v>
      </c>
      <c r="C91" t="s">
        <v>1327</v>
      </c>
      <c r="D91" t="s">
        <v>1574</v>
      </c>
    </row>
    <row r="92" spans="1:4" x14ac:dyDescent="0.25">
      <c r="A92">
        <v>3033</v>
      </c>
      <c r="B92" t="s">
        <v>156</v>
      </c>
      <c r="C92" t="s">
        <v>1324</v>
      </c>
      <c r="D92" t="s">
        <v>1569</v>
      </c>
    </row>
    <row r="93" spans="1:4" x14ac:dyDescent="0.25">
      <c r="A93">
        <v>3034</v>
      </c>
      <c r="B93" t="s">
        <v>942</v>
      </c>
      <c r="C93" t="s">
        <v>1315</v>
      </c>
      <c r="D93" t="s">
        <v>1574</v>
      </c>
    </row>
    <row r="94" spans="1:4" x14ac:dyDescent="0.25">
      <c r="A94">
        <v>3035</v>
      </c>
      <c r="B94" t="s">
        <v>131</v>
      </c>
      <c r="C94" t="s">
        <v>1300</v>
      </c>
      <c r="D94" t="s">
        <v>1566</v>
      </c>
    </row>
    <row r="95" spans="1:4" x14ac:dyDescent="0.25">
      <c r="A95">
        <v>3036</v>
      </c>
      <c r="B95" t="s">
        <v>160</v>
      </c>
      <c r="C95" t="s">
        <v>1328</v>
      </c>
      <c r="D95" t="s">
        <v>1657</v>
      </c>
    </row>
    <row r="96" spans="1:4" x14ac:dyDescent="0.25">
      <c r="A96">
        <v>3037</v>
      </c>
      <c r="B96" t="s">
        <v>161</v>
      </c>
      <c r="C96" t="s">
        <v>1329</v>
      </c>
      <c r="D96" t="s">
        <v>1566</v>
      </c>
    </row>
    <row r="97" spans="1:4" x14ac:dyDescent="0.25">
      <c r="A97">
        <v>3038</v>
      </c>
      <c r="B97" t="s">
        <v>1755</v>
      </c>
      <c r="C97" t="s">
        <v>1330</v>
      </c>
      <c r="D97" t="s">
        <v>1578</v>
      </c>
    </row>
    <row r="98" spans="1:4" x14ac:dyDescent="0.25">
      <c r="A98">
        <v>3039</v>
      </c>
      <c r="B98" t="s">
        <v>1666</v>
      </c>
      <c r="C98" t="s">
        <v>1780</v>
      </c>
      <c r="D98" t="s">
        <v>1585</v>
      </c>
    </row>
    <row r="99" spans="1:4" x14ac:dyDescent="0.25">
      <c r="A99">
        <v>3040</v>
      </c>
      <c r="B99" t="s">
        <v>1756</v>
      </c>
      <c r="C99" t="s">
        <v>1781</v>
      </c>
      <c r="D99" t="s">
        <v>1576</v>
      </c>
    </row>
    <row r="100" spans="1:4" x14ac:dyDescent="0.25">
      <c r="A100">
        <v>3041</v>
      </c>
      <c r="B100" t="s">
        <v>1668</v>
      </c>
      <c r="C100" t="s">
        <v>1782</v>
      </c>
      <c r="D100" t="s">
        <v>1572</v>
      </c>
    </row>
    <row r="101" spans="1:4" x14ac:dyDescent="0.25">
      <c r="A101">
        <v>4001</v>
      </c>
      <c r="B101" t="s">
        <v>171</v>
      </c>
      <c r="C101" t="s">
        <v>1340</v>
      </c>
      <c r="D101" t="s">
        <v>1585</v>
      </c>
    </row>
    <row r="102" spans="1:4" x14ac:dyDescent="0.25">
      <c r="A102">
        <v>4002</v>
      </c>
      <c r="B102" t="s">
        <v>191</v>
      </c>
      <c r="C102" t="s">
        <v>1361</v>
      </c>
      <c r="D102" t="s">
        <v>1582</v>
      </c>
    </row>
    <row r="103" spans="1:4" x14ac:dyDescent="0.25">
      <c r="A103">
        <v>4003</v>
      </c>
      <c r="B103" t="s">
        <v>167</v>
      </c>
      <c r="C103" t="s">
        <v>1335</v>
      </c>
      <c r="D103" t="s">
        <v>1583</v>
      </c>
    </row>
    <row r="104" spans="1:4" x14ac:dyDescent="0.25">
      <c r="A104">
        <v>4004</v>
      </c>
      <c r="B104" t="s">
        <v>177</v>
      </c>
      <c r="C104" t="s">
        <v>1346</v>
      </c>
      <c r="D104" t="s">
        <v>1579</v>
      </c>
    </row>
    <row r="105" spans="1:4" x14ac:dyDescent="0.25">
      <c r="A105">
        <v>4005</v>
      </c>
      <c r="B105" t="s">
        <v>168</v>
      </c>
      <c r="C105" t="s">
        <v>1336</v>
      </c>
      <c r="D105" t="s">
        <v>1584</v>
      </c>
    </row>
    <row r="106" spans="1:4" x14ac:dyDescent="0.25">
      <c r="A106">
        <v>4006</v>
      </c>
      <c r="B106" t="s">
        <v>172</v>
      </c>
      <c r="C106" t="s">
        <v>1341</v>
      </c>
      <c r="D106" t="s">
        <v>1585</v>
      </c>
    </row>
    <row r="107" spans="1:4" x14ac:dyDescent="0.25">
      <c r="A107">
        <v>4007</v>
      </c>
      <c r="B107" t="s">
        <v>173</v>
      </c>
      <c r="C107" t="s">
        <v>1342</v>
      </c>
      <c r="D107" t="s">
        <v>1570</v>
      </c>
    </row>
    <row r="108" spans="1:4" x14ac:dyDescent="0.25">
      <c r="A108">
        <v>4008</v>
      </c>
      <c r="B108" t="s">
        <v>174</v>
      </c>
      <c r="C108" t="s">
        <v>1343</v>
      </c>
      <c r="D108" t="s">
        <v>1579</v>
      </c>
    </row>
    <row r="109" spans="1:4" x14ac:dyDescent="0.25">
      <c r="A109">
        <v>4009</v>
      </c>
      <c r="B109" t="s">
        <v>175</v>
      </c>
      <c r="C109" t="s">
        <v>1344</v>
      </c>
      <c r="D109" t="s">
        <v>1586</v>
      </c>
    </row>
    <row r="110" spans="1:4" x14ac:dyDescent="0.25">
      <c r="A110">
        <v>4010</v>
      </c>
      <c r="B110" t="s">
        <v>176</v>
      </c>
      <c r="C110" t="s">
        <v>1345</v>
      </c>
      <c r="D110" t="s">
        <v>1585</v>
      </c>
    </row>
    <row r="111" spans="1:4" x14ac:dyDescent="0.25">
      <c r="A111">
        <v>4011</v>
      </c>
      <c r="B111" t="s">
        <v>178</v>
      </c>
      <c r="C111" t="s">
        <v>1347</v>
      </c>
      <c r="D111" t="s">
        <v>1579</v>
      </c>
    </row>
    <row r="112" spans="1:4" x14ac:dyDescent="0.25">
      <c r="A112">
        <v>4012</v>
      </c>
      <c r="B112" t="s">
        <v>180</v>
      </c>
      <c r="C112" t="s">
        <v>1349</v>
      </c>
      <c r="D112" t="s">
        <v>1585</v>
      </c>
    </row>
    <row r="113" spans="1:4" x14ac:dyDescent="0.25">
      <c r="A113">
        <v>4013</v>
      </c>
      <c r="B113" t="s">
        <v>192</v>
      </c>
      <c r="C113" t="s">
        <v>1362</v>
      </c>
      <c r="D113" t="s">
        <v>1570</v>
      </c>
    </row>
    <row r="114" spans="1:4" x14ac:dyDescent="0.25">
      <c r="A114">
        <v>4014</v>
      </c>
      <c r="B114" t="s">
        <v>185</v>
      </c>
      <c r="C114" t="s">
        <v>1354</v>
      </c>
      <c r="D114" t="s">
        <v>1587</v>
      </c>
    </row>
    <row r="115" spans="1:4" x14ac:dyDescent="0.25">
      <c r="A115">
        <v>4015</v>
      </c>
      <c r="B115" t="s">
        <v>189</v>
      </c>
      <c r="C115" t="s">
        <v>1359</v>
      </c>
      <c r="D115" t="s">
        <v>1586</v>
      </c>
    </row>
    <row r="116" spans="1:4" x14ac:dyDescent="0.25">
      <c r="A116">
        <v>4016</v>
      </c>
      <c r="B116" t="s">
        <v>184</v>
      </c>
      <c r="C116" t="s">
        <v>1353</v>
      </c>
      <c r="D116" t="s">
        <v>1586</v>
      </c>
    </row>
    <row r="117" spans="1:4" x14ac:dyDescent="0.25">
      <c r="A117">
        <v>4017</v>
      </c>
      <c r="B117" t="s">
        <v>163</v>
      </c>
      <c r="C117" t="s">
        <v>1331</v>
      </c>
      <c r="D117" t="s">
        <v>1579</v>
      </c>
    </row>
    <row r="118" spans="1:4" x14ac:dyDescent="0.25">
      <c r="A118">
        <v>4018</v>
      </c>
      <c r="B118" t="s">
        <v>193</v>
      </c>
      <c r="C118" t="s">
        <v>1363</v>
      </c>
      <c r="D118" t="s">
        <v>1585</v>
      </c>
    </row>
    <row r="119" spans="1:4" x14ac:dyDescent="0.25">
      <c r="A119">
        <v>4020</v>
      </c>
      <c r="B119" t="s">
        <v>170</v>
      </c>
      <c r="C119" t="s">
        <v>1338</v>
      </c>
      <c r="D119" t="s">
        <v>1570</v>
      </c>
    </row>
    <row r="120" spans="1:4" x14ac:dyDescent="0.25">
      <c r="A120">
        <v>4021</v>
      </c>
      <c r="B120" t="s">
        <v>164</v>
      </c>
      <c r="C120" t="s">
        <v>1332</v>
      </c>
      <c r="D120" t="s">
        <v>1580</v>
      </c>
    </row>
    <row r="121" spans="1:4" x14ac:dyDescent="0.25">
      <c r="A121">
        <v>4022</v>
      </c>
      <c r="B121" t="s">
        <v>26</v>
      </c>
      <c r="C121" t="s">
        <v>1358</v>
      </c>
      <c r="D121" t="s">
        <v>1579</v>
      </c>
    </row>
    <row r="122" spans="1:4" x14ac:dyDescent="0.25">
      <c r="A122">
        <v>4023</v>
      </c>
      <c r="B122" t="s">
        <v>963</v>
      </c>
      <c r="C122" t="s">
        <v>1339</v>
      </c>
      <c r="D122" t="s">
        <v>1577</v>
      </c>
    </row>
    <row r="123" spans="1:4" x14ac:dyDescent="0.25">
      <c r="A123">
        <v>4024</v>
      </c>
      <c r="B123" t="s">
        <v>187</v>
      </c>
      <c r="C123" t="s">
        <v>1356</v>
      </c>
      <c r="D123" t="s">
        <v>1588</v>
      </c>
    </row>
    <row r="124" spans="1:4" x14ac:dyDescent="0.25">
      <c r="A124">
        <v>4025</v>
      </c>
      <c r="B124" t="s">
        <v>179</v>
      </c>
      <c r="C124" t="s">
        <v>1348</v>
      </c>
      <c r="D124" t="s">
        <v>1584</v>
      </c>
    </row>
    <row r="125" spans="1:4" x14ac:dyDescent="0.25">
      <c r="A125">
        <v>4026</v>
      </c>
      <c r="B125" t="s">
        <v>182</v>
      </c>
      <c r="C125" t="s">
        <v>1351</v>
      </c>
      <c r="D125" t="s">
        <v>1583</v>
      </c>
    </row>
    <row r="126" spans="1:4" x14ac:dyDescent="0.25">
      <c r="A126">
        <v>4027</v>
      </c>
      <c r="B126" t="s">
        <v>165</v>
      </c>
      <c r="C126" t="s">
        <v>1333</v>
      </c>
      <c r="D126" t="s">
        <v>1581</v>
      </c>
    </row>
    <row r="127" spans="1:4" x14ac:dyDescent="0.25">
      <c r="A127">
        <v>4028</v>
      </c>
      <c r="B127" t="s">
        <v>186</v>
      </c>
      <c r="C127" t="s">
        <v>1355</v>
      </c>
      <c r="D127" t="s">
        <v>1570</v>
      </c>
    </row>
    <row r="128" spans="1:4" x14ac:dyDescent="0.25">
      <c r="A128">
        <v>4029</v>
      </c>
      <c r="B128" t="s">
        <v>194</v>
      </c>
      <c r="C128" t="s">
        <v>1364</v>
      </c>
      <c r="D128" t="s">
        <v>1588</v>
      </c>
    </row>
    <row r="129" spans="1:4" x14ac:dyDescent="0.25">
      <c r="A129">
        <v>4030</v>
      </c>
      <c r="B129" t="s">
        <v>188</v>
      </c>
      <c r="C129" t="s">
        <v>1357</v>
      </c>
      <c r="D129" t="s">
        <v>1570</v>
      </c>
    </row>
    <row r="130" spans="1:4" x14ac:dyDescent="0.25">
      <c r="A130">
        <v>4032</v>
      </c>
      <c r="B130" t="s">
        <v>166</v>
      </c>
      <c r="C130" t="s">
        <v>1334</v>
      </c>
      <c r="D130" t="s">
        <v>1582</v>
      </c>
    </row>
    <row r="131" spans="1:4" x14ac:dyDescent="0.25">
      <c r="A131">
        <v>4034</v>
      </c>
      <c r="B131" t="s">
        <v>169</v>
      </c>
      <c r="C131" t="s">
        <v>1337</v>
      </c>
      <c r="D131" t="s">
        <v>1582</v>
      </c>
    </row>
    <row r="132" spans="1:4" x14ac:dyDescent="0.25">
      <c r="A132">
        <v>4035</v>
      </c>
      <c r="B132" t="s">
        <v>190</v>
      </c>
      <c r="C132" t="s">
        <v>1360</v>
      </c>
      <c r="D132" t="s">
        <v>1585</v>
      </c>
    </row>
    <row r="133" spans="1:4" x14ac:dyDescent="0.25">
      <c r="A133">
        <v>4036</v>
      </c>
      <c r="B133" t="s">
        <v>183</v>
      </c>
      <c r="C133" t="s">
        <v>1352</v>
      </c>
      <c r="D133" t="s">
        <v>1587</v>
      </c>
    </row>
    <row r="134" spans="1:4" x14ac:dyDescent="0.25">
      <c r="A134">
        <v>4037</v>
      </c>
      <c r="B134" t="s">
        <v>181</v>
      </c>
      <c r="C134" t="s">
        <v>1350</v>
      </c>
      <c r="D134" t="s">
        <v>1570</v>
      </c>
    </row>
    <row r="135" spans="1:4" x14ac:dyDescent="0.25">
      <c r="A135">
        <v>4038</v>
      </c>
      <c r="B135" t="s">
        <v>196</v>
      </c>
      <c r="C135" t="s">
        <v>1366</v>
      </c>
      <c r="D135" t="s">
        <v>1584</v>
      </c>
    </row>
    <row r="136" spans="1:4" x14ac:dyDescent="0.25">
      <c r="A136">
        <v>4039</v>
      </c>
      <c r="B136" t="s">
        <v>197</v>
      </c>
      <c r="C136" t="s">
        <v>1367</v>
      </c>
      <c r="D136" t="s">
        <v>1580</v>
      </c>
    </row>
    <row r="137" spans="1:4" x14ac:dyDescent="0.25">
      <c r="A137">
        <v>4040</v>
      </c>
      <c r="B137" t="s">
        <v>195</v>
      </c>
      <c r="C137" t="s">
        <v>1365</v>
      </c>
      <c r="D137" t="s">
        <v>1589</v>
      </c>
    </row>
    <row r="138" spans="1:4" x14ac:dyDescent="0.25">
      <c r="A138">
        <v>4041</v>
      </c>
      <c r="B138" t="s">
        <v>992</v>
      </c>
      <c r="C138" t="s">
        <v>1368</v>
      </c>
      <c r="D138" t="s">
        <v>1585</v>
      </c>
    </row>
    <row r="139" spans="1:4" x14ac:dyDescent="0.25">
      <c r="A139">
        <v>4042</v>
      </c>
      <c r="B139" t="s">
        <v>199</v>
      </c>
      <c r="C139" t="s">
        <v>1369</v>
      </c>
      <c r="D139" t="s">
        <v>1587</v>
      </c>
    </row>
    <row r="140" spans="1:4" x14ac:dyDescent="0.25">
      <c r="A140">
        <v>4043</v>
      </c>
      <c r="B140" t="s">
        <v>200</v>
      </c>
      <c r="C140" t="s">
        <v>1370</v>
      </c>
      <c r="D140" t="s">
        <v>1588</v>
      </c>
    </row>
    <row r="141" spans="1:4" x14ac:dyDescent="0.25">
      <c r="A141">
        <v>4044</v>
      </c>
      <c r="B141" t="s">
        <v>201</v>
      </c>
      <c r="C141" t="s">
        <v>1371</v>
      </c>
      <c r="D141" t="s">
        <v>1585</v>
      </c>
    </row>
    <row r="142" spans="1:4" x14ac:dyDescent="0.25">
      <c r="A142">
        <v>4045</v>
      </c>
      <c r="B142" t="s">
        <v>202</v>
      </c>
      <c r="C142" t="s">
        <v>1372</v>
      </c>
      <c r="D142" t="s">
        <v>1583</v>
      </c>
    </row>
    <row r="143" spans="1:4" x14ac:dyDescent="0.25">
      <c r="A143">
        <v>4046</v>
      </c>
      <c r="B143" t="s">
        <v>203</v>
      </c>
      <c r="C143" t="s">
        <v>1373</v>
      </c>
      <c r="D143" t="s">
        <v>1570</v>
      </c>
    </row>
    <row r="144" spans="1:4" x14ac:dyDescent="0.25">
      <c r="A144">
        <v>4047</v>
      </c>
      <c r="B144" t="s">
        <v>204</v>
      </c>
      <c r="C144" t="s">
        <v>1374</v>
      </c>
      <c r="D144" t="s">
        <v>1588</v>
      </c>
    </row>
    <row r="145" spans="1:4" x14ac:dyDescent="0.25">
      <c r="A145">
        <v>4048</v>
      </c>
      <c r="B145" t="s">
        <v>205</v>
      </c>
      <c r="C145" t="s">
        <v>1375</v>
      </c>
      <c r="D145" t="s">
        <v>1570</v>
      </c>
    </row>
    <row r="146" spans="1:4" x14ac:dyDescent="0.25">
      <c r="A146">
        <v>4049</v>
      </c>
      <c r="B146" t="s">
        <v>1669</v>
      </c>
      <c r="C146" t="s">
        <v>1783</v>
      </c>
      <c r="D146" t="s">
        <v>1577</v>
      </c>
    </row>
    <row r="147" spans="1:4" x14ac:dyDescent="0.25">
      <c r="A147">
        <v>4050</v>
      </c>
      <c r="B147" t="s">
        <v>1670</v>
      </c>
      <c r="C147" t="s">
        <v>1784</v>
      </c>
      <c r="D147" t="s">
        <v>1570</v>
      </c>
    </row>
    <row r="148" spans="1:4" x14ac:dyDescent="0.25">
      <c r="A148">
        <v>5001</v>
      </c>
      <c r="B148" t="s">
        <v>206</v>
      </c>
      <c r="C148" t="s">
        <v>1376</v>
      </c>
      <c r="D148" t="s">
        <v>1590</v>
      </c>
    </row>
    <row r="149" spans="1:4" x14ac:dyDescent="0.25">
      <c r="A149">
        <v>5002</v>
      </c>
      <c r="B149" t="s">
        <v>214</v>
      </c>
      <c r="C149" t="s">
        <v>1384</v>
      </c>
      <c r="D149" t="s">
        <v>1591</v>
      </c>
    </row>
    <row r="150" spans="1:4" x14ac:dyDescent="0.25">
      <c r="A150">
        <v>5003</v>
      </c>
      <c r="B150" t="s">
        <v>215</v>
      </c>
      <c r="C150" t="s">
        <v>1385</v>
      </c>
      <c r="D150" t="s">
        <v>1597</v>
      </c>
    </row>
    <row r="151" spans="1:4" x14ac:dyDescent="0.25">
      <c r="A151">
        <v>5004</v>
      </c>
      <c r="B151" t="s">
        <v>212</v>
      </c>
      <c r="C151" t="s">
        <v>1382</v>
      </c>
      <c r="D151" t="s">
        <v>1595</v>
      </c>
    </row>
    <row r="152" spans="1:4" x14ac:dyDescent="0.25">
      <c r="A152">
        <v>5005</v>
      </c>
      <c r="B152" t="s">
        <v>210</v>
      </c>
      <c r="C152" t="s">
        <v>1380</v>
      </c>
      <c r="D152" t="s">
        <v>1593</v>
      </c>
    </row>
    <row r="153" spans="1:4" x14ac:dyDescent="0.25">
      <c r="A153">
        <v>5006</v>
      </c>
      <c r="B153" t="s">
        <v>211</v>
      </c>
      <c r="C153" t="s">
        <v>1381</v>
      </c>
      <c r="D153" t="s">
        <v>1594</v>
      </c>
    </row>
    <row r="154" spans="1:4" x14ac:dyDescent="0.25">
      <c r="A154">
        <v>5007</v>
      </c>
      <c r="B154" t="s">
        <v>213</v>
      </c>
      <c r="C154" t="s">
        <v>1383</v>
      </c>
      <c r="D154" t="s">
        <v>1596</v>
      </c>
    </row>
    <row r="155" spans="1:4" x14ac:dyDescent="0.25">
      <c r="A155">
        <v>5008</v>
      </c>
      <c r="B155" t="s">
        <v>209</v>
      </c>
      <c r="C155" t="s">
        <v>1379</v>
      </c>
      <c r="D155" t="s">
        <v>1592</v>
      </c>
    </row>
    <row r="156" spans="1:4" x14ac:dyDescent="0.25">
      <c r="A156">
        <v>5009</v>
      </c>
      <c r="B156" t="s">
        <v>208</v>
      </c>
      <c r="C156" t="s">
        <v>1378</v>
      </c>
      <c r="D156" t="s">
        <v>1591</v>
      </c>
    </row>
    <row r="157" spans="1:4" x14ac:dyDescent="0.25">
      <c r="A157">
        <v>5010</v>
      </c>
      <c r="B157" t="s">
        <v>207</v>
      </c>
      <c r="C157" t="s">
        <v>1377</v>
      </c>
      <c r="D157" t="s">
        <v>1591</v>
      </c>
    </row>
    <row r="158" spans="1:4" x14ac:dyDescent="0.25">
      <c r="A158">
        <v>5012</v>
      </c>
      <c r="B158" t="s">
        <v>216</v>
      </c>
      <c r="C158" t="s">
        <v>1386</v>
      </c>
      <c r="D158" t="s">
        <v>1582</v>
      </c>
    </row>
    <row r="159" spans="1:4" x14ac:dyDescent="0.25">
      <c r="A159">
        <v>5013</v>
      </c>
      <c r="B159" t="s">
        <v>217</v>
      </c>
      <c r="C159" t="s">
        <v>1387</v>
      </c>
      <c r="D159" t="s">
        <v>1598</v>
      </c>
    </row>
    <row r="160" spans="1:4" x14ac:dyDescent="0.25">
      <c r="A160">
        <v>5014</v>
      </c>
      <c r="B160" t="s">
        <v>219</v>
      </c>
      <c r="C160" t="s">
        <v>1389</v>
      </c>
      <c r="D160" t="s">
        <v>1596</v>
      </c>
    </row>
    <row r="161" spans="1:4" x14ac:dyDescent="0.25">
      <c r="A161">
        <v>5015</v>
      </c>
      <c r="B161" t="s">
        <v>218</v>
      </c>
      <c r="C161" t="s">
        <v>1388</v>
      </c>
      <c r="D161" t="s">
        <v>1590</v>
      </c>
    </row>
    <row r="162" spans="1:4" x14ac:dyDescent="0.25">
      <c r="A162">
        <v>5016</v>
      </c>
      <c r="B162" t="s">
        <v>220</v>
      </c>
      <c r="C162" t="s">
        <v>1390</v>
      </c>
      <c r="D162" t="s">
        <v>1590</v>
      </c>
    </row>
    <row r="163" spans="1:4" x14ac:dyDescent="0.25">
      <c r="A163">
        <v>6001</v>
      </c>
      <c r="B163" t="s">
        <v>228</v>
      </c>
      <c r="C163" t="s">
        <v>1398</v>
      </c>
      <c r="D163" t="s">
        <v>1601</v>
      </c>
    </row>
    <row r="164" spans="1:4" x14ac:dyDescent="0.25">
      <c r="A164">
        <v>6002</v>
      </c>
      <c r="B164" t="s">
        <v>229</v>
      </c>
      <c r="C164" t="s">
        <v>1399</v>
      </c>
      <c r="D164" t="s">
        <v>1599</v>
      </c>
    </row>
    <row r="165" spans="1:4" x14ac:dyDescent="0.25">
      <c r="A165">
        <v>6003</v>
      </c>
      <c r="B165" t="s">
        <v>230</v>
      </c>
      <c r="C165" t="s">
        <v>1400</v>
      </c>
      <c r="D165" t="s">
        <v>1601</v>
      </c>
    </row>
    <row r="166" spans="1:4" x14ac:dyDescent="0.25">
      <c r="A166">
        <v>6004</v>
      </c>
      <c r="B166" t="s">
        <v>1002</v>
      </c>
      <c r="C166" t="s">
        <v>1392</v>
      </c>
      <c r="D166" t="s">
        <v>1600</v>
      </c>
    </row>
    <row r="167" spans="1:4" x14ac:dyDescent="0.25">
      <c r="A167">
        <v>6005</v>
      </c>
      <c r="B167" t="s">
        <v>226</v>
      </c>
      <c r="C167" t="s">
        <v>1396</v>
      </c>
      <c r="D167" t="s">
        <v>1601</v>
      </c>
    </row>
    <row r="168" spans="1:4" x14ac:dyDescent="0.25">
      <c r="A168">
        <v>6006</v>
      </c>
      <c r="B168" t="s">
        <v>227</v>
      </c>
      <c r="C168" t="s">
        <v>1397</v>
      </c>
      <c r="D168" t="s">
        <v>1600</v>
      </c>
    </row>
    <row r="169" spans="1:4" x14ac:dyDescent="0.25">
      <c r="A169">
        <v>6007</v>
      </c>
      <c r="B169" t="s">
        <v>224</v>
      </c>
      <c r="C169" t="s">
        <v>1394</v>
      </c>
      <c r="D169" t="s">
        <v>1600</v>
      </c>
    </row>
    <row r="170" spans="1:4" x14ac:dyDescent="0.25">
      <c r="A170">
        <v>6009</v>
      </c>
      <c r="B170" t="s">
        <v>223</v>
      </c>
      <c r="C170" t="s">
        <v>1393</v>
      </c>
      <c r="D170" t="s">
        <v>1601</v>
      </c>
    </row>
    <row r="171" spans="1:4" x14ac:dyDescent="0.25">
      <c r="A171">
        <v>6012</v>
      </c>
      <c r="B171" t="s">
        <v>1001</v>
      </c>
      <c r="C171" t="s">
        <v>1391</v>
      </c>
      <c r="D171" t="s">
        <v>1599</v>
      </c>
    </row>
    <row r="172" spans="1:4" x14ac:dyDescent="0.25">
      <c r="A172">
        <v>6013</v>
      </c>
      <c r="B172" t="s">
        <v>225</v>
      </c>
      <c r="C172" t="s">
        <v>1395</v>
      </c>
      <c r="D172" t="s">
        <v>1602</v>
      </c>
    </row>
    <row r="173" spans="1:4" x14ac:dyDescent="0.25">
      <c r="A173">
        <v>6015</v>
      </c>
      <c r="B173" t="s">
        <v>231</v>
      </c>
      <c r="C173" t="s">
        <v>1401</v>
      </c>
      <c r="D173" t="s">
        <v>1603</v>
      </c>
    </row>
    <row r="174" spans="1:4" x14ac:dyDescent="0.25">
      <c r="A174">
        <v>6016</v>
      </c>
      <c r="B174" t="s">
        <v>863</v>
      </c>
      <c r="C174" t="s">
        <v>1402</v>
      </c>
      <c r="D174" t="s">
        <v>1604</v>
      </c>
    </row>
    <row r="175" spans="1:4" x14ac:dyDescent="0.25">
      <c r="A175">
        <v>6017</v>
      </c>
      <c r="B175" t="s">
        <v>1672</v>
      </c>
      <c r="C175" t="s">
        <v>1785</v>
      </c>
      <c r="D175" t="s">
        <v>1599</v>
      </c>
    </row>
    <row r="176" spans="1:4" x14ac:dyDescent="0.25">
      <c r="A176">
        <v>6018</v>
      </c>
      <c r="B176" t="s">
        <v>1673</v>
      </c>
      <c r="C176" t="s">
        <v>1786</v>
      </c>
      <c r="D176" t="s">
        <v>1787</v>
      </c>
    </row>
    <row r="177" spans="1:4" x14ac:dyDescent="0.25">
      <c r="A177">
        <v>7001</v>
      </c>
      <c r="B177" t="s">
        <v>238</v>
      </c>
      <c r="C177" t="s">
        <v>1409</v>
      </c>
      <c r="D177" t="s">
        <v>1609</v>
      </c>
    </row>
    <row r="178" spans="1:4" x14ac:dyDescent="0.25">
      <c r="A178">
        <v>7002</v>
      </c>
      <c r="B178" t="s">
        <v>234</v>
      </c>
      <c r="C178" t="s">
        <v>1405</v>
      </c>
      <c r="D178" t="s">
        <v>1607</v>
      </c>
    </row>
    <row r="179" spans="1:4" x14ac:dyDescent="0.25">
      <c r="A179">
        <v>7003</v>
      </c>
      <c r="B179" t="s">
        <v>236</v>
      </c>
      <c r="C179" t="s">
        <v>1407</v>
      </c>
      <c r="D179" t="s">
        <v>1608</v>
      </c>
    </row>
    <row r="180" spans="1:4" x14ac:dyDescent="0.25">
      <c r="A180">
        <v>7004</v>
      </c>
      <c r="B180" t="s">
        <v>232</v>
      </c>
      <c r="C180" t="s">
        <v>1403</v>
      </c>
      <c r="D180" t="s">
        <v>1605</v>
      </c>
    </row>
    <row r="181" spans="1:4" x14ac:dyDescent="0.25">
      <c r="A181">
        <v>7007</v>
      </c>
      <c r="B181" t="s">
        <v>246</v>
      </c>
      <c r="C181" t="s">
        <v>1417</v>
      </c>
      <c r="D181" t="s">
        <v>1605</v>
      </c>
    </row>
    <row r="182" spans="1:4" x14ac:dyDescent="0.25">
      <c r="A182">
        <v>7008</v>
      </c>
      <c r="B182" t="s">
        <v>242</v>
      </c>
      <c r="C182" t="s">
        <v>1413</v>
      </c>
      <c r="D182" t="s">
        <v>1612</v>
      </c>
    </row>
    <row r="183" spans="1:4" x14ac:dyDescent="0.25">
      <c r="A183">
        <v>7010</v>
      </c>
      <c r="B183" t="s">
        <v>237</v>
      </c>
      <c r="C183" t="s">
        <v>1408</v>
      </c>
      <c r="D183" t="s">
        <v>1605</v>
      </c>
    </row>
    <row r="184" spans="1:4" x14ac:dyDescent="0.25">
      <c r="A184">
        <v>7011</v>
      </c>
      <c r="B184" t="s">
        <v>240</v>
      </c>
      <c r="C184" t="s">
        <v>1411</v>
      </c>
      <c r="D184" t="s">
        <v>1610</v>
      </c>
    </row>
    <row r="185" spans="1:4" x14ac:dyDescent="0.25">
      <c r="A185">
        <v>7013</v>
      </c>
      <c r="B185" t="s">
        <v>243</v>
      </c>
      <c r="C185" t="s">
        <v>1414</v>
      </c>
      <c r="D185" t="s">
        <v>1606</v>
      </c>
    </row>
    <row r="186" spans="1:4" x14ac:dyDescent="0.25">
      <c r="A186">
        <v>7014</v>
      </c>
      <c r="B186" t="s">
        <v>233</v>
      </c>
      <c r="C186" t="s">
        <v>1404</v>
      </c>
      <c r="D186" t="s">
        <v>1606</v>
      </c>
    </row>
    <row r="187" spans="1:4" x14ac:dyDescent="0.25">
      <c r="A187">
        <v>7015</v>
      </c>
      <c r="B187" t="s">
        <v>1661</v>
      </c>
      <c r="C187" t="s">
        <v>1406</v>
      </c>
      <c r="D187" t="s">
        <v>1607</v>
      </c>
    </row>
    <row r="188" spans="1:4" x14ac:dyDescent="0.25">
      <c r="A188">
        <v>7017</v>
      </c>
      <c r="B188" t="s">
        <v>239</v>
      </c>
      <c r="C188" t="s">
        <v>1410</v>
      </c>
      <c r="D188" t="s">
        <v>1610</v>
      </c>
    </row>
    <row r="189" spans="1:4" x14ac:dyDescent="0.25">
      <c r="A189">
        <v>7018</v>
      </c>
      <c r="B189" t="s">
        <v>241</v>
      </c>
      <c r="C189" t="s">
        <v>1412</v>
      </c>
      <c r="D189" t="s">
        <v>1611</v>
      </c>
    </row>
    <row r="190" spans="1:4" x14ac:dyDescent="0.25">
      <c r="A190">
        <v>7019</v>
      </c>
      <c r="B190" t="s">
        <v>245</v>
      </c>
      <c r="C190" t="s">
        <v>1416</v>
      </c>
      <c r="D190" t="s">
        <v>1611</v>
      </c>
    </row>
    <row r="191" spans="1:4" x14ac:dyDescent="0.25">
      <c r="A191">
        <v>7020</v>
      </c>
      <c r="B191" t="s">
        <v>244</v>
      </c>
      <c r="C191" t="s">
        <v>1415</v>
      </c>
      <c r="D191" t="s">
        <v>1611</v>
      </c>
    </row>
    <row r="192" spans="1:4" x14ac:dyDescent="0.25">
      <c r="A192">
        <v>7025</v>
      </c>
      <c r="B192" t="s">
        <v>1025</v>
      </c>
      <c r="C192" t="s">
        <v>1418</v>
      </c>
      <c r="D192" t="s">
        <v>1606</v>
      </c>
    </row>
    <row r="193" spans="1:4" x14ac:dyDescent="0.25">
      <c r="A193">
        <v>7027</v>
      </c>
      <c r="B193" t="s">
        <v>249</v>
      </c>
      <c r="C193" t="s">
        <v>1420</v>
      </c>
      <c r="D193" t="s">
        <v>1613</v>
      </c>
    </row>
    <row r="194" spans="1:4" x14ac:dyDescent="0.25">
      <c r="A194">
        <v>7034</v>
      </c>
      <c r="B194" t="s">
        <v>248</v>
      </c>
      <c r="C194" t="s">
        <v>1419</v>
      </c>
      <c r="D194" t="s">
        <v>1611</v>
      </c>
    </row>
    <row r="195" spans="1:4" x14ac:dyDescent="0.25">
      <c r="A195">
        <v>7035</v>
      </c>
      <c r="B195" t="s">
        <v>250</v>
      </c>
      <c r="C195" t="s">
        <v>1421</v>
      </c>
      <c r="D195" t="s">
        <v>1611</v>
      </c>
    </row>
    <row r="196" spans="1:4" x14ac:dyDescent="0.25">
      <c r="A196">
        <v>7036</v>
      </c>
      <c r="B196" t="s">
        <v>1757</v>
      </c>
      <c r="C196">
        <v>0</v>
      </c>
      <c r="D196" t="s">
        <v>1611</v>
      </c>
    </row>
    <row r="197" spans="1:4" x14ac:dyDescent="0.25">
      <c r="A197">
        <v>7037</v>
      </c>
      <c r="B197" t="s">
        <v>1758</v>
      </c>
      <c r="C197">
        <v>0</v>
      </c>
      <c r="D197" t="s">
        <v>1611</v>
      </c>
    </row>
    <row r="198" spans="1:4" x14ac:dyDescent="0.25">
      <c r="A198">
        <v>7038</v>
      </c>
      <c r="B198" t="s">
        <v>1651</v>
      </c>
      <c r="C198">
        <v>0</v>
      </c>
      <c r="D198" t="s">
        <v>1658</v>
      </c>
    </row>
    <row r="199" spans="1:4" x14ac:dyDescent="0.25">
      <c r="A199">
        <v>7039</v>
      </c>
      <c r="B199" t="s">
        <v>1654</v>
      </c>
      <c r="C199">
        <v>0</v>
      </c>
      <c r="D199" t="s">
        <v>1611</v>
      </c>
    </row>
    <row r="200" spans="1:4" x14ac:dyDescent="0.25">
      <c r="A200">
        <v>7040</v>
      </c>
      <c r="B200" t="s">
        <v>1652</v>
      </c>
      <c r="C200">
        <v>0</v>
      </c>
      <c r="D200" t="s">
        <v>1611</v>
      </c>
    </row>
    <row r="201" spans="1:4" x14ac:dyDescent="0.25">
      <c r="A201">
        <v>7041</v>
      </c>
      <c r="B201" t="s">
        <v>1650</v>
      </c>
      <c r="C201">
        <v>0</v>
      </c>
      <c r="D201" t="s">
        <v>1608</v>
      </c>
    </row>
    <row r="202" spans="1:4" x14ac:dyDescent="0.25">
      <c r="A202">
        <v>7042</v>
      </c>
      <c r="B202" t="s">
        <v>1759</v>
      </c>
      <c r="C202">
        <v>0</v>
      </c>
      <c r="D202" t="s">
        <v>1611</v>
      </c>
    </row>
    <row r="203" spans="1:4" x14ac:dyDescent="0.25">
      <c r="A203">
        <v>7043</v>
      </c>
      <c r="B203" t="s">
        <v>1676</v>
      </c>
      <c r="C203" t="s">
        <v>1788</v>
      </c>
      <c r="D203" t="s">
        <v>1609</v>
      </c>
    </row>
    <row r="204" spans="1:4" x14ac:dyDescent="0.25">
      <c r="A204">
        <v>7044</v>
      </c>
      <c r="B204" t="s">
        <v>1760</v>
      </c>
      <c r="C204" t="s">
        <v>1789</v>
      </c>
      <c r="D204" t="s">
        <v>1610</v>
      </c>
    </row>
    <row r="205" spans="1:4" x14ac:dyDescent="0.25">
      <c r="A205">
        <v>7045</v>
      </c>
      <c r="B205" t="s">
        <v>1761</v>
      </c>
      <c r="C205" t="s">
        <v>1790</v>
      </c>
      <c r="D205" t="s">
        <v>1791</v>
      </c>
    </row>
    <row r="206" spans="1:4" x14ac:dyDescent="0.25">
      <c r="A206">
        <v>7046</v>
      </c>
      <c r="B206" t="s">
        <v>1762</v>
      </c>
      <c r="C206" t="s">
        <v>1792</v>
      </c>
      <c r="D206" t="s">
        <v>1610</v>
      </c>
    </row>
    <row r="207" spans="1:4" x14ac:dyDescent="0.25">
      <c r="A207">
        <v>8002</v>
      </c>
      <c r="B207" t="s">
        <v>263</v>
      </c>
      <c r="C207" t="s">
        <v>1434</v>
      </c>
      <c r="D207" t="s">
        <v>1614</v>
      </c>
    </row>
    <row r="208" spans="1:4" x14ac:dyDescent="0.25">
      <c r="A208">
        <v>8003</v>
      </c>
      <c r="B208" t="s">
        <v>260</v>
      </c>
      <c r="C208" t="s">
        <v>1431</v>
      </c>
      <c r="D208" t="s">
        <v>1617</v>
      </c>
    </row>
    <row r="209" spans="1:4" x14ac:dyDescent="0.25">
      <c r="A209">
        <v>8004</v>
      </c>
      <c r="B209" t="s">
        <v>259</v>
      </c>
      <c r="C209" t="s">
        <v>1430</v>
      </c>
      <c r="D209" t="s">
        <v>1616</v>
      </c>
    </row>
    <row r="210" spans="1:4" x14ac:dyDescent="0.25">
      <c r="A210">
        <v>8005</v>
      </c>
      <c r="B210" t="s">
        <v>261</v>
      </c>
      <c r="C210" t="s">
        <v>1432</v>
      </c>
      <c r="D210" t="s">
        <v>1614</v>
      </c>
    </row>
    <row r="211" spans="1:4" x14ac:dyDescent="0.25">
      <c r="A211">
        <v>8006</v>
      </c>
      <c r="B211" t="s">
        <v>267</v>
      </c>
      <c r="C211" t="s">
        <v>1438</v>
      </c>
      <c r="D211" t="s">
        <v>1619</v>
      </c>
    </row>
    <row r="212" spans="1:4" x14ac:dyDescent="0.25">
      <c r="A212">
        <v>8007</v>
      </c>
      <c r="B212" t="s">
        <v>262</v>
      </c>
      <c r="C212" t="s">
        <v>1433</v>
      </c>
      <c r="D212" t="s">
        <v>1618</v>
      </c>
    </row>
    <row r="213" spans="1:4" x14ac:dyDescent="0.25">
      <c r="A213">
        <v>8008</v>
      </c>
      <c r="B213" t="s">
        <v>254</v>
      </c>
      <c r="C213" t="s">
        <v>1425</v>
      </c>
      <c r="D213" t="s">
        <v>1614</v>
      </c>
    </row>
    <row r="214" spans="1:4" x14ac:dyDescent="0.25">
      <c r="A214">
        <v>8009</v>
      </c>
      <c r="B214" t="s">
        <v>255</v>
      </c>
      <c r="C214" t="s">
        <v>1426</v>
      </c>
      <c r="D214" t="s">
        <v>1615</v>
      </c>
    </row>
    <row r="215" spans="1:4" x14ac:dyDescent="0.25">
      <c r="A215">
        <v>8010</v>
      </c>
      <c r="B215" t="s">
        <v>251</v>
      </c>
      <c r="C215" t="s">
        <v>1422</v>
      </c>
      <c r="D215" t="s">
        <v>1614</v>
      </c>
    </row>
    <row r="216" spans="1:4" x14ac:dyDescent="0.25">
      <c r="A216">
        <v>8011</v>
      </c>
      <c r="B216" t="s">
        <v>266</v>
      </c>
      <c r="C216" t="s">
        <v>1437</v>
      </c>
      <c r="D216" t="s">
        <v>1614</v>
      </c>
    </row>
    <row r="217" spans="1:4" x14ac:dyDescent="0.25">
      <c r="A217">
        <v>8013</v>
      </c>
      <c r="B217" t="s">
        <v>257</v>
      </c>
      <c r="C217" t="s">
        <v>1428</v>
      </c>
      <c r="D217" t="s">
        <v>1614</v>
      </c>
    </row>
    <row r="218" spans="1:4" x14ac:dyDescent="0.25">
      <c r="A218">
        <v>8014</v>
      </c>
      <c r="B218" t="s">
        <v>264</v>
      </c>
      <c r="C218" t="s">
        <v>1435</v>
      </c>
      <c r="D218" t="s">
        <v>1618</v>
      </c>
    </row>
    <row r="219" spans="1:4" x14ac:dyDescent="0.25">
      <c r="A219">
        <v>8015</v>
      </c>
      <c r="B219" t="s">
        <v>256</v>
      </c>
      <c r="C219" t="s">
        <v>1427</v>
      </c>
      <c r="D219" t="s">
        <v>1614</v>
      </c>
    </row>
    <row r="220" spans="1:4" x14ac:dyDescent="0.25">
      <c r="A220">
        <v>8016</v>
      </c>
      <c r="B220" t="s">
        <v>252</v>
      </c>
      <c r="C220" t="s">
        <v>1423</v>
      </c>
      <c r="D220" t="s">
        <v>1614</v>
      </c>
    </row>
    <row r="221" spans="1:4" x14ac:dyDescent="0.25">
      <c r="A221">
        <v>8017</v>
      </c>
      <c r="B221" t="s">
        <v>253</v>
      </c>
      <c r="C221" t="s">
        <v>1424</v>
      </c>
      <c r="D221" t="s">
        <v>1614</v>
      </c>
    </row>
    <row r="222" spans="1:4" x14ac:dyDescent="0.25">
      <c r="A222">
        <v>8018</v>
      </c>
      <c r="B222" t="s">
        <v>1033</v>
      </c>
      <c r="C222" t="s">
        <v>1429</v>
      </c>
      <c r="D222" t="s">
        <v>1615</v>
      </c>
    </row>
    <row r="223" spans="1:4" x14ac:dyDescent="0.25">
      <c r="A223">
        <v>8019</v>
      </c>
      <c r="B223" t="s">
        <v>1763</v>
      </c>
      <c r="C223" t="s">
        <v>1436</v>
      </c>
      <c r="D223" t="s">
        <v>1614</v>
      </c>
    </row>
    <row r="224" spans="1:4" x14ac:dyDescent="0.25">
      <c r="A224">
        <v>8021</v>
      </c>
      <c r="B224" t="s">
        <v>268</v>
      </c>
      <c r="C224" t="s">
        <v>1439</v>
      </c>
      <c r="D224" t="s">
        <v>1620</v>
      </c>
    </row>
    <row r="225" spans="1:4" x14ac:dyDescent="0.25">
      <c r="A225">
        <v>8022</v>
      </c>
      <c r="B225" t="s">
        <v>269</v>
      </c>
      <c r="C225" t="s">
        <v>1440</v>
      </c>
      <c r="D225" t="s">
        <v>1619</v>
      </c>
    </row>
    <row r="226" spans="1:4" x14ac:dyDescent="0.25">
      <c r="A226">
        <v>8023</v>
      </c>
      <c r="B226" t="s">
        <v>270</v>
      </c>
      <c r="C226" t="s">
        <v>1441</v>
      </c>
      <c r="D226" t="s">
        <v>1616</v>
      </c>
    </row>
    <row r="227" spans="1:4" x14ac:dyDescent="0.25">
      <c r="A227">
        <v>8024</v>
      </c>
      <c r="B227" t="s">
        <v>1764</v>
      </c>
      <c r="C227" t="s">
        <v>1442</v>
      </c>
      <c r="D227" t="s">
        <v>1614</v>
      </c>
    </row>
    <row r="228" spans="1:4" x14ac:dyDescent="0.25">
      <c r="A228">
        <v>8025</v>
      </c>
      <c r="B228" t="s">
        <v>272</v>
      </c>
      <c r="C228" t="s">
        <v>1443</v>
      </c>
      <c r="D228" t="s">
        <v>1621</v>
      </c>
    </row>
    <row r="229" spans="1:4" x14ac:dyDescent="0.25">
      <c r="A229">
        <v>8026</v>
      </c>
      <c r="B229" t="s">
        <v>1679</v>
      </c>
      <c r="C229" t="s">
        <v>1793</v>
      </c>
      <c r="D229" t="s">
        <v>1618</v>
      </c>
    </row>
    <row r="230" spans="1:4" x14ac:dyDescent="0.25">
      <c r="A230">
        <v>8027</v>
      </c>
      <c r="B230" t="s">
        <v>1765</v>
      </c>
      <c r="C230" t="s">
        <v>1794</v>
      </c>
      <c r="D230" t="s">
        <v>1618</v>
      </c>
    </row>
    <row r="231" spans="1:4" x14ac:dyDescent="0.25">
      <c r="A231">
        <v>9001</v>
      </c>
      <c r="B231" t="s">
        <v>275</v>
      </c>
      <c r="C231" t="s">
        <v>1446</v>
      </c>
      <c r="D231" t="s">
        <v>1622</v>
      </c>
    </row>
    <row r="232" spans="1:4" x14ac:dyDescent="0.25">
      <c r="A232">
        <v>9002</v>
      </c>
      <c r="B232" t="s">
        <v>281</v>
      </c>
      <c r="C232" t="s">
        <v>1452</v>
      </c>
      <c r="D232" t="s">
        <v>1622</v>
      </c>
    </row>
    <row r="233" spans="1:4" x14ac:dyDescent="0.25">
      <c r="A233">
        <v>9003</v>
      </c>
      <c r="B233" t="s">
        <v>282</v>
      </c>
      <c r="C233" t="s">
        <v>1453</v>
      </c>
      <c r="D233" t="s">
        <v>1622</v>
      </c>
    </row>
    <row r="234" spans="1:4" x14ac:dyDescent="0.25">
      <c r="A234">
        <v>9004</v>
      </c>
      <c r="B234" t="s">
        <v>278</v>
      </c>
      <c r="C234" t="s">
        <v>1449</v>
      </c>
      <c r="D234" t="s">
        <v>1622</v>
      </c>
    </row>
    <row r="235" spans="1:4" x14ac:dyDescent="0.25">
      <c r="A235">
        <v>9007</v>
      </c>
      <c r="B235" t="s">
        <v>283</v>
      </c>
      <c r="C235" t="s">
        <v>1454</v>
      </c>
      <c r="D235" t="s">
        <v>1622</v>
      </c>
    </row>
    <row r="236" spans="1:4" x14ac:dyDescent="0.25">
      <c r="A236">
        <v>9008</v>
      </c>
      <c r="B236" t="s">
        <v>273</v>
      </c>
      <c r="C236" t="s">
        <v>1444</v>
      </c>
      <c r="D236" t="s">
        <v>1622</v>
      </c>
    </row>
    <row r="237" spans="1:4" x14ac:dyDescent="0.25">
      <c r="A237">
        <v>9009</v>
      </c>
      <c r="B237" t="s">
        <v>274</v>
      </c>
      <c r="C237" t="s">
        <v>1445</v>
      </c>
      <c r="D237" t="s">
        <v>1622</v>
      </c>
    </row>
    <row r="238" spans="1:4" x14ac:dyDescent="0.25">
      <c r="A238">
        <v>9010</v>
      </c>
      <c r="B238" t="s">
        <v>279</v>
      </c>
      <c r="C238" t="s">
        <v>1450</v>
      </c>
      <c r="D238" t="s">
        <v>1622</v>
      </c>
    </row>
    <row r="239" spans="1:4" x14ac:dyDescent="0.25">
      <c r="A239">
        <v>9011</v>
      </c>
      <c r="B239" t="s">
        <v>280</v>
      </c>
      <c r="C239" t="s">
        <v>1451</v>
      </c>
      <c r="D239" t="s">
        <v>1622</v>
      </c>
    </row>
    <row r="240" spans="1:4" x14ac:dyDescent="0.25">
      <c r="A240">
        <v>9012</v>
      </c>
      <c r="B240" t="s">
        <v>277</v>
      </c>
      <c r="C240" t="s">
        <v>1448</v>
      </c>
      <c r="D240" t="s">
        <v>1622</v>
      </c>
    </row>
    <row r="241" spans="1:4" x14ac:dyDescent="0.25">
      <c r="A241">
        <v>9013</v>
      </c>
      <c r="B241" t="s">
        <v>1048</v>
      </c>
      <c r="C241" t="s">
        <v>1447</v>
      </c>
      <c r="D241" t="s">
        <v>1623</v>
      </c>
    </row>
    <row r="242" spans="1:4" x14ac:dyDescent="0.25">
      <c r="A242">
        <v>9014</v>
      </c>
      <c r="B242" t="s">
        <v>284</v>
      </c>
      <c r="C242" t="s">
        <v>1455</v>
      </c>
      <c r="D242" t="s">
        <v>1624</v>
      </c>
    </row>
    <row r="243" spans="1:4" x14ac:dyDescent="0.25">
      <c r="A243">
        <v>9017</v>
      </c>
      <c r="B243" t="s">
        <v>1057</v>
      </c>
      <c r="C243" t="s">
        <v>1456</v>
      </c>
      <c r="D243" t="s">
        <v>1622</v>
      </c>
    </row>
    <row r="244" spans="1:4" x14ac:dyDescent="0.25">
      <c r="A244">
        <v>9018</v>
      </c>
      <c r="B244" t="s">
        <v>286</v>
      </c>
      <c r="C244" t="s">
        <v>1457</v>
      </c>
      <c r="D244" t="s">
        <v>1624</v>
      </c>
    </row>
    <row r="245" spans="1:4" x14ac:dyDescent="0.25">
      <c r="A245">
        <v>9019</v>
      </c>
      <c r="B245" t="s">
        <v>287</v>
      </c>
      <c r="C245" t="s">
        <v>1458</v>
      </c>
      <c r="D245" t="s">
        <v>1624</v>
      </c>
    </row>
    <row r="246" spans="1:4" x14ac:dyDescent="0.25">
      <c r="A246">
        <v>9020</v>
      </c>
      <c r="B246" t="s">
        <v>288</v>
      </c>
      <c r="C246" t="s">
        <v>1459</v>
      </c>
      <c r="D246" t="s">
        <v>1622</v>
      </c>
    </row>
    <row r="247" spans="1:4" x14ac:dyDescent="0.25">
      <c r="A247">
        <v>9021</v>
      </c>
      <c r="B247" t="s">
        <v>289</v>
      </c>
      <c r="C247" t="s">
        <v>1460</v>
      </c>
      <c r="D247" t="s">
        <v>1625</v>
      </c>
    </row>
    <row r="248" spans="1:4" x14ac:dyDescent="0.25">
      <c r="A248">
        <v>9022</v>
      </c>
      <c r="B248" t="s">
        <v>290</v>
      </c>
      <c r="C248" t="s">
        <v>1461</v>
      </c>
      <c r="D248" t="s">
        <v>1625</v>
      </c>
    </row>
    <row r="249" spans="1:4" x14ac:dyDescent="0.25">
      <c r="A249">
        <v>9023</v>
      </c>
      <c r="B249" t="s">
        <v>291</v>
      </c>
      <c r="C249" t="s">
        <v>1462</v>
      </c>
      <c r="D249" t="s">
        <v>1624</v>
      </c>
    </row>
    <row r="250" spans="1:4" x14ac:dyDescent="0.25">
      <c r="A250">
        <v>9024</v>
      </c>
      <c r="B250" t="s">
        <v>292</v>
      </c>
      <c r="C250" t="s">
        <v>1463</v>
      </c>
      <c r="D250" t="s">
        <v>1625</v>
      </c>
    </row>
    <row r="251" spans="1:4" x14ac:dyDescent="0.25">
      <c r="A251">
        <v>9025</v>
      </c>
      <c r="B251" t="s">
        <v>1637</v>
      </c>
      <c r="C251" t="s">
        <v>1640</v>
      </c>
      <c r="D251" t="s">
        <v>1622</v>
      </c>
    </row>
    <row r="252" spans="1:4" x14ac:dyDescent="0.25">
      <c r="A252">
        <v>9026</v>
      </c>
      <c r="B252" t="s">
        <v>1636</v>
      </c>
      <c r="C252" t="s">
        <v>1638</v>
      </c>
      <c r="D252" t="s">
        <v>1624</v>
      </c>
    </row>
    <row r="253" spans="1:4" x14ac:dyDescent="0.25">
      <c r="A253">
        <v>9027</v>
      </c>
      <c r="B253" t="s">
        <v>1647</v>
      </c>
      <c r="C253" t="s">
        <v>1643</v>
      </c>
      <c r="D253" t="s">
        <v>1624</v>
      </c>
    </row>
    <row r="254" spans="1:4" x14ac:dyDescent="0.25">
      <c r="A254">
        <v>9028</v>
      </c>
      <c r="B254" t="s">
        <v>1642</v>
      </c>
      <c r="C254" t="s">
        <v>1645</v>
      </c>
      <c r="D254" t="s">
        <v>1622</v>
      </c>
    </row>
    <row r="255" spans="1:4" x14ac:dyDescent="0.25">
      <c r="A255">
        <v>9029</v>
      </c>
      <c r="B255" t="s">
        <v>1681</v>
      </c>
      <c r="C255" t="s">
        <v>1795</v>
      </c>
      <c r="D255" t="s">
        <v>1622</v>
      </c>
    </row>
    <row r="256" spans="1:4" x14ac:dyDescent="0.25">
      <c r="A256">
        <v>9030</v>
      </c>
      <c r="B256" t="s">
        <v>1682</v>
      </c>
      <c r="C256" t="s">
        <v>1796</v>
      </c>
      <c r="D256" t="s">
        <v>1622</v>
      </c>
    </row>
    <row r="257" spans="1:4" x14ac:dyDescent="0.25">
      <c r="A257">
        <v>9031</v>
      </c>
      <c r="B257" t="s">
        <v>1683</v>
      </c>
      <c r="C257" t="s">
        <v>1797</v>
      </c>
      <c r="D257" t="s">
        <v>1622</v>
      </c>
    </row>
    <row r="258" spans="1:4" x14ac:dyDescent="0.25">
      <c r="A258">
        <v>9032</v>
      </c>
      <c r="B258" t="s">
        <v>1684</v>
      </c>
      <c r="C258" t="s">
        <v>1798</v>
      </c>
      <c r="D258" t="s">
        <v>1622</v>
      </c>
    </row>
    <row r="259" spans="1:4" x14ac:dyDescent="0.25">
      <c r="A259">
        <v>9033</v>
      </c>
      <c r="B259" t="s">
        <v>1685</v>
      </c>
      <c r="C259" t="s">
        <v>1799</v>
      </c>
      <c r="D259" t="s">
        <v>1622</v>
      </c>
    </row>
    <row r="260" spans="1:4" x14ac:dyDescent="0.25">
      <c r="A260">
        <v>9034</v>
      </c>
      <c r="B260" t="s">
        <v>1686</v>
      </c>
      <c r="C260" t="s">
        <v>1800</v>
      </c>
      <c r="D260" t="s">
        <v>1622</v>
      </c>
    </row>
    <row r="261" spans="1:4" x14ac:dyDescent="0.25">
      <c r="A261">
        <v>9035</v>
      </c>
      <c r="B261" t="s">
        <v>1687</v>
      </c>
      <c r="C261" t="s">
        <v>1801</v>
      </c>
      <c r="D261" t="s">
        <v>1622</v>
      </c>
    </row>
    <row r="262" spans="1:4" x14ac:dyDescent="0.25">
      <c r="A262">
        <v>9036</v>
      </c>
      <c r="B262" t="s">
        <v>1688</v>
      </c>
      <c r="C262" t="s">
        <v>1802</v>
      </c>
      <c r="D262" t="s">
        <v>1803</v>
      </c>
    </row>
    <row r="263" spans="1:4" x14ac:dyDescent="0.25">
      <c r="A263">
        <v>9037</v>
      </c>
      <c r="B263" t="s">
        <v>1689</v>
      </c>
      <c r="C263" t="s">
        <v>1804</v>
      </c>
      <c r="D263" t="s">
        <v>1622</v>
      </c>
    </row>
    <row r="264" spans="1:4" x14ac:dyDescent="0.25">
      <c r="A264">
        <v>9038</v>
      </c>
      <c r="B264" t="s">
        <v>1690</v>
      </c>
      <c r="C264" t="s">
        <v>1805</v>
      </c>
      <c r="D264" t="s">
        <v>1624</v>
      </c>
    </row>
    <row r="265" spans="1:4" x14ac:dyDescent="0.25">
      <c r="A265">
        <v>9039</v>
      </c>
      <c r="B265" t="s">
        <v>1691</v>
      </c>
      <c r="C265" t="s">
        <v>1806</v>
      </c>
      <c r="D265" t="s">
        <v>1622</v>
      </c>
    </row>
    <row r="266" spans="1:4" x14ac:dyDescent="0.25">
      <c r="A266">
        <v>9040</v>
      </c>
      <c r="B266" t="s">
        <v>1692</v>
      </c>
      <c r="C266" t="s">
        <v>1807</v>
      </c>
      <c r="D266" t="s">
        <v>1624</v>
      </c>
    </row>
    <row r="267" spans="1:4" x14ac:dyDescent="0.25">
      <c r="A267">
        <v>9041</v>
      </c>
      <c r="B267" t="s">
        <v>1693</v>
      </c>
      <c r="C267" t="s">
        <v>1808</v>
      </c>
      <c r="D267" t="s">
        <v>1622</v>
      </c>
    </row>
    <row r="268" spans="1:4" x14ac:dyDescent="0.25">
      <c r="A268">
        <v>9042</v>
      </c>
      <c r="B268" t="s">
        <v>1694</v>
      </c>
      <c r="C268" t="s">
        <v>1809</v>
      </c>
      <c r="D268" t="s">
        <v>1622</v>
      </c>
    </row>
    <row r="269" spans="1:4" x14ac:dyDescent="0.25">
      <c r="A269">
        <v>9043</v>
      </c>
      <c r="B269" t="s">
        <v>1695</v>
      </c>
      <c r="C269" t="s">
        <v>1810</v>
      </c>
      <c r="D269" t="s">
        <v>1803</v>
      </c>
    </row>
    <row r="270" spans="1:4" x14ac:dyDescent="0.25">
      <c r="A270">
        <v>9044</v>
      </c>
      <c r="B270" t="s">
        <v>1696</v>
      </c>
      <c r="C270" t="s">
        <v>1811</v>
      </c>
      <c r="D270" t="s">
        <v>1803</v>
      </c>
    </row>
    <row r="271" spans="1:4" x14ac:dyDescent="0.25">
      <c r="A271">
        <v>9045</v>
      </c>
      <c r="B271" t="s">
        <v>1697</v>
      </c>
      <c r="C271" t="s">
        <v>1812</v>
      </c>
      <c r="D271" t="s">
        <v>1622</v>
      </c>
    </row>
    <row r="272" spans="1:4" x14ac:dyDescent="0.25">
      <c r="A272">
        <v>9046</v>
      </c>
      <c r="B272" t="s">
        <v>1698</v>
      </c>
      <c r="C272" t="s">
        <v>1813</v>
      </c>
      <c r="D272" t="s">
        <v>1623</v>
      </c>
    </row>
    <row r="273" spans="1:4" x14ac:dyDescent="0.25">
      <c r="A273">
        <v>10001</v>
      </c>
      <c r="B273" t="s">
        <v>339</v>
      </c>
      <c r="C273" t="s">
        <v>1511</v>
      </c>
      <c r="D273" t="s">
        <v>1626</v>
      </c>
    </row>
    <row r="274" spans="1:4" x14ac:dyDescent="0.25">
      <c r="A274">
        <v>10004</v>
      </c>
      <c r="B274" t="s">
        <v>337</v>
      </c>
      <c r="C274" t="s">
        <v>1509</v>
      </c>
      <c r="D274" t="s">
        <v>1626</v>
      </c>
    </row>
    <row r="275" spans="1:4" x14ac:dyDescent="0.25">
      <c r="A275">
        <v>10005</v>
      </c>
      <c r="B275" t="s">
        <v>318</v>
      </c>
      <c r="C275" t="s">
        <v>1490</v>
      </c>
      <c r="D275" t="s">
        <v>1630</v>
      </c>
    </row>
    <row r="276" spans="1:4" x14ac:dyDescent="0.25">
      <c r="A276">
        <v>10006</v>
      </c>
      <c r="B276" t="s">
        <v>328</v>
      </c>
      <c r="C276" t="s">
        <v>1500</v>
      </c>
      <c r="D276" t="s">
        <v>1626</v>
      </c>
    </row>
    <row r="277" spans="1:4" x14ac:dyDescent="0.25">
      <c r="A277">
        <v>10008</v>
      </c>
      <c r="B277" t="s">
        <v>317</v>
      </c>
      <c r="C277" t="s">
        <v>1489</v>
      </c>
      <c r="D277" t="s">
        <v>1626</v>
      </c>
    </row>
    <row r="278" spans="1:4" x14ac:dyDescent="0.25">
      <c r="A278">
        <v>10009</v>
      </c>
      <c r="B278" t="s">
        <v>344</v>
      </c>
      <c r="C278" t="s">
        <v>1516</v>
      </c>
      <c r="D278" t="s">
        <v>1629</v>
      </c>
    </row>
    <row r="279" spans="1:4" x14ac:dyDescent="0.25">
      <c r="A279">
        <v>10010</v>
      </c>
      <c r="B279" t="s">
        <v>336</v>
      </c>
      <c r="C279" t="s">
        <v>1508</v>
      </c>
      <c r="D279" t="s">
        <v>1626</v>
      </c>
    </row>
    <row r="280" spans="1:4" x14ac:dyDescent="0.25">
      <c r="A280">
        <v>10011</v>
      </c>
      <c r="B280" t="s">
        <v>348</v>
      </c>
      <c r="C280" t="s">
        <v>1520</v>
      </c>
      <c r="D280" t="s">
        <v>1626</v>
      </c>
    </row>
    <row r="281" spans="1:4" x14ac:dyDescent="0.25">
      <c r="A281">
        <v>10013</v>
      </c>
      <c r="B281" t="s">
        <v>334</v>
      </c>
      <c r="C281" t="s">
        <v>1506</v>
      </c>
      <c r="D281" t="s">
        <v>1626</v>
      </c>
    </row>
    <row r="282" spans="1:4" x14ac:dyDescent="0.25">
      <c r="A282">
        <v>10014</v>
      </c>
      <c r="B282" t="s">
        <v>323</v>
      </c>
      <c r="C282" t="s">
        <v>1495</v>
      </c>
      <c r="D282" t="s">
        <v>1630</v>
      </c>
    </row>
    <row r="283" spans="1:4" x14ac:dyDescent="0.25">
      <c r="A283">
        <v>10018</v>
      </c>
      <c r="B283" t="s">
        <v>330</v>
      </c>
      <c r="C283" t="s">
        <v>1502</v>
      </c>
      <c r="D283" t="s">
        <v>1629</v>
      </c>
    </row>
    <row r="284" spans="1:4" x14ac:dyDescent="0.25">
      <c r="A284">
        <v>10019</v>
      </c>
      <c r="B284" t="s">
        <v>335</v>
      </c>
      <c r="C284" t="s">
        <v>1507</v>
      </c>
      <c r="D284" t="s">
        <v>1626</v>
      </c>
    </row>
    <row r="285" spans="1:4" x14ac:dyDescent="0.25">
      <c r="A285">
        <v>10020</v>
      </c>
      <c r="B285" t="s">
        <v>296</v>
      </c>
      <c r="C285" t="s">
        <v>1468</v>
      </c>
      <c r="D285" t="s">
        <v>1626</v>
      </c>
    </row>
    <row r="286" spans="1:4" x14ac:dyDescent="0.25">
      <c r="A286">
        <v>10022</v>
      </c>
      <c r="B286" t="s">
        <v>294</v>
      </c>
      <c r="C286" t="s">
        <v>1465</v>
      </c>
      <c r="D286" t="s">
        <v>1627</v>
      </c>
    </row>
    <row r="287" spans="1:4" x14ac:dyDescent="0.25">
      <c r="A287">
        <v>10023</v>
      </c>
      <c r="B287" t="s">
        <v>331</v>
      </c>
      <c r="C287" t="s">
        <v>1503</v>
      </c>
      <c r="D287" t="s">
        <v>1626</v>
      </c>
    </row>
    <row r="288" spans="1:4" x14ac:dyDescent="0.25">
      <c r="A288">
        <v>10024</v>
      </c>
      <c r="B288" t="s">
        <v>320</v>
      </c>
      <c r="C288" t="s">
        <v>1492</v>
      </c>
      <c r="D288" t="s">
        <v>1626</v>
      </c>
    </row>
    <row r="289" spans="1:4" x14ac:dyDescent="0.25">
      <c r="A289">
        <v>10026</v>
      </c>
      <c r="B289" t="s">
        <v>326</v>
      </c>
      <c r="C289" t="s">
        <v>1498</v>
      </c>
      <c r="D289" t="s">
        <v>1627</v>
      </c>
    </row>
    <row r="290" spans="1:4" x14ac:dyDescent="0.25">
      <c r="A290">
        <v>10027</v>
      </c>
      <c r="B290" t="s">
        <v>305</v>
      </c>
      <c r="C290" t="s">
        <v>1477</v>
      </c>
      <c r="D290" t="s">
        <v>1626</v>
      </c>
    </row>
    <row r="291" spans="1:4" x14ac:dyDescent="0.25">
      <c r="A291">
        <v>10028</v>
      </c>
      <c r="B291" t="s">
        <v>304</v>
      </c>
      <c r="C291" t="s">
        <v>1476</v>
      </c>
      <c r="D291" t="s">
        <v>1626</v>
      </c>
    </row>
    <row r="292" spans="1:4" x14ac:dyDescent="0.25">
      <c r="A292">
        <v>10029</v>
      </c>
      <c r="B292" t="s">
        <v>293</v>
      </c>
      <c r="C292" t="s">
        <v>1464</v>
      </c>
      <c r="D292" t="s">
        <v>1626</v>
      </c>
    </row>
    <row r="293" spans="1:4" x14ac:dyDescent="0.25">
      <c r="A293">
        <v>10030</v>
      </c>
      <c r="B293" t="s">
        <v>343</v>
      </c>
      <c r="C293" t="s">
        <v>1515</v>
      </c>
      <c r="D293" t="s">
        <v>1630</v>
      </c>
    </row>
    <row r="294" spans="1:4" x14ac:dyDescent="0.25">
      <c r="A294">
        <v>10032</v>
      </c>
      <c r="B294" t="s">
        <v>321</v>
      </c>
      <c r="C294" t="s">
        <v>1493</v>
      </c>
      <c r="D294" t="s">
        <v>1626</v>
      </c>
    </row>
    <row r="295" spans="1:4" x14ac:dyDescent="0.25">
      <c r="A295">
        <v>10033</v>
      </c>
      <c r="B295" t="s">
        <v>347</v>
      </c>
      <c r="C295" t="s">
        <v>1519</v>
      </c>
      <c r="D295" t="s">
        <v>1629</v>
      </c>
    </row>
    <row r="296" spans="1:4" x14ac:dyDescent="0.25">
      <c r="A296">
        <v>10034</v>
      </c>
      <c r="B296" t="s">
        <v>345</v>
      </c>
      <c r="C296" t="s">
        <v>1517</v>
      </c>
      <c r="D296" t="s">
        <v>1626</v>
      </c>
    </row>
    <row r="297" spans="1:4" x14ac:dyDescent="0.25">
      <c r="A297">
        <v>10035</v>
      </c>
      <c r="B297" t="s">
        <v>338</v>
      </c>
      <c r="C297" t="s">
        <v>1510</v>
      </c>
      <c r="D297" t="s">
        <v>1629</v>
      </c>
    </row>
    <row r="298" spans="1:4" x14ac:dyDescent="0.25">
      <c r="A298">
        <v>10036</v>
      </c>
      <c r="B298" t="s">
        <v>1060</v>
      </c>
      <c r="C298" t="s">
        <v>1466</v>
      </c>
      <c r="D298" t="s">
        <v>1626</v>
      </c>
    </row>
    <row r="299" spans="1:4" x14ac:dyDescent="0.25">
      <c r="A299">
        <v>10037</v>
      </c>
      <c r="B299" t="s">
        <v>295</v>
      </c>
      <c r="C299" t="s">
        <v>1467</v>
      </c>
      <c r="D299" t="s">
        <v>1626</v>
      </c>
    </row>
    <row r="300" spans="1:4" x14ac:dyDescent="0.25">
      <c r="A300">
        <v>10039</v>
      </c>
      <c r="B300" t="s">
        <v>342</v>
      </c>
      <c r="C300" t="s">
        <v>1514</v>
      </c>
      <c r="D300" t="s">
        <v>1626</v>
      </c>
    </row>
    <row r="301" spans="1:4" x14ac:dyDescent="0.25">
      <c r="A301">
        <v>10040</v>
      </c>
      <c r="B301" t="s">
        <v>300</v>
      </c>
      <c r="C301" t="s">
        <v>1472</v>
      </c>
      <c r="D301" t="s">
        <v>1629</v>
      </c>
    </row>
    <row r="302" spans="1:4" x14ac:dyDescent="0.25">
      <c r="A302">
        <v>10041</v>
      </c>
      <c r="B302" t="s">
        <v>302</v>
      </c>
      <c r="C302" t="s">
        <v>1474</v>
      </c>
      <c r="D302" t="s">
        <v>1626</v>
      </c>
    </row>
    <row r="303" spans="1:4" x14ac:dyDescent="0.25">
      <c r="A303">
        <v>10042</v>
      </c>
      <c r="B303" t="s">
        <v>301</v>
      </c>
      <c r="C303" t="s">
        <v>1473</v>
      </c>
      <c r="D303" t="s">
        <v>1629</v>
      </c>
    </row>
    <row r="304" spans="1:4" x14ac:dyDescent="0.25">
      <c r="A304">
        <v>10043</v>
      </c>
      <c r="B304" t="s">
        <v>303</v>
      </c>
      <c r="C304" t="s">
        <v>1475</v>
      </c>
      <c r="D304" t="s">
        <v>1627</v>
      </c>
    </row>
    <row r="305" spans="1:4" x14ac:dyDescent="0.25">
      <c r="A305">
        <v>10044</v>
      </c>
      <c r="B305" t="s">
        <v>319</v>
      </c>
      <c r="C305" t="s">
        <v>1491</v>
      </c>
      <c r="D305" t="s">
        <v>1626</v>
      </c>
    </row>
    <row r="306" spans="1:4" x14ac:dyDescent="0.25">
      <c r="A306">
        <v>10045</v>
      </c>
      <c r="B306" t="s">
        <v>340</v>
      </c>
      <c r="C306" t="s">
        <v>1512</v>
      </c>
      <c r="D306" t="s">
        <v>1626</v>
      </c>
    </row>
    <row r="307" spans="1:4" x14ac:dyDescent="0.25">
      <c r="A307">
        <v>10046</v>
      </c>
      <c r="B307" t="s">
        <v>310</v>
      </c>
      <c r="C307" t="s">
        <v>1482</v>
      </c>
      <c r="D307" t="s">
        <v>1629</v>
      </c>
    </row>
    <row r="308" spans="1:4" x14ac:dyDescent="0.25">
      <c r="A308">
        <v>10047</v>
      </c>
      <c r="B308" t="s">
        <v>298</v>
      </c>
      <c r="C308" t="s">
        <v>1470</v>
      </c>
      <c r="D308" t="s">
        <v>1626</v>
      </c>
    </row>
    <row r="309" spans="1:4" x14ac:dyDescent="0.25">
      <c r="A309">
        <v>10051</v>
      </c>
      <c r="B309" t="s">
        <v>312</v>
      </c>
      <c r="C309" t="s">
        <v>1484</v>
      </c>
      <c r="D309" t="s">
        <v>1630</v>
      </c>
    </row>
    <row r="310" spans="1:4" x14ac:dyDescent="0.25">
      <c r="A310">
        <v>10052</v>
      </c>
      <c r="B310" t="s">
        <v>1766</v>
      </c>
      <c r="C310" t="s">
        <v>1485</v>
      </c>
      <c r="D310" t="s">
        <v>1628</v>
      </c>
    </row>
    <row r="311" spans="1:4" x14ac:dyDescent="0.25">
      <c r="A311">
        <v>10053</v>
      </c>
      <c r="B311" t="s">
        <v>315</v>
      </c>
      <c r="C311" t="s">
        <v>1487</v>
      </c>
      <c r="D311" t="s">
        <v>1626</v>
      </c>
    </row>
    <row r="312" spans="1:4" x14ac:dyDescent="0.25">
      <c r="A312">
        <v>10054</v>
      </c>
      <c r="B312" t="s">
        <v>306</v>
      </c>
      <c r="C312" t="s">
        <v>1478</v>
      </c>
      <c r="D312" t="s">
        <v>1626</v>
      </c>
    </row>
    <row r="313" spans="1:4" x14ac:dyDescent="0.25">
      <c r="A313">
        <v>10055</v>
      </c>
      <c r="B313" t="s">
        <v>341</v>
      </c>
      <c r="C313" t="s">
        <v>1513</v>
      </c>
      <c r="D313" t="s">
        <v>1629</v>
      </c>
    </row>
    <row r="314" spans="1:4" x14ac:dyDescent="0.25">
      <c r="A314">
        <v>10056</v>
      </c>
      <c r="B314" t="s">
        <v>333</v>
      </c>
      <c r="C314" t="s">
        <v>1505</v>
      </c>
      <c r="D314" t="s">
        <v>1626</v>
      </c>
    </row>
    <row r="315" spans="1:4" x14ac:dyDescent="0.25">
      <c r="A315">
        <v>10057</v>
      </c>
      <c r="B315" t="s">
        <v>299</v>
      </c>
      <c r="C315" t="s">
        <v>1471</v>
      </c>
      <c r="D315" t="s">
        <v>1627</v>
      </c>
    </row>
    <row r="316" spans="1:4" x14ac:dyDescent="0.25">
      <c r="A316">
        <v>10058</v>
      </c>
      <c r="B316" t="s">
        <v>329</v>
      </c>
      <c r="C316" t="s">
        <v>1501</v>
      </c>
      <c r="D316" t="s">
        <v>1629</v>
      </c>
    </row>
    <row r="317" spans="1:4" x14ac:dyDescent="0.25">
      <c r="A317">
        <v>10059</v>
      </c>
      <c r="B317" t="s">
        <v>322</v>
      </c>
      <c r="C317" t="s">
        <v>1494</v>
      </c>
      <c r="D317" t="s">
        <v>1626</v>
      </c>
    </row>
    <row r="318" spans="1:4" x14ac:dyDescent="0.25">
      <c r="A318">
        <v>10060</v>
      </c>
      <c r="B318" t="s">
        <v>316</v>
      </c>
      <c r="C318" t="s">
        <v>1488</v>
      </c>
      <c r="D318" t="s">
        <v>1626</v>
      </c>
    </row>
    <row r="319" spans="1:4" x14ac:dyDescent="0.25">
      <c r="A319">
        <v>10061</v>
      </c>
      <c r="B319" t="s">
        <v>314</v>
      </c>
      <c r="C319" t="s">
        <v>1486</v>
      </c>
      <c r="D319" t="s">
        <v>1626</v>
      </c>
    </row>
    <row r="320" spans="1:4" x14ac:dyDescent="0.25">
      <c r="A320">
        <v>10062</v>
      </c>
      <c r="B320" t="s">
        <v>297</v>
      </c>
      <c r="C320" t="s">
        <v>1469</v>
      </c>
      <c r="D320" t="s">
        <v>1628</v>
      </c>
    </row>
    <row r="321" spans="1:4" x14ac:dyDescent="0.25">
      <c r="A321">
        <v>10063</v>
      </c>
      <c r="B321" t="s">
        <v>325</v>
      </c>
      <c r="C321" t="s">
        <v>1497</v>
      </c>
      <c r="D321" t="s">
        <v>1628</v>
      </c>
    </row>
    <row r="322" spans="1:4" x14ac:dyDescent="0.25">
      <c r="A322">
        <v>10064</v>
      </c>
      <c r="B322" t="s">
        <v>309</v>
      </c>
      <c r="C322" t="s">
        <v>1481</v>
      </c>
      <c r="D322" t="s">
        <v>1627</v>
      </c>
    </row>
    <row r="323" spans="1:4" x14ac:dyDescent="0.25">
      <c r="A323">
        <v>10065</v>
      </c>
      <c r="B323" t="s">
        <v>1767</v>
      </c>
      <c r="C323" t="s">
        <v>1504</v>
      </c>
      <c r="D323" t="s">
        <v>1629</v>
      </c>
    </row>
    <row r="324" spans="1:4" x14ac:dyDescent="0.25">
      <c r="A324">
        <v>10066</v>
      </c>
      <c r="B324" t="s">
        <v>308</v>
      </c>
      <c r="C324" t="s">
        <v>1480</v>
      </c>
      <c r="D324" t="s">
        <v>1626</v>
      </c>
    </row>
    <row r="325" spans="1:4" x14ac:dyDescent="0.25">
      <c r="A325">
        <v>10067</v>
      </c>
      <c r="B325" t="s">
        <v>307</v>
      </c>
      <c r="C325" t="s">
        <v>1479</v>
      </c>
      <c r="D325" t="s">
        <v>1626</v>
      </c>
    </row>
    <row r="326" spans="1:4" x14ac:dyDescent="0.25">
      <c r="A326">
        <v>10068</v>
      </c>
      <c r="B326" t="s">
        <v>324</v>
      </c>
      <c r="C326" t="s">
        <v>1496</v>
      </c>
      <c r="D326" t="s">
        <v>1628</v>
      </c>
    </row>
    <row r="327" spans="1:4" x14ac:dyDescent="0.25">
      <c r="A327">
        <v>10069</v>
      </c>
      <c r="B327" t="s">
        <v>327</v>
      </c>
      <c r="C327" t="s">
        <v>1499</v>
      </c>
      <c r="D327" t="s">
        <v>1627</v>
      </c>
    </row>
    <row r="328" spans="1:4" x14ac:dyDescent="0.25">
      <c r="A328">
        <v>10070</v>
      </c>
      <c r="B328" t="s">
        <v>1112</v>
      </c>
      <c r="C328" t="s">
        <v>1518</v>
      </c>
      <c r="D328" t="s">
        <v>1626</v>
      </c>
    </row>
    <row r="329" spans="1:4" x14ac:dyDescent="0.25">
      <c r="A329">
        <v>10071</v>
      </c>
      <c r="B329" t="s">
        <v>349</v>
      </c>
      <c r="C329" t="s">
        <v>1521</v>
      </c>
      <c r="D329" t="s">
        <v>1630</v>
      </c>
    </row>
    <row r="330" spans="1:4" x14ac:dyDescent="0.25">
      <c r="A330">
        <v>10072</v>
      </c>
      <c r="B330" t="s">
        <v>350</v>
      </c>
      <c r="C330" t="s">
        <v>1522</v>
      </c>
      <c r="D330" t="s">
        <v>1630</v>
      </c>
    </row>
    <row r="331" spans="1:4" x14ac:dyDescent="0.25">
      <c r="A331">
        <v>10073</v>
      </c>
      <c r="B331" t="s">
        <v>352</v>
      </c>
      <c r="C331" t="s">
        <v>1524</v>
      </c>
      <c r="D331" t="s">
        <v>1628</v>
      </c>
    </row>
    <row r="332" spans="1:4" x14ac:dyDescent="0.25">
      <c r="A332">
        <v>10074</v>
      </c>
      <c r="B332" t="s">
        <v>351</v>
      </c>
      <c r="C332" t="s">
        <v>1523</v>
      </c>
      <c r="D332" t="s">
        <v>1627</v>
      </c>
    </row>
    <row r="333" spans="1:4" x14ac:dyDescent="0.25">
      <c r="A333">
        <v>10075</v>
      </c>
      <c r="B333" t="s">
        <v>353</v>
      </c>
      <c r="C333" t="s">
        <v>1525</v>
      </c>
      <c r="D333" t="s">
        <v>1626</v>
      </c>
    </row>
    <row r="334" spans="1:4" x14ac:dyDescent="0.25">
      <c r="A334">
        <v>10076</v>
      </c>
      <c r="B334" t="s">
        <v>354</v>
      </c>
      <c r="C334" t="s">
        <v>1526</v>
      </c>
      <c r="D334" t="s">
        <v>1626</v>
      </c>
    </row>
    <row r="335" spans="1:4" x14ac:dyDescent="0.25">
      <c r="A335">
        <v>10077</v>
      </c>
      <c r="B335" t="s">
        <v>355</v>
      </c>
      <c r="C335" t="s">
        <v>1527</v>
      </c>
      <c r="D335" t="s">
        <v>1626</v>
      </c>
    </row>
    <row r="336" spans="1:4" x14ac:dyDescent="0.25">
      <c r="A336">
        <v>10078</v>
      </c>
      <c r="B336" t="s">
        <v>356</v>
      </c>
      <c r="C336" t="s">
        <v>1528</v>
      </c>
      <c r="D336" t="s">
        <v>1626</v>
      </c>
    </row>
    <row r="337" spans="1:4" x14ac:dyDescent="0.25">
      <c r="A337">
        <v>10079</v>
      </c>
      <c r="B337" t="s">
        <v>311</v>
      </c>
      <c r="C337" t="s">
        <v>1483</v>
      </c>
      <c r="D337" t="s">
        <v>1629</v>
      </c>
    </row>
    <row r="338" spans="1:4" x14ac:dyDescent="0.25">
      <c r="A338">
        <v>10080</v>
      </c>
      <c r="B338" t="s">
        <v>1768</v>
      </c>
      <c r="C338" t="s">
        <v>1814</v>
      </c>
      <c r="D338" t="s">
        <v>1630</v>
      </c>
    </row>
    <row r="339" spans="1:4" x14ac:dyDescent="0.25">
      <c r="A339">
        <v>10081</v>
      </c>
      <c r="B339" t="s">
        <v>1769</v>
      </c>
      <c r="C339" t="s">
        <v>1815</v>
      </c>
      <c r="D339" t="s">
        <v>1628</v>
      </c>
    </row>
    <row r="340" spans="1:4" x14ac:dyDescent="0.25">
      <c r="A340">
        <v>10082</v>
      </c>
      <c r="B340" t="s">
        <v>1770</v>
      </c>
      <c r="C340" t="s">
        <v>1816</v>
      </c>
      <c r="D340" t="s">
        <v>1627</v>
      </c>
    </row>
    <row r="341" spans="1:4" x14ac:dyDescent="0.25">
      <c r="A341">
        <v>10083</v>
      </c>
      <c r="B341" t="s">
        <v>1771</v>
      </c>
      <c r="C341" t="s">
        <v>1817</v>
      </c>
      <c r="D341" t="s">
        <v>1628</v>
      </c>
    </row>
    <row r="342" spans="1:4" x14ac:dyDescent="0.25">
      <c r="A342">
        <v>10084</v>
      </c>
      <c r="B342" t="s">
        <v>1772</v>
      </c>
      <c r="C342" t="s">
        <v>1818</v>
      </c>
      <c r="D342" t="s">
        <v>1628</v>
      </c>
    </row>
    <row r="343" spans="1:4" x14ac:dyDescent="0.25">
      <c r="A343">
        <v>10085</v>
      </c>
      <c r="B343" t="s">
        <v>1773</v>
      </c>
      <c r="C343" t="s">
        <v>1819</v>
      </c>
      <c r="D343" t="s">
        <v>1628</v>
      </c>
    </row>
    <row r="344" spans="1:4" x14ac:dyDescent="0.25">
      <c r="A344">
        <v>11001</v>
      </c>
      <c r="B344" t="s">
        <v>69</v>
      </c>
      <c r="C344" t="s">
        <v>1532</v>
      </c>
      <c r="D344" t="s">
        <v>1634</v>
      </c>
    </row>
    <row r="345" spans="1:4" x14ac:dyDescent="0.25">
      <c r="A345">
        <v>11003</v>
      </c>
      <c r="B345" t="s">
        <v>66</v>
      </c>
      <c r="C345" t="s">
        <v>1529</v>
      </c>
      <c r="D345" t="s">
        <v>1631</v>
      </c>
    </row>
    <row r="346" spans="1:4" x14ac:dyDescent="0.25">
      <c r="A346">
        <v>11004</v>
      </c>
      <c r="B346" t="s">
        <v>67</v>
      </c>
      <c r="C346" t="s">
        <v>1530</v>
      </c>
      <c r="D346" t="s">
        <v>1632</v>
      </c>
    </row>
    <row r="347" spans="1:4" x14ac:dyDescent="0.25">
      <c r="A347">
        <v>11006</v>
      </c>
      <c r="B347" t="s">
        <v>68</v>
      </c>
      <c r="C347" t="s">
        <v>1531</v>
      </c>
      <c r="D347" t="s">
        <v>1633</v>
      </c>
    </row>
    <row r="348" spans="1:4" x14ac:dyDescent="0.25">
      <c r="A348">
        <v>11007</v>
      </c>
      <c r="B348" t="s">
        <v>70</v>
      </c>
      <c r="C348" t="s">
        <v>1533</v>
      </c>
      <c r="D348" t="s">
        <v>1635</v>
      </c>
    </row>
    <row r="349" spans="1:4" x14ac:dyDescent="0.25">
      <c r="A349">
        <v>11008</v>
      </c>
      <c r="B349" t="s">
        <v>71</v>
      </c>
      <c r="C349" t="s">
        <v>1534</v>
      </c>
      <c r="D349" t="s">
        <v>1635</v>
      </c>
    </row>
    <row r="350" spans="1:4" x14ac:dyDescent="0.25">
      <c r="A350">
        <v>11009</v>
      </c>
      <c r="B350" t="s">
        <v>1705</v>
      </c>
      <c r="C350" t="s">
        <v>1820</v>
      </c>
      <c r="D350" t="s">
        <v>1821</v>
      </c>
    </row>
    <row r="351" spans="1:4" x14ac:dyDescent="0.25">
      <c r="A351">
        <v>11010</v>
      </c>
      <c r="B351" t="s">
        <v>1706</v>
      </c>
      <c r="C351" t="s">
        <v>1822</v>
      </c>
      <c r="D351" t="s">
        <v>1823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56E75-4AD1-4329-A193-36E31634B6AA}">
  <sheetPr codeName="Planilha1"/>
  <dimension ref="A1:AU353"/>
  <sheetViews>
    <sheetView tabSelected="1" zoomScale="60" zoomScaleNormal="60" workbookViewId="0">
      <pane ySplit="4" topLeftCell="A5" activePane="bottomLeft" state="frozen"/>
      <selection pane="bottomLeft" activeCell="B1" sqref="B1"/>
    </sheetView>
  </sheetViews>
  <sheetFormatPr defaultColWidth="9.140625" defaultRowHeight="15" x14ac:dyDescent="0.25"/>
  <cols>
    <col min="1" max="2" width="6.42578125" style="13" customWidth="1"/>
    <col min="3" max="3" width="23.42578125" style="13" bestFit="1" customWidth="1"/>
    <col min="4" max="4" width="13.5703125" style="14" hidden="1" customWidth="1"/>
    <col min="5" max="5" width="18.28515625" style="14" hidden="1" customWidth="1"/>
    <col min="6" max="6" width="15.28515625" style="14" bestFit="1" customWidth="1"/>
    <col min="7" max="7" width="59.28515625" style="15" customWidth="1"/>
    <col min="8" max="8" width="101" style="13" hidden="1" customWidth="1"/>
    <col min="9" max="9" width="101.7109375" style="13" hidden="1" customWidth="1"/>
    <col min="10" max="10" width="75.28515625" style="13" hidden="1" customWidth="1"/>
    <col min="11" max="11" width="21.85546875" style="13" customWidth="1"/>
    <col min="12" max="12" width="11.5703125" style="13" bestFit="1" customWidth="1"/>
    <col min="13" max="13" width="17.42578125" style="13" bestFit="1" customWidth="1"/>
    <col min="14" max="14" width="12.7109375" style="25" bestFit="1" customWidth="1"/>
    <col min="15" max="16" width="10.42578125" style="16" customWidth="1"/>
    <col min="17" max="17" width="10.42578125" style="25" customWidth="1"/>
    <col min="18" max="18" width="10.42578125" style="16" customWidth="1"/>
    <col min="19" max="19" width="10.42578125" style="25" customWidth="1"/>
    <col min="20" max="21" width="10.42578125" style="16" customWidth="1"/>
    <col min="22" max="22" width="10.42578125" style="25" customWidth="1"/>
    <col min="23" max="23" width="10.42578125" style="16" customWidth="1"/>
    <col min="24" max="24" width="10.42578125" style="25" customWidth="1"/>
    <col min="25" max="26" width="10.42578125" style="16" customWidth="1"/>
    <col min="27" max="27" width="10.42578125" style="25" customWidth="1"/>
    <col min="28" max="28" width="10.42578125" style="16" customWidth="1"/>
    <col min="29" max="29" width="10.42578125" style="25" customWidth="1"/>
    <col min="30" max="30" width="14" style="16" customWidth="1"/>
    <col min="31" max="31" width="10.42578125" style="16" customWidth="1"/>
    <col min="32" max="32" width="10.42578125" style="25" customWidth="1"/>
    <col min="33" max="33" width="10.42578125" style="16" customWidth="1"/>
    <col min="34" max="35" width="11.5703125" style="27" customWidth="1"/>
    <col min="36" max="36" width="12.42578125" style="27" customWidth="1"/>
    <col min="37" max="38" width="11.5703125" style="27" customWidth="1"/>
    <col min="39" max="39" width="42.28515625" style="13" customWidth="1"/>
    <col min="40" max="41" width="11.5703125" style="36" customWidth="1"/>
    <col min="42" max="42" width="27.5703125" style="36" customWidth="1"/>
    <col min="43" max="16384" width="9.140625" style="13"/>
  </cols>
  <sheetData>
    <row r="1" spans="1:42" x14ac:dyDescent="0.25">
      <c r="A1" s="35" t="s">
        <v>1869</v>
      </c>
    </row>
    <row r="2" spans="1:42" x14ac:dyDescent="0.25">
      <c r="A2" s="35" t="s">
        <v>1644</v>
      </c>
      <c r="N2" s="16"/>
      <c r="Q2" s="16"/>
      <c r="S2" s="16"/>
      <c r="V2" s="16"/>
      <c r="X2" s="16"/>
      <c r="AA2" s="16"/>
      <c r="AC2" s="16"/>
      <c r="AF2" s="16"/>
      <c r="AH2" s="13"/>
      <c r="AI2" s="13"/>
      <c r="AJ2" s="13"/>
      <c r="AK2" s="13"/>
      <c r="AL2" s="13"/>
      <c r="AN2" s="13"/>
      <c r="AO2" s="13"/>
      <c r="AP2" s="13"/>
    </row>
    <row r="3" spans="1:42" ht="36" customHeight="1" x14ac:dyDescent="0.25">
      <c r="A3" s="3"/>
      <c r="B3" s="3"/>
      <c r="C3" s="4"/>
      <c r="D3" s="5"/>
      <c r="E3" s="5"/>
      <c r="F3" s="5"/>
      <c r="G3" s="4"/>
      <c r="H3" s="3"/>
      <c r="I3" s="3"/>
      <c r="J3" s="3"/>
      <c r="K3" s="6"/>
      <c r="L3" s="6"/>
      <c r="M3" s="6"/>
      <c r="N3" s="31" t="s">
        <v>1824</v>
      </c>
      <c r="O3" s="31"/>
      <c r="P3" s="32"/>
      <c r="Q3" s="31"/>
      <c r="R3" s="31"/>
      <c r="S3" s="33" t="s">
        <v>1825</v>
      </c>
      <c r="T3" s="31"/>
      <c r="U3" s="32"/>
      <c r="V3" s="31"/>
      <c r="W3" s="31"/>
      <c r="X3" s="34" t="s">
        <v>1826</v>
      </c>
      <c r="Y3" s="34"/>
      <c r="Z3" s="34"/>
      <c r="AA3" s="34"/>
      <c r="AB3" s="34"/>
      <c r="AC3" s="34" t="s">
        <v>1827</v>
      </c>
      <c r="AD3" s="34"/>
      <c r="AE3" s="34"/>
      <c r="AF3" s="34"/>
      <c r="AG3" s="34"/>
      <c r="AH3" s="4"/>
      <c r="AI3" s="4"/>
      <c r="AJ3" s="6"/>
      <c r="AK3" s="6"/>
      <c r="AL3" s="4"/>
      <c r="AM3" s="4"/>
      <c r="AN3" s="4"/>
      <c r="AO3" s="4"/>
      <c r="AP3" s="4"/>
    </row>
    <row r="4" spans="1:42" s="7" customFormat="1" ht="41.25" customHeight="1" x14ac:dyDescent="0.25">
      <c r="A4" s="8" t="s">
        <v>0</v>
      </c>
      <c r="B4" s="8" t="s">
        <v>2</v>
      </c>
      <c r="C4" s="9" t="s">
        <v>870</v>
      </c>
      <c r="D4" s="10" t="s">
        <v>72</v>
      </c>
      <c r="E4" s="10" t="s">
        <v>77</v>
      </c>
      <c r="F4" s="10" t="s">
        <v>861</v>
      </c>
      <c r="G4" s="9" t="s">
        <v>3</v>
      </c>
      <c r="H4" s="11" t="s">
        <v>4</v>
      </c>
      <c r="I4" s="11" t="s">
        <v>5</v>
      </c>
      <c r="J4" s="12" t="s">
        <v>6</v>
      </c>
      <c r="K4" s="8" t="s">
        <v>7</v>
      </c>
      <c r="L4" s="8" t="s">
        <v>8</v>
      </c>
      <c r="M4" s="8" t="s">
        <v>9</v>
      </c>
      <c r="N4" s="8" t="s">
        <v>1828</v>
      </c>
      <c r="O4" s="8" t="s">
        <v>1829</v>
      </c>
      <c r="P4" s="8" t="s">
        <v>1830</v>
      </c>
      <c r="Q4" s="9" t="s">
        <v>1831</v>
      </c>
      <c r="R4" s="9" t="s">
        <v>1832</v>
      </c>
      <c r="S4" s="8" t="s">
        <v>1828</v>
      </c>
      <c r="T4" s="8" t="s">
        <v>1829</v>
      </c>
      <c r="U4" s="8" t="s">
        <v>1830</v>
      </c>
      <c r="V4" s="9" t="s">
        <v>1831</v>
      </c>
      <c r="W4" s="9" t="s">
        <v>1832</v>
      </c>
      <c r="X4" s="8" t="s">
        <v>1828</v>
      </c>
      <c r="Y4" s="8" t="s">
        <v>1829</v>
      </c>
      <c r="Z4" s="8" t="s">
        <v>1830</v>
      </c>
      <c r="AA4" s="9" t="s">
        <v>1831</v>
      </c>
      <c r="AB4" s="9" t="s">
        <v>1832</v>
      </c>
      <c r="AC4" s="8" t="s">
        <v>1828</v>
      </c>
      <c r="AD4" s="8" t="s">
        <v>1829</v>
      </c>
      <c r="AE4" s="8" t="s">
        <v>1830</v>
      </c>
      <c r="AF4" s="9" t="s">
        <v>1831</v>
      </c>
      <c r="AG4" s="9" t="s">
        <v>1832</v>
      </c>
      <c r="AH4" s="9" t="s">
        <v>10</v>
      </c>
      <c r="AI4" s="9" t="s">
        <v>11</v>
      </c>
      <c r="AJ4" s="8" t="s">
        <v>1853</v>
      </c>
      <c r="AK4" s="8" t="s">
        <v>12</v>
      </c>
      <c r="AL4" s="9" t="s">
        <v>13</v>
      </c>
      <c r="AM4" s="9" t="s">
        <v>14</v>
      </c>
      <c r="AN4" s="9" t="s">
        <v>1856</v>
      </c>
      <c r="AO4" s="9" t="s">
        <v>1857</v>
      </c>
      <c r="AP4" s="9" t="s">
        <v>1858</v>
      </c>
    </row>
    <row r="5" spans="1:42" ht="13.5" customHeight="1" x14ac:dyDescent="0.25">
      <c r="A5" s="17">
        <v>1</v>
      </c>
      <c r="B5" s="17">
        <v>1</v>
      </c>
      <c r="C5" s="29">
        <v>1004</v>
      </c>
      <c r="D5" s="38">
        <v>33122261</v>
      </c>
      <c r="E5" s="18" t="s">
        <v>358</v>
      </c>
      <c r="F5" s="68" t="s">
        <v>574</v>
      </c>
      <c r="G5" s="62" t="s">
        <v>16</v>
      </c>
      <c r="H5" s="19" t="s">
        <v>872</v>
      </c>
      <c r="I5" s="19" t="s">
        <v>1125</v>
      </c>
      <c r="J5" s="19" t="s">
        <v>1242</v>
      </c>
      <c r="K5" s="20" t="s">
        <v>1536</v>
      </c>
      <c r="L5" s="21">
        <v>50</v>
      </c>
      <c r="M5" s="21"/>
      <c r="N5" s="26" t="str">
        <f>IFERROR(VLOOKUP(O5,Apoio!A:B,2,0),"")</f>
        <v/>
      </c>
      <c r="O5" s="22">
        <f>IFERROR(VLOOKUP(C5,'[1]TB DIN'!$B:$D,3,0),"AGUARDANDO ANEXO")</f>
        <v>0</v>
      </c>
      <c r="P5" s="22">
        <f>IFERROR(VLOOKUP(C5,'[1]TB DIN INCLUIDOS'!$B:$H,3,0),"AGUARDANDO ANEXO")</f>
        <v>0</v>
      </c>
      <c r="Q5" s="26" cm="1">
        <f t="array" ref="Q5">_xlfn.IFS((P5&gt;N5),(N5*2),(P5&lt;=N5),(P5*2))</f>
        <v>0</v>
      </c>
      <c r="R5" s="22"/>
      <c r="S5" s="26" t="str">
        <f>IFERROR(VLOOKUP(T5,Apoio!A:B,2,0),"")</f>
        <v/>
      </c>
      <c r="T5" s="22">
        <f>IFERROR(VLOOKUP(C5,'[1]TB DIN'!$B:$H,4,0),"AGUARDANDO ANEXO")</f>
        <v>0</v>
      </c>
      <c r="U5" s="22">
        <f>IFERROR(VLOOKUP(C5,'[1]TB DIN INCLUIDOS'!$B:$H,4,0),"AGUARDANDO ANEXO")</f>
        <v>0</v>
      </c>
      <c r="V5" s="26" cm="1">
        <f t="array" ref="V5">_xlfn.IFS((U5&gt;S5),(S5*2),(U5&lt;=S5),(U5*2))</f>
        <v>0</v>
      </c>
      <c r="W5" s="22"/>
      <c r="X5" s="26">
        <f>IFERROR(VLOOKUP(Y5,Apoio!A:B,2,0),"")</f>
        <v>2</v>
      </c>
      <c r="Y5" s="22">
        <f>IFERROR(VLOOKUP(C5,'[1]TB DIN'!$B:$H,5,0),"AGUARDANDO ANEXO")</f>
        <v>26</v>
      </c>
      <c r="Z5" s="22">
        <f>IFERROR(VLOOKUP(C5,'[1]TB DIN INCLUIDOS'!$B:$H,5,0),"AGUARDANDO ANEXO")</f>
        <v>0</v>
      </c>
      <c r="AA5" s="26" cm="1">
        <f t="array" ref="AA5">_xlfn.IFS((Z5&gt;X5),(X5*2),(Z5&lt;=X5),(Z5*2))</f>
        <v>0</v>
      </c>
      <c r="AB5" s="22"/>
      <c r="AC5" s="26">
        <f>IFERROR(VLOOKUP(AD5,Apoio!A:B,2,0),"")</f>
        <v>1</v>
      </c>
      <c r="AD5" s="22">
        <v>24</v>
      </c>
      <c r="AE5" s="22">
        <f>IFERROR(VLOOKUP(C5,'[1]TB DIN INCLUIDOS'!$B:$H,6,0),"AGUARDANDO ANEXO")</f>
        <v>0</v>
      </c>
      <c r="AF5" s="26" cm="1">
        <f t="array" ref="AF5">_xlfn.IFS((AE5&gt;AC5),(AC5*2),(AE5&lt;=AC5),(AE5*2))</f>
        <v>0</v>
      </c>
      <c r="AG5" s="22"/>
      <c r="AH5" s="28">
        <f t="shared" ref="AH5:AH68" si="0">SUM(O5,T5,Y5,AD5)</f>
        <v>50</v>
      </c>
      <c r="AI5" s="28">
        <f t="shared" ref="AI5:AI68" si="1">SUM(P5,U5,Z5,AE5)</f>
        <v>0</v>
      </c>
      <c r="AJ5" s="28">
        <f t="shared" ref="AJ5:AJ68" si="2">SUM(Q5,V5,AA5,AF5)</f>
        <v>0</v>
      </c>
      <c r="AK5" s="28">
        <f t="shared" ref="AK5:AK68" si="3">IF(L5-AH5-Q5-V5-AA5-AF5&gt;0,L5-AH5-Q5-V5-AA5-AF5,0)</f>
        <v>0</v>
      </c>
      <c r="AL5" s="28">
        <f t="shared" ref="AL5:AL68" si="4">IF(L5-O5-Q5-T5-V5-Y5-AA5-AD5-AF5&lt;0,L5-O5-Q5-T5-V5-Y5-AA5-AD5-AF5,0)</f>
        <v>0</v>
      </c>
      <c r="AM5" s="23" t="s">
        <v>1707</v>
      </c>
      <c r="AN5" s="37">
        <f>VLOOKUP(C5,'[2]MARÇO-2024'!$B:$M,12,0)</f>
        <v>49</v>
      </c>
      <c r="AO5" s="37">
        <f t="shared" ref="AO5:AO68" si="5">AN5-AH5</f>
        <v>-1</v>
      </c>
      <c r="AP5" s="37" t="str">
        <f t="shared" ref="AP5:AP68" si="6">IF(AH5&gt;L5,"Qt de aluno maior que a meta","")</f>
        <v/>
      </c>
    </row>
    <row r="6" spans="1:42" ht="13.5" customHeight="1" x14ac:dyDescent="0.25">
      <c r="A6" s="17">
        <v>1</v>
      </c>
      <c r="B6" s="17">
        <v>2</v>
      </c>
      <c r="C6" s="29">
        <v>1005</v>
      </c>
      <c r="D6" s="38">
        <v>33184437</v>
      </c>
      <c r="E6" s="18" t="s">
        <v>357</v>
      </c>
      <c r="F6" s="68" t="s">
        <v>573</v>
      </c>
      <c r="G6" s="62" t="s">
        <v>15</v>
      </c>
      <c r="H6" s="19" t="s">
        <v>871</v>
      </c>
      <c r="I6" s="19" t="s">
        <v>1124</v>
      </c>
      <c r="J6" s="19" t="s">
        <v>1241</v>
      </c>
      <c r="K6" s="20" t="s">
        <v>1535</v>
      </c>
      <c r="L6" s="21">
        <v>40</v>
      </c>
      <c r="M6" s="21"/>
      <c r="N6" s="26" t="str">
        <f>IFERROR(VLOOKUP(O6,Apoio!A:B,2,0),"")</f>
        <v/>
      </c>
      <c r="O6" s="22">
        <f>IFERROR(VLOOKUP(C6,'[1]TB DIN'!$B:$D,3,0),"AGUARDANDO ANEXO")</f>
        <v>0</v>
      </c>
      <c r="P6" s="22">
        <f>IFERROR(VLOOKUP(C6,'[1]TB DIN INCLUIDOS'!$B:$H,3,0),"AGUARDANDO ANEXO")</f>
        <v>0</v>
      </c>
      <c r="Q6" s="26" cm="1">
        <f t="array" ref="Q6">_xlfn.IFS((P6&gt;N6),(N6*2),(P6&lt;=N6),(P6*2))</f>
        <v>0</v>
      </c>
      <c r="R6" s="22"/>
      <c r="S6" s="26" t="str">
        <f>IFERROR(VLOOKUP(T6,Apoio!A:B,2,0),"")</f>
        <v/>
      </c>
      <c r="T6" s="22">
        <f>IFERROR(VLOOKUP(C6,'[1]TB DIN'!$B:$H,4,0),"AGUARDANDO ANEXO")</f>
        <v>0</v>
      </c>
      <c r="U6" s="22">
        <f>IFERROR(VLOOKUP(C6,'[1]TB DIN INCLUIDOS'!$B:$H,4,0),"AGUARDANDO ANEXO")</f>
        <v>0</v>
      </c>
      <c r="V6" s="26" cm="1">
        <f t="array" ref="V6">_xlfn.IFS((U6&gt;S6),(S6*2),(U6&lt;=S6),(U6*2))</f>
        <v>0</v>
      </c>
      <c r="W6" s="22"/>
      <c r="X6" s="26">
        <f>IFERROR(VLOOKUP(Y6,Apoio!A:B,2,0),"")</f>
        <v>1</v>
      </c>
      <c r="Y6" s="22">
        <f>IFERROR(VLOOKUP(C6,'[1]TB DIN'!$B:$H,5,0),"AGUARDANDO ANEXO")</f>
        <v>19</v>
      </c>
      <c r="Z6" s="22">
        <f>IFERROR(VLOOKUP(C6,'[1]TB DIN INCLUIDOS'!$B:$H,5,0),"AGUARDANDO ANEXO")</f>
        <v>0</v>
      </c>
      <c r="AA6" s="26" cm="1">
        <f t="array" ref="AA6">_xlfn.IFS((Z6&gt;X6),(X6*2),(Z6&lt;=X6),(Z6*2))</f>
        <v>0</v>
      </c>
      <c r="AB6" s="22"/>
      <c r="AC6" s="26">
        <f>IFERROR(VLOOKUP(AD6,Apoio!A:B,2,0),"")</f>
        <v>1</v>
      </c>
      <c r="AD6" s="22">
        <v>21</v>
      </c>
      <c r="AE6" s="22">
        <f>IFERROR(VLOOKUP(C6,'[1]TB DIN INCLUIDOS'!$B:$H,6,0),"AGUARDANDO ANEXO")</f>
        <v>0</v>
      </c>
      <c r="AF6" s="26" cm="1">
        <f t="array" ref="AF6">_xlfn.IFS((AE6&gt;AC6),(AC6*2),(AE6&lt;=AC6),(AE6*2))</f>
        <v>0</v>
      </c>
      <c r="AG6" s="22"/>
      <c r="AH6" s="28">
        <f t="shared" si="0"/>
        <v>40</v>
      </c>
      <c r="AI6" s="28">
        <f t="shared" si="1"/>
        <v>0</v>
      </c>
      <c r="AJ6" s="28">
        <f t="shared" si="2"/>
        <v>0</v>
      </c>
      <c r="AK6" s="28">
        <f t="shared" si="3"/>
        <v>0</v>
      </c>
      <c r="AL6" s="28">
        <f t="shared" si="4"/>
        <v>0</v>
      </c>
      <c r="AM6" s="23" t="s">
        <v>1707</v>
      </c>
      <c r="AN6" s="37">
        <f>VLOOKUP(C6,'[2]MARÇO-2024'!$B:$M,12,0)</f>
        <v>40</v>
      </c>
      <c r="AO6" s="37">
        <f t="shared" si="5"/>
        <v>0</v>
      </c>
      <c r="AP6" s="37" t="str">
        <f t="shared" si="6"/>
        <v/>
      </c>
    </row>
    <row r="7" spans="1:42" ht="13.5" customHeight="1" x14ac:dyDescent="0.25">
      <c r="A7" s="17">
        <v>1</v>
      </c>
      <c r="B7" s="17">
        <v>3</v>
      </c>
      <c r="C7" s="29">
        <v>1006</v>
      </c>
      <c r="D7" s="38">
        <v>33188564</v>
      </c>
      <c r="E7" s="18" t="s">
        <v>359</v>
      </c>
      <c r="F7" s="68" t="s">
        <v>575</v>
      </c>
      <c r="G7" s="62" t="s">
        <v>17</v>
      </c>
      <c r="H7" s="19" t="s">
        <v>873</v>
      </c>
      <c r="I7" s="19" t="s">
        <v>1126</v>
      </c>
      <c r="J7" s="19" t="s">
        <v>1243</v>
      </c>
      <c r="K7" s="20" t="s">
        <v>1537</v>
      </c>
      <c r="L7" s="21">
        <v>147</v>
      </c>
      <c r="M7" s="21"/>
      <c r="N7" s="26" t="str">
        <f>IFERROR(VLOOKUP(O7,Apoio!A:B,2,0),"")</f>
        <v/>
      </c>
      <c r="O7" s="22">
        <f>IFERROR(VLOOKUP(C7,'[1]TB DIN'!$B:$D,3,0),"AGUARDANDO ANEXO")</f>
        <v>0</v>
      </c>
      <c r="P7" s="22">
        <f>IFERROR(VLOOKUP(C7,'[1]TB DIN INCLUIDOS'!$B:$H,3,0),"AGUARDANDO ANEXO")</f>
        <v>0</v>
      </c>
      <c r="Q7" s="26" cm="1">
        <f t="array" ref="Q7">_xlfn.IFS((P7&gt;N7),(N7*2),(P7&lt;=N7),(P7*2))</f>
        <v>0</v>
      </c>
      <c r="R7" s="22"/>
      <c r="S7" s="26">
        <f>IFERROR(VLOOKUP(T7,Apoio!A:B,2,0),"")</f>
        <v>2</v>
      </c>
      <c r="T7" s="22">
        <v>44</v>
      </c>
      <c r="U7" s="22">
        <f>IFERROR(VLOOKUP(C7,'[1]TB DIN INCLUIDOS'!$B:$H,4,0),"AGUARDANDO ANEXO")</f>
        <v>0</v>
      </c>
      <c r="V7" s="26" cm="1">
        <f t="array" ref="V7">_xlfn.IFS((U7&gt;S7),(S7*2),(U7&lt;=S7),(U7*2))</f>
        <v>0</v>
      </c>
      <c r="W7" s="22"/>
      <c r="X7" s="26">
        <f>IFERROR(VLOOKUP(Y7,Apoio!A:B,2,0),"")</f>
        <v>3</v>
      </c>
      <c r="Y7" s="22">
        <v>63</v>
      </c>
      <c r="Z7" s="22">
        <f>IFERROR(VLOOKUP(C7,'[1]TB DIN INCLUIDOS'!$B:$H,5,0),"AGUARDANDO ANEXO")</f>
        <v>0</v>
      </c>
      <c r="AA7" s="26" cm="1">
        <f t="array" ref="AA7">_xlfn.IFS((Z7&gt;X7),(X7*2),(Z7&lt;=X7),(Z7*2))</f>
        <v>0</v>
      </c>
      <c r="AB7" s="22"/>
      <c r="AC7" s="26">
        <f>IFERROR(VLOOKUP(AD7,Apoio!A:B,2,0),"")</f>
        <v>2</v>
      </c>
      <c r="AD7" s="22">
        <f>IFERROR(VLOOKUP(C7,'[1]TB DIN'!$B:$H,6,0),"AGUARDANDO ANEXO")</f>
        <v>40</v>
      </c>
      <c r="AE7" s="22">
        <f>IFERROR(VLOOKUP(C7,'[1]TB DIN INCLUIDOS'!$B:$H,6,0),"AGUARDANDO ANEXO")</f>
        <v>0</v>
      </c>
      <c r="AF7" s="26" cm="1">
        <f t="array" ref="AF7">_xlfn.IFS((AE7&gt;AC7),(AC7*2),(AE7&lt;=AC7),(AE7*2))</f>
        <v>0</v>
      </c>
      <c r="AG7" s="22"/>
      <c r="AH7" s="28">
        <f t="shared" si="0"/>
        <v>147</v>
      </c>
      <c r="AI7" s="28">
        <f t="shared" si="1"/>
        <v>0</v>
      </c>
      <c r="AJ7" s="28">
        <f t="shared" si="2"/>
        <v>0</v>
      </c>
      <c r="AK7" s="28">
        <f t="shared" si="3"/>
        <v>0</v>
      </c>
      <c r="AL7" s="28">
        <f t="shared" si="4"/>
        <v>0</v>
      </c>
      <c r="AM7" s="23" t="s">
        <v>1707</v>
      </c>
      <c r="AN7" s="37">
        <f>VLOOKUP(C7,'[2]MARÇO-2024'!$B:$M,12,0)</f>
        <v>147</v>
      </c>
      <c r="AO7" s="37">
        <f t="shared" si="5"/>
        <v>0</v>
      </c>
      <c r="AP7" s="37" t="str">
        <f t="shared" si="6"/>
        <v/>
      </c>
    </row>
    <row r="8" spans="1:42" ht="13.5" customHeight="1" x14ac:dyDescent="0.25">
      <c r="A8" s="17">
        <v>1</v>
      </c>
      <c r="B8" s="17">
        <v>4</v>
      </c>
      <c r="C8" s="29">
        <v>1007</v>
      </c>
      <c r="D8" s="38">
        <v>33062978</v>
      </c>
      <c r="E8" s="18" t="s">
        <v>360</v>
      </c>
      <c r="F8" s="68" t="s">
        <v>576</v>
      </c>
      <c r="G8" s="62" t="s">
        <v>18</v>
      </c>
      <c r="H8" s="19" t="s">
        <v>874</v>
      </c>
      <c r="I8" s="19" t="s">
        <v>1127</v>
      </c>
      <c r="J8" s="19" t="s">
        <v>1244</v>
      </c>
      <c r="K8" s="20" t="s">
        <v>1538</v>
      </c>
      <c r="L8" s="21">
        <v>30</v>
      </c>
      <c r="M8" s="21"/>
      <c r="N8" s="26" t="str">
        <f>IFERROR(VLOOKUP(O8,Apoio!A:B,2,0),"")</f>
        <v/>
      </c>
      <c r="O8" s="22">
        <f>IFERROR(VLOOKUP(C8,'[1]TB DIN'!$B:$D,3,0),"AGUARDANDO ANEXO")</f>
        <v>0</v>
      </c>
      <c r="P8" s="22">
        <f>IFERROR(VLOOKUP(C8,'[1]TB DIN INCLUIDOS'!$B:$H,3,0),"AGUARDANDO ANEXO")</f>
        <v>0</v>
      </c>
      <c r="Q8" s="26" cm="1">
        <f t="array" ref="Q8">_xlfn.IFS((P8&gt;N8),(N8*2),(P8&lt;=N8),(P8*2))</f>
        <v>0</v>
      </c>
      <c r="R8" s="22"/>
      <c r="S8" s="26" t="str">
        <f>IFERROR(VLOOKUP(T8,Apoio!A:B,2,0),"")</f>
        <v/>
      </c>
      <c r="T8" s="22">
        <f>IFERROR(VLOOKUP(C8,'[1]TB DIN'!$B:$H,4,0),"AGUARDANDO ANEXO")</f>
        <v>0</v>
      </c>
      <c r="U8" s="22">
        <f>IFERROR(VLOOKUP(C8,'[1]TB DIN INCLUIDOS'!$B:$H,4,0),"AGUARDANDO ANEXO")</f>
        <v>0</v>
      </c>
      <c r="V8" s="26" cm="1">
        <f t="array" ref="V8">_xlfn.IFS((U8&gt;S8),(S8*2),(U8&lt;=S8),(U8*2))</f>
        <v>0</v>
      </c>
      <c r="W8" s="22"/>
      <c r="X8" s="26">
        <f>IFERROR(VLOOKUP(Y8,Apoio!A:B,2,0),"")</f>
        <v>1</v>
      </c>
      <c r="Y8" s="22">
        <f>IFERROR(VLOOKUP(C8,'[1]TB DIN'!$B:$H,5,0),"AGUARDANDO ANEXO")</f>
        <v>14</v>
      </c>
      <c r="Z8" s="22">
        <f>IFERROR(VLOOKUP(C8,'[1]TB DIN INCLUIDOS'!$B:$H,5,0),"AGUARDANDO ANEXO")</f>
        <v>0</v>
      </c>
      <c r="AA8" s="26" cm="1">
        <f t="array" ref="AA8">_xlfn.IFS((Z8&gt;X8),(X8*2),(Z8&lt;=X8),(Z8*2))</f>
        <v>0</v>
      </c>
      <c r="AB8" s="22"/>
      <c r="AC8" s="26">
        <f>IFERROR(VLOOKUP(AD8,Apoio!A:B,2,0),"")</f>
        <v>1</v>
      </c>
      <c r="AD8" s="22">
        <f>IFERROR(VLOOKUP(C8,'[1]TB DIN'!$B:$H,6,0),"AGUARDANDO ANEXO")</f>
        <v>15</v>
      </c>
      <c r="AE8" s="22">
        <f>IFERROR(VLOOKUP(C8,'[1]TB DIN INCLUIDOS'!$B:$H,6,0),"AGUARDANDO ANEXO")</f>
        <v>1</v>
      </c>
      <c r="AF8" s="26" cm="1">
        <f t="array" ref="AF8">_xlfn.IFS((AE8&gt;AC8),(AC8*2),(AE8&lt;=AC8),(AE8*2))</f>
        <v>2</v>
      </c>
      <c r="AG8" s="22"/>
      <c r="AH8" s="28">
        <f t="shared" si="0"/>
        <v>29</v>
      </c>
      <c r="AI8" s="28">
        <f t="shared" si="1"/>
        <v>1</v>
      </c>
      <c r="AJ8" s="28">
        <f t="shared" si="2"/>
        <v>2</v>
      </c>
      <c r="AK8" s="28">
        <f t="shared" si="3"/>
        <v>0</v>
      </c>
      <c r="AL8" s="28">
        <f t="shared" si="4"/>
        <v>-1</v>
      </c>
      <c r="AM8" s="23" t="s">
        <v>1707</v>
      </c>
      <c r="AN8" s="37">
        <f>VLOOKUP(C8,'[2]MARÇO-2024'!$B:$M,12,0)</f>
        <v>29</v>
      </c>
      <c r="AO8" s="37">
        <f t="shared" si="5"/>
        <v>0</v>
      </c>
      <c r="AP8" s="37" t="str">
        <f t="shared" si="6"/>
        <v/>
      </c>
    </row>
    <row r="9" spans="1:42" ht="13.5" customHeight="1" x14ac:dyDescent="0.25">
      <c r="A9" s="17">
        <v>1</v>
      </c>
      <c r="B9" s="17">
        <v>5</v>
      </c>
      <c r="C9" s="29">
        <v>1009</v>
      </c>
      <c r="D9" s="43">
        <v>33196141</v>
      </c>
      <c r="E9" s="18" t="s">
        <v>361</v>
      </c>
      <c r="F9" s="68" t="s">
        <v>577</v>
      </c>
      <c r="G9" s="62" t="s">
        <v>19</v>
      </c>
      <c r="H9" s="19" t="s">
        <v>20</v>
      </c>
      <c r="I9" s="19" t="s">
        <v>1128</v>
      </c>
      <c r="J9" s="19" t="s">
        <v>1245</v>
      </c>
      <c r="K9" s="20" t="s">
        <v>1539</v>
      </c>
      <c r="L9" s="21">
        <v>130</v>
      </c>
      <c r="M9" s="21"/>
      <c r="N9" s="26" t="str">
        <f>IFERROR(VLOOKUP(O9,Apoio!A:B,2,0),"")</f>
        <v/>
      </c>
      <c r="O9" s="22">
        <f>IFERROR(VLOOKUP(C9,'[1]TB DIN'!$B:$D,3,0),"AGUARDANDO ANEXO")</f>
        <v>0</v>
      </c>
      <c r="P9" s="22">
        <f>IFERROR(VLOOKUP(C9,'[1]TB DIN INCLUIDOS'!$B:$H,3,0),"AGUARDANDO ANEXO")</f>
        <v>0</v>
      </c>
      <c r="Q9" s="26" cm="1">
        <f t="array" ref="Q9">_xlfn.IFS((P9&gt;N9),(N9*2),(P9&lt;=N9),(P9*2))</f>
        <v>0</v>
      </c>
      <c r="R9" s="22"/>
      <c r="S9" s="26">
        <f>IFERROR(VLOOKUP(T9,Apoio!A:B,2,0),"")</f>
        <v>1</v>
      </c>
      <c r="T9" s="22">
        <v>17</v>
      </c>
      <c r="U9" s="22">
        <f>IFERROR(VLOOKUP(C9,'[1]TB DIN INCLUIDOS'!$B:$H,4,0),"AGUARDANDO ANEXO")</f>
        <v>0</v>
      </c>
      <c r="V9" s="26" cm="1">
        <f t="array" ref="V9">_xlfn.IFS((U9&gt;S9),(S9*2),(U9&lt;=S9),(U9*2))</f>
        <v>0</v>
      </c>
      <c r="W9" s="22"/>
      <c r="X9" s="26">
        <f>IFERROR(VLOOKUP(Y9,Apoio!A:B,2,0),"")</f>
        <v>3</v>
      </c>
      <c r="Y9" s="22">
        <v>53</v>
      </c>
      <c r="Z9" s="22">
        <f>IFERROR(VLOOKUP(C9,'[1]TB DIN INCLUIDOS'!$B:$H,5,0),"AGUARDANDO ANEXO")</f>
        <v>0</v>
      </c>
      <c r="AA9" s="26" cm="1">
        <f t="array" ref="AA9">_xlfn.IFS((Z9&gt;X9),(X9*2),(Z9&lt;=X9),(Z9*2))</f>
        <v>0</v>
      </c>
      <c r="AB9" s="22"/>
      <c r="AC9" s="26">
        <f>IFERROR(VLOOKUP(AD9,Apoio!A:B,2,0),"")</f>
        <v>3</v>
      </c>
      <c r="AD9" s="22">
        <v>55</v>
      </c>
      <c r="AE9" s="22">
        <f>IFERROR(VLOOKUP(C9,'[1]TB DIN INCLUIDOS'!$B:$H,6,0),"AGUARDANDO ANEXO")</f>
        <v>2</v>
      </c>
      <c r="AF9" s="46" cm="1">
        <f t="array" ref="AF9">_xlfn.IFS((AE9&gt;AC9),(AC9*2),(AE9&lt;=AC9),(AE9*2))</f>
        <v>4</v>
      </c>
      <c r="AG9" s="22"/>
      <c r="AH9" s="28">
        <f t="shared" si="0"/>
        <v>125</v>
      </c>
      <c r="AI9" s="28">
        <f t="shared" si="1"/>
        <v>2</v>
      </c>
      <c r="AJ9" s="28">
        <f t="shared" si="2"/>
        <v>4</v>
      </c>
      <c r="AK9" s="28">
        <f t="shared" si="3"/>
        <v>1</v>
      </c>
      <c r="AL9" s="28">
        <f t="shared" si="4"/>
        <v>0</v>
      </c>
      <c r="AM9" s="23" t="s">
        <v>1707</v>
      </c>
      <c r="AN9" s="37">
        <f>VLOOKUP(C9,'[2]MARÇO-2024'!$B:$M,12,0)</f>
        <v>128</v>
      </c>
      <c r="AO9" s="37">
        <f t="shared" si="5"/>
        <v>3</v>
      </c>
      <c r="AP9" s="37" t="str">
        <f t="shared" si="6"/>
        <v/>
      </c>
    </row>
    <row r="10" spans="1:42" ht="13.5" customHeight="1" x14ac:dyDescent="0.25">
      <c r="A10" s="17">
        <v>1</v>
      </c>
      <c r="B10" s="17">
        <v>6</v>
      </c>
      <c r="C10" s="29">
        <v>1010</v>
      </c>
      <c r="D10" s="38">
        <v>33196311</v>
      </c>
      <c r="E10" s="18" t="s">
        <v>362</v>
      </c>
      <c r="F10" s="68" t="s">
        <v>578</v>
      </c>
      <c r="G10" s="62" t="s">
        <v>78</v>
      </c>
      <c r="H10" s="19" t="s">
        <v>875</v>
      </c>
      <c r="I10" s="19" t="s">
        <v>21</v>
      </c>
      <c r="J10" s="19" t="s">
        <v>1246</v>
      </c>
      <c r="K10" s="20" t="s">
        <v>1540</v>
      </c>
      <c r="L10" s="21">
        <v>297</v>
      </c>
      <c r="M10" s="21"/>
      <c r="N10" s="26" t="str">
        <f>IFERROR(VLOOKUP(O10,Apoio!A:B,2,0),"")</f>
        <v/>
      </c>
      <c r="O10" s="22">
        <f>IFERROR(VLOOKUP(C10,'[1]TB DIN'!$B:$D,3,0),"AGUARDANDO ANEXO")</f>
        <v>0</v>
      </c>
      <c r="P10" s="22">
        <f>IFERROR(VLOOKUP(C10,'[1]TB DIN INCLUIDOS'!$B:$H,3,0),"AGUARDANDO ANEXO")</f>
        <v>0</v>
      </c>
      <c r="Q10" s="26" cm="1">
        <f t="array" ref="Q10">_xlfn.IFS((P10&gt;N10),(N10*2),(P10&lt;=N10),(P10*2))</f>
        <v>0</v>
      </c>
      <c r="R10" s="22"/>
      <c r="S10" s="26">
        <f>IFERROR(VLOOKUP(T10,Apoio!A:B,2,0),"")</f>
        <v>3</v>
      </c>
      <c r="T10" s="22">
        <v>75</v>
      </c>
      <c r="U10" s="22">
        <f>IFERROR(VLOOKUP(C10,'[1]TB DIN INCLUIDOS'!$B:$H,4,0),"AGUARDANDO ANEXO")</f>
        <v>0</v>
      </c>
      <c r="V10" s="26" cm="1">
        <f t="array" ref="V10">_xlfn.IFS((U10&gt;S10),(S10*2),(U10&lt;=S10),(U10*2))</f>
        <v>0</v>
      </c>
      <c r="W10" s="22"/>
      <c r="X10" s="26">
        <f>IFERROR(VLOOKUP(Y10,Apoio!A:B,2,0),"")</f>
        <v>5</v>
      </c>
      <c r="Y10" s="22">
        <f>IFERROR(VLOOKUP(C10,'[1]TB DIN'!$B:$H,5,0),"AGUARDANDO ANEXO")</f>
        <v>116</v>
      </c>
      <c r="Z10" s="22">
        <f>IFERROR(VLOOKUP(C10,'[1]TB DIN INCLUIDOS'!$B:$H,5,0),"AGUARDANDO ANEXO")</f>
        <v>0</v>
      </c>
      <c r="AA10" s="26" cm="1">
        <f t="array" ref="AA10">_xlfn.IFS((Z10&gt;X10),(X10*2),(Z10&lt;=X10),(Z10*2))</f>
        <v>0</v>
      </c>
      <c r="AB10" s="22"/>
      <c r="AC10" s="26">
        <f>IFERROR(VLOOKUP(AD10,Apoio!A:B,2,0),"")</f>
        <v>5</v>
      </c>
      <c r="AD10" s="22">
        <v>102</v>
      </c>
      <c r="AE10" s="22">
        <f>IFERROR(VLOOKUP(C10,'[1]TB DIN INCLUIDOS'!$B:$H,6,0),"AGUARDANDO ANEXO")</f>
        <v>2</v>
      </c>
      <c r="AF10" s="46" cm="1">
        <f t="array" ref="AF10">_xlfn.IFS((AE10&gt;AC10),(AC10*2),(AE10&lt;=AC10),(AE10*2))</f>
        <v>4</v>
      </c>
      <c r="AG10" s="22"/>
      <c r="AH10" s="28">
        <f t="shared" si="0"/>
        <v>293</v>
      </c>
      <c r="AI10" s="28">
        <f t="shared" si="1"/>
        <v>2</v>
      </c>
      <c r="AJ10" s="28">
        <f t="shared" si="2"/>
        <v>4</v>
      </c>
      <c r="AK10" s="28">
        <f t="shared" si="3"/>
        <v>0</v>
      </c>
      <c r="AL10" s="28">
        <f t="shared" si="4"/>
        <v>0</v>
      </c>
      <c r="AM10" s="23" t="s">
        <v>1707</v>
      </c>
      <c r="AN10" s="37">
        <f>VLOOKUP(C10,'[2]MARÇO-2024'!$B:$M,12,0)</f>
        <v>297</v>
      </c>
      <c r="AO10" s="37">
        <f t="shared" si="5"/>
        <v>4</v>
      </c>
      <c r="AP10" s="37" t="str">
        <f t="shared" si="6"/>
        <v/>
      </c>
    </row>
    <row r="11" spans="1:42" ht="13.5" customHeight="1" x14ac:dyDescent="0.25">
      <c r="A11" s="17">
        <v>2</v>
      </c>
      <c r="B11" s="17">
        <v>1</v>
      </c>
      <c r="C11" s="29">
        <v>2001</v>
      </c>
      <c r="D11" s="38">
        <v>33172820</v>
      </c>
      <c r="E11" s="18" t="s">
        <v>381</v>
      </c>
      <c r="F11" s="68" t="s">
        <v>597</v>
      </c>
      <c r="G11" s="62" t="s">
        <v>98</v>
      </c>
      <c r="H11" s="19" t="s">
        <v>894</v>
      </c>
      <c r="I11" s="19" t="s">
        <v>1140</v>
      </c>
      <c r="J11" s="19" t="s">
        <v>1266</v>
      </c>
      <c r="K11" s="20" t="s">
        <v>1549</v>
      </c>
      <c r="L11" s="21">
        <v>80</v>
      </c>
      <c r="M11" s="21"/>
      <c r="N11" s="26" t="str">
        <f>IFERROR(VLOOKUP(O11,Apoio!A:B,2,0),"")</f>
        <v/>
      </c>
      <c r="O11" s="22">
        <f>IFERROR(VLOOKUP(C11,'[1]TB DIN'!$B:$D,3,0),"AGUARDANDO ANEXO")</f>
        <v>0</v>
      </c>
      <c r="P11" s="22">
        <f>IFERROR(VLOOKUP(C11,'[1]TB DIN INCLUIDOS'!$B:$H,3,0),"AGUARDANDO ANEXO")</f>
        <v>0</v>
      </c>
      <c r="Q11" s="26" cm="1">
        <f t="array" ref="Q11">_xlfn.IFS((P11&gt;N11),(N11*2),(P11&lt;=N11),(P11*2))</f>
        <v>0</v>
      </c>
      <c r="R11" s="22"/>
      <c r="S11" s="26" t="str">
        <f>IFERROR(VLOOKUP(T11,Apoio!A:B,2,0),"")</f>
        <v/>
      </c>
      <c r="T11" s="22">
        <f>IFERROR(VLOOKUP(C11,'[1]TB DIN'!$B:$H,4,0),"AGUARDANDO ANEXO")</f>
        <v>0</v>
      </c>
      <c r="U11" s="22">
        <f>IFERROR(VLOOKUP(C11,'[1]TB DIN INCLUIDOS'!$B:$H,4,0),"AGUARDANDO ANEXO")</f>
        <v>0</v>
      </c>
      <c r="V11" s="26" cm="1">
        <f t="array" ref="V11">_xlfn.IFS((U11&gt;S11),(S11*2),(U11&lt;=S11),(U11*2))</f>
        <v>0</v>
      </c>
      <c r="W11" s="22"/>
      <c r="X11" s="26">
        <f>IFERROR(VLOOKUP(Y11,Apoio!A:B,2,0),"")</f>
        <v>2</v>
      </c>
      <c r="Y11" s="22">
        <f>IFERROR(VLOOKUP(C11,'[1]TB DIN'!$B:$H,5,0),"AGUARDANDO ANEXO")</f>
        <v>38</v>
      </c>
      <c r="Z11" s="22">
        <f>IFERROR(VLOOKUP(C11,'[1]TB DIN INCLUIDOS'!$B:$H,5,0),"AGUARDANDO ANEXO")</f>
        <v>1</v>
      </c>
      <c r="AA11" s="26" cm="1">
        <f t="array" ref="AA11">_xlfn.IFS((Z11&gt;X11),(X11*2),(Z11&lt;=X11),(Z11*2))</f>
        <v>2</v>
      </c>
      <c r="AB11" s="22"/>
      <c r="AC11" s="26">
        <f>IFERROR(VLOOKUP(AD11,Apoio!A:B,2,0),"")</f>
        <v>2</v>
      </c>
      <c r="AD11" s="22">
        <f>IFERROR(VLOOKUP(C11,'[1]TB DIN'!$B:$H,6,0),"AGUARDANDO ANEXO")</f>
        <v>41</v>
      </c>
      <c r="AE11" s="22">
        <f>IFERROR(VLOOKUP(C11,'[1]TB DIN INCLUIDOS'!$B:$H,6,0),"AGUARDANDO ANEXO")</f>
        <v>0</v>
      </c>
      <c r="AF11" s="26" cm="1">
        <f t="array" ref="AF11">_xlfn.IFS((AE11&gt;AC11),(AC11*2),(AE11&lt;=AC11),(AE11*2))</f>
        <v>0</v>
      </c>
      <c r="AG11" s="22"/>
      <c r="AH11" s="28">
        <f t="shared" si="0"/>
        <v>79</v>
      </c>
      <c r="AI11" s="28">
        <f t="shared" si="1"/>
        <v>1</v>
      </c>
      <c r="AJ11" s="28">
        <f t="shared" si="2"/>
        <v>2</v>
      </c>
      <c r="AK11" s="28">
        <f t="shared" si="3"/>
        <v>0</v>
      </c>
      <c r="AL11" s="28">
        <f t="shared" si="4"/>
        <v>-1</v>
      </c>
      <c r="AM11" s="23" t="s">
        <v>1707</v>
      </c>
      <c r="AN11" s="37">
        <f>VLOOKUP(C11,'[2]MARÇO-2024'!$B:$M,12,0)</f>
        <v>79</v>
      </c>
      <c r="AO11" s="37">
        <f t="shared" si="5"/>
        <v>0</v>
      </c>
      <c r="AP11" s="37" t="str">
        <f t="shared" si="6"/>
        <v/>
      </c>
    </row>
    <row r="12" spans="1:42" ht="13.5" customHeight="1" x14ac:dyDescent="0.25">
      <c r="A12" s="17">
        <v>2</v>
      </c>
      <c r="B12" s="17">
        <v>2</v>
      </c>
      <c r="C12" s="29">
        <v>2002</v>
      </c>
      <c r="D12" s="38">
        <v>33066442</v>
      </c>
      <c r="E12" s="18" t="s">
        <v>394</v>
      </c>
      <c r="F12" s="68" t="s">
        <v>612</v>
      </c>
      <c r="G12" s="62" t="s">
        <v>113</v>
      </c>
      <c r="H12" s="19" t="s">
        <v>909</v>
      </c>
      <c r="I12" s="19" t="s">
        <v>1148</v>
      </c>
      <c r="J12" s="19" t="s">
        <v>1281</v>
      </c>
      <c r="K12" s="20" t="s">
        <v>1541</v>
      </c>
      <c r="L12" s="21">
        <v>24</v>
      </c>
      <c r="M12" s="21"/>
      <c r="N12" s="26" t="str">
        <f>IFERROR(VLOOKUP(O12,Apoio!A:B,2,0),"")</f>
        <v/>
      </c>
      <c r="O12" s="22">
        <f>IFERROR(VLOOKUP(C12,'[1]TB DIN'!$B:$D,3,0),"AGUARDANDO ANEXO")</f>
        <v>0</v>
      </c>
      <c r="P12" s="22">
        <f>IFERROR(VLOOKUP(C12,'[1]TB DIN INCLUIDOS'!$B:$H,3,0),"AGUARDANDO ANEXO")</f>
        <v>0</v>
      </c>
      <c r="Q12" s="26" cm="1">
        <f t="array" ref="Q12">_xlfn.IFS((P12&gt;N12),(N12*2),(P12&lt;=N12),(P12*2))</f>
        <v>0</v>
      </c>
      <c r="R12" s="22"/>
      <c r="S12" s="26" t="str">
        <f>IFERROR(VLOOKUP(T12,Apoio!A:B,2,0),"")</f>
        <v/>
      </c>
      <c r="T12" s="22">
        <f>IFERROR(VLOOKUP(C12,'[1]TB DIN'!$B:$H,4,0),"AGUARDANDO ANEXO")</f>
        <v>0</v>
      </c>
      <c r="U12" s="22">
        <f>IFERROR(VLOOKUP(C12,'[1]TB DIN INCLUIDOS'!$B:$H,4,0),"AGUARDANDO ANEXO")</f>
        <v>0</v>
      </c>
      <c r="V12" s="26" cm="1">
        <f t="array" ref="V12">_xlfn.IFS((U12&gt;S12),(S12*2),(U12&lt;=S12),(U12*2))</f>
        <v>0</v>
      </c>
      <c r="W12" s="22"/>
      <c r="X12" s="26" t="str">
        <f>IFERROR(VLOOKUP(Y12,Apoio!A:B,2,0),"")</f>
        <v/>
      </c>
      <c r="Y12" s="22">
        <f>IFERROR(VLOOKUP(C12,'[1]TB DIN'!$B:$H,5,0),"AGUARDANDO ANEXO")</f>
        <v>0</v>
      </c>
      <c r="Z12" s="22">
        <f>IFERROR(VLOOKUP(C12,'[1]TB DIN INCLUIDOS'!$B:$H,5,0),"AGUARDANDO ANEXO")</f>
        <v>0</v>
      </c>
      <c r="AA12" s="26" cm="1">
        <f t="array" ref="AA12">_xlfn.IFS((Z12&gt;X12),(X12*2),(Z12&lt;=X12),(Z12*2))</f>
        <v>0</v>
      </c>
      <c r="AB12" s="22"/>
      <c r="AC12" s="26">
        <f>IFERROR(VLOOKUP(AD12,Apoio!A:B,2,0),"")</f>
        <v>1</v>
      </c>
      <c r="AD12" s="22">
        <f>IFERROR(VLOOKUP(C12,'[1]TB DIN'!$B:$H,6,0),"AGUARDANDO ANEXO")</f>
        <v>24</v>
      </c>
      <c r="AE12" s="22">
        <f>IFERROR(VLOOKUP(C12,'[1]TB DIN INCLUIDOS'!$B:$H,6,0),"AGUARDANDO ANEXO")</f>
        <v>0</v>
      </c>
      <c r="AF12" s="26" cm="1">
        <f t="array" ref="AF12">_xlfn.IFS((AE12&gt;AC12),(AC12*2),(AE12&lt;=AC12),(AE12*2))</f>
        <v>0</v>
      </c>
      <c r="AG12" s="22"/>
      <c r="AH12" s="28">
        <f t="shared" si="0"/>
        <v>24</v>
      </c>
      <c r="AI12" s="28">
        <f t="shared" si="1"/>
        <v>0</v>
      </c>
      <c r="AJ12" s="28">
        <f t="shared" si="2"/>
        <v>0</v>
      </c>
      <c r="AK12" s="28">
        <f t="shared" si="3"/>
        <v>0</v>
      </c>
      <c r="AL12" s="28">
        <f t="shared" si="4"/>
        <v>0</v>
      </c>
      <c r="AM12" s="23" t="s">
        <v>1707</v>
      </c>
      <c r="AN12" s="37">
        <f>VLOOKUP(C12,'[2]MARÇO-2024'!$B:$M,12,0)</f>
        <v>24</v>
      </c>
      <c r="AO12" s="37">
        <f t="shared" si="5"/>
        <v>0</v>
      </c>
      <c r="AP12" s="37" t="str">
        <f t="shared" si="6"/>
        <v/>
      </c>
    </row>
    <row r="13" spans="1:42" ht="13.5" customHeight="1" x14ac:dyDescent="0.25">
      <c r="A13" s="17">
        <v>2</v>
      </c>
      <c r="B13" s="17">
        <v>3</v>
      </c>
      <c r="C13" s="29">
        <v>2003</v>
      </c>
      <c r="D13" s="38">
        <v>33095388</v>
      </c>
      <c r="E13" s="18" t="s">
        <v>369</v>
      </c>
      <c r="F13" s="68" t="s">
        <v>585</v>
      </c>
      <c r="G13" s="62" t="s">
        <v>85</v>
      </c>
      <c r="H13" s="19" t="s">
        <v>882</v>
      </c>
      <c r="I13" s="19" t="s">
        <v>882</v>
      </c>
      <c r="J13" s="19" t="s">
        <v>1253</v>
      </c>
      <c r="K13" s="20" t="s">
        <v>1542</v>
      </c>
      <c r="L13" s="21">
        <v>140</v>
      </c>
      <c r="M13" s="21"/>
      <c r="N13" s="26" t="str">
        <f>IFERROR(VLOOKUP(O13,Apoio!A:B,2,0),"")</f>
        <v/>
      </c>
      <c r="O13" s="22">
        <f>IFERROR(VLOOKUP(C13,'[1]TB DIN'!$B:$D,3,0),"AGUARDANDO ANEXO")</f>
        <v>0</v>
      </c>
      <c r="P13" s="22">
        <f>IFERROR(VLOOKUP(C13,'[1]TB DIN INCLUIDOS'!$B:$H,3,0),"AGUARDANDO ANEXO")</f>
        <v>0</v>
      </c>
      <c r="Q13" s="26" cm="1">
        <f t="array" ref="Q13">_xlfn.IFS((P13&gt;N13),(N13*2),(P13&lt;=N13),(P13*2))</f>
        <v>0</v>
      </c>
      <c r="R13" s="22"/>
      <c r="S13" s="26">
        <f>IFERROR(VLOOKUP(T13,Apoio!A:B,2,0),"")</f>
        <v>3</v>
      </c>
      <c r="T13" s="22">
        <v>54</v>
      </c>
      <c r="U13" s="22">
        <f>IFERROR(VLOOKUP(C13,'[1]TB DIN INCLUIDOS'!$B:$H,4,0),"AGUARDANDO ANEXO")</f>
        <v>0</v>
      </c>
      <c r="V13" s="26" cm="1">
        <f t="array" ref="V13">_xlfn.IFS((U13&gt;S13),(S13*2),(U13&lt;=S13),(U13*2))</f>
        <v>0</v>
      </c>
      <c r="W13" s="22"/>
      <c r="X13" s="26">
        <f>IFERROR(VLOOKUP(Y13,Apoio!A:B,2,0),"")</f>
        <v>2</v>
      </c>
      <c r="Y13" s="22">
        <f>IFERROR(VLOOKUP(C13,'[1]TB DIN'!$B:$H,5,0),"AGUARDANDO ANEXO")</f>
        <v>42</v>
      </c>
      <c r="Z13" s="22">
        <f>IFERROR(VLOOKUP(C13,'[1]TB DIN INCLUIDOS'!$B:$H,5,0),"AGUARDANDO ANEXO")</f>
        <v>1</v>
      </c>
      <c r="AA13" s="26" cm="1">
        <f t="array" ref="AA13">_xlfn.IFS((Z13&gt;X13),(X13*2),(Z13&lt;=X13),(Z13*2))</f>
        <v>2</v>
      </c>
      <c r="AB13" s="22"/>
      <c r="AC13" s="26">
        <f>IFERROR(VLOOKUP(AD13,Apoio!A:B,2,0),"")</f>
        <v>2</v>
      </c>
      <c r="AD13" s="22">
        <f>IFERROR(VLOOKUP(C13,'[1]TB DIN'!$B:$H,6,0),"AGUARDANDO ANEXO")</f>
        <v>41</v>
      </c>
      <c r="AE13" s="22">
        <f>IFERROR(VLOOKUP(C13,'[1]TB DIN INCLUIDOS'!$B:$H,6,0),"AGUARDANDO ANEXO")</f>
        <v>1</v>
      </c>
      <c r="AF13" s="26" cm="1">
        <f t="array" ref="AF13">_xlfn.IFS((AE13&gt;AC13),(AC13*2),(AE13&lt;=AC13),(AE13*2))</f>
        <v>2</v>
      </c>
      <c r="AG13" s="22"/>
      <c r="AH13" s="28">
        <f t="shared" si="0"/>
        <v>137</v>
      </c>
      <c r="AI13" s="28">
        <f t="shared" si="1"/>
        <v>2</v>
      </c>
      <c r="AJ13" s="28">
        <f t="shared" si="2"/>
        <v>4</v>
      </c>
      <c r="AK13" s="28">
        <f t="shared" si="3"/>
        <v>0</v>
      </c>
      <c r="AL13" s="28">
        <f t="shared" si="4"/>
        <v>-1</v>
      </c>
      <c r="AM13" s="23" t="s">
        <v>1707</v>
      </c>
      <c r="AN13" s="37">
        <f>VLOOKUP(C13,'[2]MARÇO-2024'!$B:$M,12,0)</f>
        <v>137</v>
      </c>
      <c r="AO13" s="37">
        <f t="shared" si="5"/>
        <v>0</v>
      </c>
      <c r="AP13" s="37" t="str">
        <f t="shared" si="6"/>
        <v/>
      </c>
    </row>
    <row r="14" spans="1:42" ht="13.5" customHeight="1" x14ac:dyDescent="0.25">
      <c r="A14" s="17">
        <v>2</v>
      </c>
      <c r="B14" s="17">
        <v>4</v>
      </c>
      <c r="C14" s="29">
        <v>2004</v>
      </c>
      <c r="D14" s="38">
        <v>33095450</v>
      </c>
      <c r="E14" s="18" t="s">
        <v>364</v>
      </c>
      <c r="F14" s="68" t="s">
        <v>580</v>
      </c>
      <c r="G14" s="62" t="s">
        <v>80</v>
      </c>
      <c r="H14" s="19" t="s">
        <v>877</v>
      </c>
      <c r="I14" s="19" t="s">
        <v>1129</v>
      </c>
      <c r="J14" s="19" t="s">
        <v>1248</v>
      </c>
      <c r="K14" s="20" t="s">
        <v>1542</v>
      </c>
      <c r="L14" s="21">
        <v>160</v>
      </c>
      <c r="M14" s="21"/>
      <c r="N14" s="26" t="str">
        <f>IFERROR(VLOOKUP(O14,Apoio!A:B,2,0),"")</f>
        <v/>
      </c>
      <c r="O14" s="22">
        <f>IFERROR(VLOOKUP(C14,'[1]TB DIN'!$B:$D,3,0),"AGUARDANDO ANEXO")</f>
        <v>0</v>
      </c>
      <c r="P14" s="22">
        <f>IFERROR(VLOOKUP(C14,'[1]TB DIN INCLUIDOS'!$B:$H,3,0),"AGUARDANDO ANEXO")</f>
        <v>0</v>
      </c>
      <c r="Q14" s="26" cm="1">
        <f t="array" ref="Q14">_xlfn.IFS((P14&gt;N14),(N14*2),(P14&lt;=N14),(P14*2))</f>
        <v>0</v>
      </c>
      <c r="R14" s="22"/>
      <c r="S14" s="26">
        <f>IFERROR(VLOOKUP(T14,Apoio!A:B,2,0),"")</f>
        <v>1</v>
      </c>
      <c r="T14" s="22">
        <f>IFERROR(VLOOKUP(C14,'[1]TB DIN'!$B:$H,4,0),"AGUARDANDO ANEXO")</f>
        <v>24</v>
      </c>
      <c r="U14" s="22">
        <f>IFERROR(VLOOKUP(C14,'[1]TB DIN INCLUIDOS'!$B:$H,4,0),"AGUARDANDO ANEXO")</f>
        <v>0</v>
      </c>
      <c r="V14" s="26" cm="1">
        <f t="array" ref="V14">_xlfn.IFS((U14&gt;S14),(S14*2),(U14&lt;=S14),(U14*2))</f>
        <v>0</v>
      </c>
      <c r="W14" s="22"/>
      <c r="X14" s="26">
        <f>IFERROR(VLOOKUP(Y14,Apoio!A:B,2,0),"")</f>
        <v>3</v>
      </c>
      <c r="Y14" s="22">
        <v>64</v>
      </c>
      <c r="Z14" s="22">
        <v>4</v>
      </c>
      <c r="AA14" s="46" cm="1">
        <f t="array" ref="AA14">_xlfn.IFS((Z14&gt;X14),(X14*2),(Z14&lt;=X14),(Z14*2))</f>
        <v>6</v>
      </c>
      <c r="AB14" s="22"/>
      <c r="AC14" s="26">
        <f>IFERROR(VLOOKUP(AD14,Apoio!A:B,2,0),"")</f>
        <v>3</v>
      </c>
      <c r="AD14" s="22">
        <f>IFERROR(VLOOKUP(C14,'[1]TB DIN'!$B:$H,6,0),"AGUARDANDO ANEXO")</f>
        <v>67</v>
      </c>
      <c r="AE14" s="22">
        <f>IFERROR(VLOOKUP(C14,'[1]TB DIN INCLUIDOS'!$B:$H,6,0),"AGUARDANDO ANEXO")</f>
        <v>1</v>
      </c>
      <c r="AF14" s="26" cm="1">
        <f t="array" ref="AF14">_xlfn.IFS((AE14&gt;AC14),(AC14*2),(AE14&lt;=AC14),(AE14*2))</f>
        <v>2</v>
      </c>
      <c r="AG14" s="22"/>
      <c r="AH14" s="28">
        <f t="shared" si="0"/>
        <v>155</v>
      </c>
      <c r="AI14" s="28">
        <f t="shared" si="1"/>
        <v>5</v>
      </c>
      <c r="AJ14" s="28">
        <f t="shared" si="2"/>
        <v>8</v>
      </c>
      <c r="AK14" s="28">
        <f t="shared" si="3"/>
        <v>0</v>
      </c>
      <c r="AL14" s="28">
        <f t="shared" si="4"/>
        <v>-3</v>
      </c>
      <c r="AM14" s="23" t="s">
        <v>1834</v>
      </c>
      <c r="AN14" s="37">
        <f>VLOOKUP(C14,'[2]MARÇO-2024'!$B:$M,12,0)</f>
        <v>154</v>
      </c>
      <c r="AO14" s="37">
        <f t="shared" si="5"/>
        <v>-1</v>
      </c>
      <c r="AP14" s="37" t="str">
        <f t="shared" si="6"/>
        <v/>
      </c>
    </row>
    <row r="15" spans="1:42" ht="13.5" customHeight="1" x14ac:dyDescent="0.25">
      <c r="A15" s="17">
        <v>2</v>
      </c>
      <c r="B15" s="17">
        <v>5</v>
      </c>
      <c r="C15" s="29">
        <v>2005</v>
      </c>
      <c r="D15" s="38">
        <v>33096414</v>
      </c>
      <c r="E15" s="18" t="s">
        <v>395</v>
      </c>
      <c r="F15" s="68" t="s">
        <v>613</v>
      </c>
      <c r="G15" s="62" t="s">
        <v>114</v>
      </c>
      <c r="H15" s="19" t="s">
        <v>910</v>
      </c>
      <c r="I15" s="19" t="s">
        <v>910</v>
      </c>
      <c r="J15" s="19" t="s">
        <v>1282</v>
      </c>
      <c r="K15" s="20" t="s">
        <v>1547</v>
      </c>
      <c r="L15" s="21">
        <v>72</v>
      </c>
      <c r="M15" s="21"/>
      <c r="N15" s="26" t="str">
        <f>IFERROR(VLOOKUP(O15,Apoio!A:B,2,0),"")</f>
        <v/>
      </c>
      <c r="O15" s="22">
        <f>IFERROR(VLOOKUP(C15,'[1]TB DIN'!$B:$D,3,0),"AGUARDANDO ANEXO")</f>
        <v>0</v>
      </c>
      <c r="P15" s="22">
        <f>IFERROR(VLOOKUP(C15,'[1]TB DIN INCLUIDOS'!$B:$H,3,0),"AGUARDANDO ANEXO")</f>
        <v>0</v>
      </c>
      <c r="Q15" s="26" cm="1">
        <f t="array" ref="Q15">_xlfn.IFS((P15&gt;N15),(N15*2),(P15&lt;=N15),(P15*2))</f>
        <v>0</v>
      </c>
      <c r="R15" s="22"/>
      <c r="S15" s="26" t="str">
        <f>IFERROR(VLOOKUP(T15,Apoio!A:B,2,0),"")</f>
        <v/>
      </c>
      <c r="T15" s="22">
        <f>IFERROR(VLOOKUP(C15,'[1]TB DIN'!$B:$H,4,0),"AGUARDANDO ANEXO")</f>
        <v>0</v>
      </c>
      <c r="U15" s="22">
        <f>IFERROR(VLOOKUP(C15,'[1]TB DIN INCLUIDOS'!$B:$H,4,0),"AGUARDANDO ANEXO")</f>
        <v>0</v>
      </c>
      <c r="V15" s="26" cm="1">
        <f t="array" ref="V15">_xlfn.IFS((U15&gt;S15),(S15*2),(U15&lt;=S15),(U15*2))</f>
        <v>0</v>
      </c>
      <c r="W15" s="22"/>
      <c r="X15" s="26">
        <f>IFERROR(VLOOKUP(Y15,Apoio!A:B,2,0),"")</f>
        <v>2</v>
      </c>
      <c r="Y15" s="22">
        <v>32</v>
      </c>
      <c r="Z15" s="22">
        <f>IFERROR(VLOOKUP(C15,'[1]TB DIN INCLUIDOS'!$B:$H,5,0),"AGUARDANDO ANEXO")</f>
        <v>0</v>
      </c>
      <c r="AA15" s="26" cm="1">
        <f t="array" ref="AA15">_xlfn.IFS((Z15&gt;X15),(X15*2),(Z15&lt;=X15),(Z15*2))</f>
        <v>0</v>
      </c>
      <c r="AB15" s="22"/>
      <c r="AC15" s="26">
        <f>IFERROR(VLOOKUP(AD15,Apoio!A:B,2,0),"")</f>
        <v>2</v>
      </c>
      <c r="AD15" s="22">
        <v>40</v>
      </c>
      <c r="AE15" s="22">
        <f>IFERROR(VLOOKUP(C15,'[1]TB DIN INCLUIDOS'!$B:$H,6,0),"AGUARDANDO ANEXO")</f>
        <v>0</v>
      </c>
      <c r="AF15" s="26" cm="1">
        <f t="array" ref="AF15">_xlfn.IFS((AE15&gt;AC15),(AC15*2),(AE15&lt;=AC15),(AE15*2))</f>
        <v>0</v>
      </c>
      <c r="AG15" s="22"/>
      <c r="AH15" s="28">
        <f t="shared" si="0"/>
        <v>72</v>
      </c>
      <c r="AI15" s="28">
        <f t="shared" si="1"/>
        <v>0</v>
      </c>
      <c r="AJ15" s="28">
        <f t="shared" si="2"/>
        <v>0</v>
      </c>
      <c r="AK15" s="28">
        <f t="shared" si="3"/>
        <v>0</v>
      </c>
      <c r="AL15" s="28">
        <f t="shared" si="4"/>
        <v>0</v>
      </c>
      <c r="AM15" s="23" t="s">
        <v>1707</v>
      </c>
      <c r="AN15" s="37">
        <f>VLOOKUP(C15,'[2]MARÇO-2024'!$B:$M,12,0)</f>
        <v>72</v>
      </c>
      <c r="AO15" s="37">
        <f t="shared" si="5"/>
        <v>0</v>
      </c>
      <c r="AP15" s="37" t="str">
        <f t="shared" si="6"/>
        <v/>
      </c>
    </row>
    <row r="16" spans="1:42" ht="13.5" customHeight="1" x14ac:dyDescent="0.25">
      <c r="A16" s="17">
        <v>2</v>
      </c>
      <c r="B16" s="17">
        <v>6</v>
      </c>
      <c r="C16" s="29">
        <v>2006</v>
      </c>
      <c r="D16" s="38">
        <v>33096422</v>
      </c>
      <c r="E16" s="18" t="s">
        <v>386</v>
      </c>
      <c r="F16" s="68" t="s">
        <v>603</v>
      </c>
      <c r="G16" s="62" t="s">
        <v>104</v>
      </c>
      <c r="H16" s="19" t="s">
        <v>900</v>
      </c>
      <c r="I16" s="19" t="s">
        <v>900</v>
      </c>
      <c r="J16" s="19" t="s">
        <v>1272</v>
      </c>
      <c r="K16" s="20" t="s">
        <v>1542</v>
      </c>
      <c r="L16" s="21">
        <v>75</v>
      </c>
      <c r="M16" s="21"/>
      <c r="N16" s="26" t="str">
        <f>IFERROR(VLOOKUP(O16,Apoio!A:B,2,0),"")</f>
        <v/>
      </c>
      <c r="O16" s="22">
        <f>IFERROR(VLOOKUP(C16,'[1]TB DIN'!$B:$D,3,0),"AGUARDANDO ANEXO")</f>
        <v>0</v>
      </c>
      <c r="P16" s="22">
        <f>IFERROR(VLOOKUP(C16,'[1]TB DIN INCLUIDOS'!$B:$H,3,0),"AGUARDANDO ANEXO")</f>
        <v>0</v>
      </c>
      <c r="Q16" s="26" cm="1">
        <f t="array" ref="Q16">_xlfn.IFS((P16&gt;N16),(N16*2),(P16&lt;=N16),(P16*2))</f>
        <v>0</v>
      </c>
      <c r="R16" s="22"/>
      <c r="S16" s="26">
        <f>IFERROR(VLOOKUP(T16,Apoio!A:B,2,0),"")</f>
        <v>1</v>
      </c>
      <c r="T16" s="22">
        <f>IFERROR(VLOOKUP(C16,'[1]TB DIN'!$B:$H,4,0),"AGUARDANDO ANEXO")</f>
        <v>25</v>
      </c>
      <c r="U16" s="22">
        <f>IFERROR(VLOOKUP(C16,'[1]TB DIN INCLUIDOS'!$B:$H,4,0),"AGUARDANDO ANEXO")</f>
        <v>0</v>
      </c>
      <c r="V16" s="26" cm="1">
        <f t="array" ref="V16">_xlfn.IFS((U16&gt;S16),(S16*2),(U16&lt;=S16),(U16*2))</f>
        <v>0</v>
      </c>
      <c r="W16" s="22"/>
      <c r="X16" s="26">
        <f>IFERROR(VLOOKUP(Y16,Apoio!A:B,2,0),"")</f>
        <v>1</v>
      </c>
      <c r="Y16" s="22">
        <v>25</v>
      </c>
      <c r="Z16" s="22">
        <f>IFERROR(VLOOKUP(C16,'[1]TB DIN INCLUIDOS'!$B:$H,5,0),"AGUARDANDO ANEXO")</f>
        <v>1</v>
      </c>
      <c r="AA16" s="26" cm="1">
        <f t="array" ref="AA16">_xlfn.IFS((Z16&gt;X16),(X16*2),(Z16&lt;=X16),(Z16*2))</f>
        <v>2</v>
      </c>
      <c r="AB16" s="22"/>
      <c r="AC16" s="26">
        <f>IFERROR(VLOOKUP(AD16,Apoio!A:B,2,0),"")</f>
        <v>1</v>
      </c>
      <c r="AD16" s="22">
        <f>IFERROR(VLOOKUP(C16,'[1]TB DIN'!$B:$H,6,0),"AGUARDANDO ANEXO")</f>
        <v>23</v>
      </c>
      <c r="AE16" s="22">
        <f>IFERROR(VLOOKUP(C16,'[1]TB DIN INCLUIDOS'!$B:$H,6,0),"AGUARDANDO ANEXO")</f>
        <v>1</v>
      </c>
      <c r="AF16" s="26" cm="1">
        <f t="array" ref="AF16">_xlfn.IFS((AE16&gt;AC16),(AC16*2),(AE16&lt;=AC16),(AE16*2))</f>
        <v>2</v>
      </c>
      <c r="AG16" s="22"/>
      <c r="AH16" s="28">
        <f t="shared" si="0"/>
        <v>73</v>
      </c>
      <c r="AI16" s="28">
        <f t="shared" si="1"/>
        <v>2</v>
      </c>
      <c r="AJ16" s="28">
        <f t="shared" si="2"/>
        <v>4</v>
      </c>
      <c r="AK16" s="28">
        <f t="shared" si="3"/>
        <v>0</v>
      </c>
      <c r="AL16" s="28">
        <f t="shared" si="4"/>
        <v>-2</v>
      </c>
      <c r="AM16" s="23" t="s">
        <v>1707</v>
      </c>
      <c r="AN16" s="37">
        <f>VLOOKUP(C16,'[2]MARÇO-2024'!$B:$M,12,0)</f>
        <v>73</v>
      </c>
      <c r="AO16" s="37">
        <f t="shared" si="5"/>
        <v>0</v>
      </c>
      <c r="AP16" s="37" t="str">
        <f t="shared" si="6"/>
        <v/>
      </c>
    </row>
    <row r="17" spans="1:42" ht="13.5" customHeight="1" x14ac:dyDescent="0.25">
      <c r="A17" s="17">
        <v>2</v>
      </c>
      <c r="B17" s="17">
        <v>7</v>
      </c>
      <c r="C17" s="29">
        <v>2009</v>
      </c>
      <c r="D17" s="38">
        <v>33108064</v>
      </c>
      <c r="E17" s="18" t="s">
        <v>363</v>
      </c>
      <c r="F17" s="68" t="s">
        <v>579</v>
      </c>
      <c r="G17" s="62" t="s">
        <v>79</v>
      </c>
      <c r="H17" s="19" t="s">
        <v>876</v>
      </c>
      <c r="I17" s="19" t="s">
        <v>876</v>
      </c>
      <c r="J17" s="19" t="s">
        <v>1247</v>
      </c>
      <c r="K17" s="20" t="s">
        <v>1541</v>
      </c>
      <c r="L17" s="21">
        <v>96</v>
      </c>
      <c r="M17" s="21"/>
      <c r="N17" s="26" t="str">
        <f>IFERROR(VLOOKUP(O17,Apoio!A:B,2,0),"")</f>
        <v/>
      </c>
      <c r="O17" s="22">
        <f>IFERROR(VLOOKUP(C17,'[1]TB DIN'!$B:$D,3,0),"AGUARDANDO ANEXO")</f>
        <v>0</v>
      </c>
      <c r="P17" s="22">
        <f>IFERROR(VLOOKUP(C17,'[1]TB DIN INCLUIDOS'!$B:$H,3,0),"AGUARDANDO ANEXO")</f>
        <v>0</v>
      </c>
      <c r="Q17" s="26" cm="1">
        <f t="array" ref="Q17">_xlfn.IFS((P17&gt;N17),(N17*2),(P17&lt;=N17),(P17*2))</f>
        <v>0</v>
      </c>
      <c r="R17" s="22"/>
      <c r="S17" s="26" t="str">
        <f>IFERROR(VLOOKUP(T17,Apoio!A:B,2,0),"")</f>
        <v/>
      </c>
      <c r="T17" s="22">
        <f>IFERROR(VLOOKUP(C17,'[1]TB DIN'!$B:$H,4,0),"AGUARDANDO ANEXO")</f>
        <v>0</v>
      </c>
      <c r="U17" s="22">
        <f>IFERROR(VLOOKUP(C17,'[1]TB DIN INCLUIDOS'!$B:$H,4,0),"AGUARDANDO ANEXO")</f>
        <v>0</v>
      </c>
      <c r="V17" s="26" cm="1">
        <f t="array" ref="V17">_xlfn.IFS((U17&gt;S17),(S17*2),(U17&lt;=S17),(U17*2))</f>
        <v>0</v>
      </c>
      <c r="W17" s="22"/>
      <c r="X17" s="26">
        <f>IFERROR(VLOOKUP(Y17,Apoio!A:B,2,0),"")</f>
        <v>2</v>
      </c>
      <c r="Y17" s="22">
        <v>49</v>
      </c>
      <c r="Z17" s="22">
        <f>IFERROR(VLOOKUP(C17,'[1]TB DIN INCLUIDOS'!$B:$H,5,0),"AGUARDANDO ANEXO")</f>
        <v>0</v>
      </c>
      <c r="AA17" s="26" cm="1">
        <f t="array" ref="AA17">_xlfn.IFS((Z17&gt;X17),(X17*2),(Z17&lt;=X17),(Z17*2))</f>
        <v>0</v>
      </c>
      <c r="AB17" s="22"/>
      <c r="AC17" s="26">
        <f>IFERROR(VLOOKUP(AD17,Apoio!A:B,2,0),"")</f>
        <v>2</v>
      </c>
      <c r="AD17" s="22">
        <v>46</v>
      </c>
      <c r="AE17" s="47">
        <v>3</v>
      </c>
      <c r="AF17" s="46" cm="1">
        <f t="array" ref="AF17">_xlfn.IFS((AE17&gt;AC17),(AC17*2),(AE17&lt;=AC17),(AE17*2))</f>
        <v>4</v>
      </c>
      <c r="AG17" s="22"/>
      <c r="AH17" s="28">
        <f t="shared" si="0"/>
        <v>95</v>
      </c>
      <c r="AI17" s="28">
        <f t="shared" si="1"/>
        <v>3</v>
      </c>
      <c r="AJ17" s="28">
        <f t="shared" si="2"/>
        <v>4</v>
      </c>
      <c r="AK17" s="28">
        <f t="shared" si="3"/>
        <v>0</v>
      </c>
      <c r="AL17" s="28">
        <f t="shared" si="4"/>
        <v>-3</v>
      </c>
      <c r="AM17" s="23" t="s">
        <v>1707</v>
      </c>
      <c r="AN17" s="37">
        <f>VLOOKUP(C17,'[2]MARÇO-2024'!$B:$M,12,0)</f>
        <v>94</v>
      </c>
      <c r="AO17" s="37">
        <f t="shared" si="5"/>
        <v>-1</v>
      </c>
      <c r="AP17" s="37" t="str">
        <f t="shared" si="6"/>
        <v/>
      </c>
    </row>
    <row r="18" spans="1:42" ht="13.5" customHeight="1" x14ac:dyDescent="0.25">
      <c r="A18" s="17">
        <v>2</v>
      </c>
      <c r="B18" s="17">
        <v>8</v>
      </c>
      <c r="C18" s="29">
        <v>2010</v>
      </c>
      <c r="D18" s="38">
        <v>33113777</v>
      </c>
      <c r="E18" s="18" t="s">
        <v>384</v>
      </c>
      <c r="F18" s="68" t="s">
        <v>601</v>
      </c>
      <c r="G18" s="62" t="s">
        <v>102</v>
      </c>
      <c r="H18" s="19" t="s">
        <v>898</v>
      </c>
      <c r="I18" s="19" t="s">
        <v>1143</v>
      </c>
      <c r="J18" s="19" t="s">
        <v>1270</v>
      </c>
      <c r="K18" s="20" t="s">
        <v>1552</v>
      </c>
      <c r="L18" s="21">
        <v>170</v>
      </c>
      <c r="M18" s="21"/>
      <c r="N18" s="26" t="str">
        <f>IFERROR(VLOOKUP(O18,Apoio!A:B,2,0),"")</f>
        <v/>
      </c>
      <c r="O18" s="22">
        <f>IFERROR(VLOOKUP(C18,'[1]TB DIN'!$B:$D,3,0),"AGUARDANDO ANEXO")</f>
        <v>0</v>
      </c>
      <c r="P18" s="22">
        <f>IFERROR(VLOOKUP(C18,'[1]TB DIN INCLUIDOS'!$B:$H,3,0),"AGUARDANDO ANEXO")</f>
        <v>0</v>
      </c>
      <c r="Q18" s="26" cm="1">
        <f t="array" ref="Q18">_xlfn.IFS((P18&gt;N18),(N18*2),(P18&lt;=N18),(P18*2))</f>
        <v>0</v>
      </c>
      <c r="R18" s="22"/>
      <c r="S18" s="26">
        <f>IFERROR(VLOOKUP(T18,Apoio!A:B,2,0),"")</f>
        <v>3</v>
      </c>
      <c r="T18" s="22">
        <f>IFERROR(VLOOKUP(C18,'[1]TB DIN'!$B:$H,4,0),"AGUARDANDO ANEXO")</f>
        <v>57</v>
      </c>
      <c r="U18" s="22">
        <f>IFERROR(VLOOKUP(C18,'[1]TB DIN INCLUIDOS'!$B:$H,4,0),"AGUARDANDO ANEXO")</f>
        <v>1</v>
      </c>
      <c r="V18" s="26" cm="1">
        <f t="array" ref="V18">_xlfn.IFS((U18&gt;S18),(S18*2),(U18&lt;=S18),(U18*2))</f>
        <v>2</v>
      </c>
      <c r="W18" s="22"/>
      <c r="X18" s="26">
        <f>IFERROR(VLOOKUP(Y18,Apoio!A:B,2,0),"")</f>
        <v>3</v>
      </c>
      <c r="Y18" s="22">
        <v>60</v>
      </c>
      <c r="Z18" s="22">
        <v>1</v>
      </c>
      <c r="AA18" s="26" cm="1">
        <f t="array" ref="AA18">_xlfn.IFS((Z18&gt;X18),(X18*2),(Z18&lt;=X18),(Z18*2))</f>
        <v>2</v>
      </c>
      <c r="AB18" s="22"/>
      <c r="AC18" s="26">
        <f>IFERROR(VLOOKUP(AD18,Apoio!A:B,2,0),"")</f>
        <v>3</v>
      </c>
      <c r="AD18" s="22">
        <f>IFERROR(VLOOKUP(C18,'[1]TB DIN'!$B:$H,6,0),"AGUARDANDO ANEXO")</f>
        <v>54</v>
      </c>
      <c r="AE18" s="22">
        <v>2</v>
      </c>
      <c r="AF18" s="26" cm="1">
        <f t="array" ref="AF18">_xlfn.IFS((AE18&gt;AC18),(AC18*2),(AE18&lt;=AC18),(AE18*2))</f>
        <v>4</v>
      </c>
      <c r="AG18" s="22"/>
      <c r="AH18" s="48">
        <f t="shared" si="0"/>
        <v>171</v>
      </c>
      <c r="AI18" s="48">
        <f t="shared" si="1"/>
        <v>4</v>
      </c>
      <c r="AJ18" s="48">
        <f t="shared" si="2"/>
        <v>8</v>
      </c>
      <c r="AK18" s="48">
        <f t="shared" si="3"/>
        <v>0</v>
      </c>
      <c r="AL18" s="48">
        <f t="shared" si="4"/>
        <v>-9</v>
      </c>
      <c r="AM18" s="23" t="s">
        <v>1707</v>
      </c>
      <c r="AN18" s="49">
        <f>VLOOKUP(C18,'[2]MARÇO-2024'!$B:$M,12,0)</f>
        <v>170</v>
      </c>
      <c r="AO18" s="49">
        <f t="shared" si="5"/>
        <v>-1</v>
      </c>
      <c r="AP18" s="49" t="str">
        <f t="shared" si="6"/>
        <v>Qt de aluno maior que a meta</v>
      </c>
    </row>
    <row r="19" spans="1:42" ht="13.5" customHeight="1" x14ac:dyDescent="0.25">
      <c r="A19" s="17">
        <v>2</v>
      </c>
      <c r="B19" s="17">
        <v>9</v>
      </c>
      <c r="C19" s="29">
        <v>2011</v>
      </c>
      <c r="D19" s="38">
        <v>33114404</v>
      </c>
      <c r="E19" s="18" t="s">
        <v>404</v>
      </c>
      <c r="F19" s="68" t="s">
        <v>622</v>
      </c>
      <c r="G19" s="62" t="s">
        <v>123</v>
      </c>
      <c r="H19" s="19" t="s">
        <v>919</v>
      </c>
      <c r="I19" s="19" t="s">
        <v>919</v>
      </c>
      <c r="J19" s="19" t="s">
        <v>1291</v>
      </c>
      <c r="K19" s="20" t="s">
        <v>1552</v>
      </c>
      <c r="L19" s="21">
        <v>45</v>
      </c>
      <c r="M19" s="21"/>
      <c r="N19" s="26" t="str">
        <f>IFERROR(VLOOKUP(O19,Apoio!A:B,2,0),"")</f>
        <v/>
      </c>
      <c r="O19" s="22">
        <f>IFERROR(VLOOKUP(C19,'[1]TB DIN'!$B:$D,3,0),"AGUARDANDO ANEXO")</f>
        <v>0</v>
      </c>
      <c r="P19" s="22">
        <f>IFERROR(VLOOKUP(C19,'[1]TB DIN INCLUIDOS'!$B:$H,3,0),"AGUARDANDO ANEXO")</f>
        <v>0</v>
      </c>
      <c r="Q19" s="26" cm="1">
        <f t="array" ref="Q19">_xlfn.IFS((P19&gt;N19),(N19*2),(P19&lt;=N19),(P19*2))</f>
        <v>0</v>
      </c>
      <c r="R19" s="22"/>
      <c r="S19" s="26">
        <f>IFERROR(VLOOKUP(T19,Apoio!A:B,2,0),"")</f>
        <v>1</v>
      </c>
      <c r="T19" s="22">
        <f>IFERROR(VLOOKUP(C19,'[1]TB DIN'!$B:$H,4,0),"AGUARDANDO ANEXO")</f>
        <v>17</v>
      </c>
      <c r="U19" s="22">
        <f>IFERROR(VLOOKUP(C19,'[1]TB DIN INCLUIDOS'!$B:$H,4,0),"AGUARDANDO ANEXO")</f>
        <v>0</v>
      </c>
      <c r="V19" s="26" cm="1">
        <f t="array" ref="V19">_xlfn.IFS((U19&gt;S19),(S19*2),(U19&lt;=S19),(U19*2))</f>
        <v>0</v>
      </c>
      <c r="W19" s="22"/>
      <c r="X19" s="26">
        <f>IFERROR(VLOOKUP(Y19,Apoio!A:B,2,0),"")</f>
        <v>1</v>
      </c>
      <c r="Y19" s="22">
        <v>17</v>
      </c>
      <c r="Z19" s="22">
        <f>IFERROR(VLOOKUP(C19,'[1]TB DIN INCLUIDOS'!$B:$H,5,0),"AGUARDANDO ANEXO")</f>
        <v>0</v>
      </c>
      <c r="AA19" s="26" cm="1">
        <f t="array" ref="AA19">_xlfn.IFS((Z19&gt;X19),(X19*2),(Z19&lt;=X19),(Z19*2))</f>
        <v>0</v>
      </c>
      <c r="AB19" s="22"/>
      <c r="AC19" s="26">
        <f>IFERROR(VLOOKUP(AD19,Apoio!A:B,2,0),"")</f>
        <v>1</v>
      </c>
      <c r="AD19" s="22">
        <f>IFERROR(VLOOKUP(C19,'[1]TB DIN'!$B:$H,6,0),"AGUARDANDO ANEXO")</f>
        <v>11</v>
      </c>
      <c r="AE19" s="22">
        <v>2</v>
      </c>
      <c r="AF19" s="26" cm="1">
        <f t="array" ref="AF19">_xlfn.IFS((AE19&gt;AC19),(AC19*2),(AE19&lt;=AC19),(AE19*2))</f>
        <v>2</v>
      </c>
      <c r="AG19" s="22"/>
      <c r="AH19" s="28">
        <f t="shared" si="0"/>
        <v>45</v>
      </c>
      <c r="AI19" s="28">
        <f t="shared" si="1"/>
        <v>2</v>
      </c>
      <c r="AJ19" s="28">
        <f t="shared" si="2"/>
        <v>2</v>
      </c>
      <c r="AK19" s="28">
        <f t="shared" si="3"/>
        <v>0</v>
      </c>
      <c r="AL19" s="28">
        <f t="shared" si="4"/>
        <v>-2</v>
      </c>
      <c r="AM19" s="23" t="s">
        <v>1707</v>
      </c>
      <c r="AN19" s="37">
        <f>VLOOKUP(C19,'[2]MARÇO-2024'!$B:$M,12,0)</f>
        <v>45</v>
      </c>
      <c r="AO19" s="37">
        <f t="shared" si="5"/>
        <v>0</v>
      </c>
      <c r="AP19" s="37" t="str">
        <f t="shared" si="6"/>
        <v/>
      </c>
    </row>
    <row r="20" spans="1:42" ht="13.5" customHeight="1" x14ac:dyDescent="0.25">
      <c r="A20" s="17">
        <v>2</v>
      </c>
      <c r="B20" s="17">
        <v>10</v>
      </c>
      <c r="C20" s="29">
        <v>2012</v>
      </c>
      <c r="D20" s="38">
        <v>33114455</v>
      </c>
      <c r="E20" s="18" t="s">
        <v>397</v>
      </c>
      <c r="F20" s="68" t="s">
        <v>615</v>
      </c>
      <c r="G20" s="62" t="s">
        <v>116</v>
      </c>
      <c r="H20" s="19" t="s">
        <v>912</v>
      </c>
      <c r="I20" s="19" t="s">
        <v>912</v>
      </c>
      <c r="J20" s="19" t="s">
        <v>1284</v>
      </c>
      <c r="K20" s="20" t="s">
        <v>1558</v>
      </c>
      <c r="L20" s="21">
        <v>70</v>
      </c>
      <c r="M20" s="21"/>
      <c r="N20" s="26" t="str">
        <f>IFERROR(VLOOKUP(O20,Apoio!A:B,2,0),"")</f>
        <v/>
      </c>
      <c r="O20" s="22">
        <f>IFERROR(VLOOKUP(C20,'[1]TB DIN'!$B:$D,3,0),"AGUARDANDO ANEXO")</f>
        <v>0</v>
      </c>
      <c r="P20" s="22">
        <f>IFERROR(VLOOKUP(C20,'[1]TB DIN INCLUIDOS'!$B:$H,3,0),"AGUARDANDO ANEXO")</f>
        <v>0</v>
      </c>
      <c r="Q20" s="26" cm="1">
        <f t="array" ref="Q20">_xlfn.IFS((P20&gt;N20),(N20*2),(P20&lt;=N20),(P20*2))</f>
        <v>0</v>
      </c>
      <c r="R20" s="22"/>
      <c r="S20" s="26">
        <f>IFERROR(VLOOKUP(T20,Apoio!A:B,2,0),"")</f>
        <v>1</v>
      </c>
      <c r="T20" s="22">
        <f>IFERROR(VLOOKUP(C20,'[1]TB DIN'!$B:$H,4,0),"AGUARDANDO ANEXO")</f>
        <v>24</v>
      </c>
      <c r="U20" s="22">
        <f>IFERROR(VLOOKUP(C20,'[1]TB DIN INCLUIDOS'!$B:$H,4,0),"AGUARDANDO ANEXO")</f>
        <v>0</v>
      </c>
      <c r="V20" s="26" cm="1">
        <f t="array" ref="V20">_xlfn.IFS((U20&gt;S20),(S20*2),(U20&lt;=S20),(U20*2))</f>
        <v>0</v>
      </c>
      <c r="W20" s="22"/>
      <c r="X20" s="26">
        <f>IFERROR(VLOOKUP(Y20,Apoio!A:B,2,0),"")</f>
        <v>1</v>
      </c>
      <c r="Y20" s="22">
        <f>IFERROR(VLOOKUP(C20,'[1]TB DIN'!$B:$H,5,0),"AGUARDANDO ANEXO")</f>
        <v>20</v>
      </c>
      <c r="Z20" s="22">
        <f>IFERROR(VLOOKUP(C20,'[1]TB DIN INCLUIDOS'!$B:$H,5,0),"AGUARDANDO ANEXO")</f>
        <v>0</v>
      </c>
      <c r="AA20" s="26" cm="1">
        <f t="array" ref="AA20">_xlfn.IFS((Z20&gt;X20),(X20*2),(Z20&lt;=X20),(Z20*2))</f>
        <v>0</v>
      </c>
      <c r="AB20" s="22"/>
      <c r="AC20" s="26">
        <f>IFERROR(VLOOKUP(AD20,Apoio!A:B,2,0),"")</f>
        <v>2</v>
      </c>
      <c r="AD20" s="22">
        <f>IFERROR(VLOOKUP(C20,'[1]TB DIN'!$B:$H,6,0),"AGUARDANDO ANEXO")</f>
        <v>26</v>
      </c>
      <c r="AE20" s="22">
        <f>IFERROR(VLOOKUP(C20,'[1]TB DIN INCLUIDOS'!$B:$H,6,0),"AGUARDANDO ANEXO")</f>
        <v>0</v>
      </c>
      <c r="AF20" s="26" cm="1">
        <f t="array" ref="AF20">_xlfn.IFS((AE20&gt;AC20),(AC20*2),(AE20&lt;=AC20),(AE20*2))</f>
        <v>0</v>
      </c>
      <c r="AG20" s="22"/>
      <c r="AH20" s="28">
        <f t="shared" si="0"/>
        <v>70</v>
      </c>
      <c r="AI20" s="28">
        <f t="shared" si="1"/>
        <v>0</v>
      </c>
      <c r="AJ20" s="28">
        <f t="shared" si="2"/>
        <v>0</v>
      </c>
      <c r="AK20" s="28">
        <f t="shared" si="3"/>
        <v>0</v>
      </c>
      <c r="AL20" s="28">
        <f t="shared" si="4"/>
        <v>0</v>
      </c>
      <c r="AM20" s="23" t="s">
        <v>1707</v>
      </c>
      <c r="AN20" s="37">
        <f>VLOOKUP(C20,'[2]MARÇO-2024'!$B:$M,12,0)</f>
        <v>70</v>
      </c>
      <c r="AO20" s="37">
        <f t="shared" si="5"/>
        <v>0</v>
      </c>
      <c r="AP20" s="37" t="str">
        <f t="shared" si="6"/>
        <v/>
      </c>
    </row>
    <row r="21" spans="1:42" ht="13.5" customHeight="1" x14ac:dyDescent="0.25">
      <c r="A21" s="17">
        <v>2</v>
      </c>
      <c r="B21" s="17">
        <v>11</v>
      </c>
      <c r="C21" s="29">
        <v>2013</v>
      </c>
      <c r="D21" s="38">
        <v>33114480</v>
      </c>
      <c r="E21" s="18" t="s">
        <v>370</v>
      </c>
      <c r="F21" s="68" t="s">
        <v>586</v>
      </c>
      <c r="G21" s="62" t="s">
        <v>86</v>
      </c>
      <c r="H21" s="19" t="s">
        <v>883</v>
      </c>
      <c r="I21" s="19" t="s">
        <v>1132</v>
      </c>
      <c r="J21" s="19" t="s">
        <v>1254</v>
      </c>
      <c r="K21" s="20" t="s">
        <v>1545</v>
      </c>
      <c r="L21" s="21">
        <v>65</v>
      </c>
      <c r="M21" s="21"/>
      <c r="N21" s="26" t="str">
        <f>IFERROR(VLOOKUP(O21,Apoio!A:B,2,0),"")</f>
        <v/>
      </c>
      <c r="O21" s="22">
        <f>IFERROR(VLOOKUP(C21,'[1]TB DIN'!$B:$D,3,0),"AGUARDANDO ANEXO")</f>
        <v>0</v>
      </c>
      <c r="P21" s="22">
        <f>IFERROR(VLOOKUP(C21,'[1]TB DIN INCLUIDOS'!$B:$H,3,0),"AGUARDANDO ANEXO")</f>
        <v>0</v>
      </c>
      <c r="Q21" s="26" cm="1">
        <f t="array" ref="Q21">_xlfn.IFS((P21&gt;N21),(N21*2),(P21&lt;=N21),(P21*2))</f>
        <v>0</v>
      </c>
      <c r="R21" s="22"/>
      <c r="S21" s="26" t="str">
        <f>IFERROR(VLOOKUP(T21,Apoio!A:B,2,0),"")</f>
        <v/>
      </c>
      <c r="T21" s="22">
        <f>IFERROR(VLOOKUP(C21,'[1]TB DIN'!$B:$H,4,0),"AGUARDANDO ANEXO")</f>
        <v>0</v>
      </c>
      <c r="U21" s="22">
        <f>IFERROR(VLOOKUP(C21,'[1]TB DIN INCLUIDOS'!$B:$H,4,0),"AGUARDANDO ANEXO")</f>
        <v>0</v>
      </c>
      <c r="V21" s="26" cm="1">
        <f t="array" ref="V21">_xlfn.IFS((U21&gt;S21),(S21*2),(U21&lt;=S21),(U21*2))</f>
        <v>0</v>
      </c>
      <c r="W21" s="22"/>
      <c r="X21" s="26">
        <f>IFERROR(VLOOKUP(Y21,Apoio!A:B,2,0),"")</f>
        <v>2</v>
      </c>
      <c r="Y21" s="22">
        <f>IFERROR(VLOOKUP(C21,'[1]TB DIN'!$B:$H,5,0),"AGUARDANDO ANEXO")</f>
        <v>32</v>
      </c>
      <c r="Z21" s="22">
        <f>IFERROR(VLOOKUP(C21,'[1]TB DIN INCLUIDOS'!$B:$H,5,0),"AGUARDANDO ANEXO")</f>
        <v>0</v>
      </c>
      <c r="AA21" s="26" cm="1">
        <f t="array" ref="AA21">_xlfn.IFS((Z21&gt;X21),(X21*2),(Z21&lt;=X21),(Z21*2))</f>
        <v>0</v>
      </c>
      <c r="AB21" s="22"/>
      <c r="AC21" s="26">
        <f>IFERROR(VLOOKUP(AD21,Apoio!A:B,2,0),"")</f>
        <v>2</v>
      </c>
      <c r="AD21" s="22">
        <f>IFERROR(VLOOKUP(C21,'[1]TB DIN'!$B:$H,6,0),"AGUARDANDO ANEXO")</f>
        <v>27</v>
      </c>
      <c r="AE21" s="22">
        <f>IFERROR(VLOOKUP(C21,'[1]TB DIN INCLUIDOS'!$B:$H,6,0),"AGUARDANDO ANEXO")</f>
        <v>0</v>
      </c>
      <c r="AF21" s="26" cm="1">
        <f t="array" ref="AF21">_xlfn.IFS((AE21&gt;AC21),(AC21*2),(AE21&lt;=AC21),(AE21*2))</f>
        <v>0</v>
      </c>
      <c r="AG21" s="22"/>
      <c r="AH21" s="28">
        <f t="shared" si="0"/>
        <v>59</v>
      </c>
      <c r="AI21" s="28">
        <f t="shared" si="1"/>
        <v>0</v>
      </c>
      <c r="AJ21" s="28">
        <f t="shared" si="2"/>
        <v>0</v>
      </c>
      <c r="AK21" s="28">
        <f t="shared" si="3"/>
        <v>6</v>
      </c>
      <c r="AL21" s="28">
        <f t="shared" si="4"/>
        <v>0</v>
      </c>
      <c r="AM21" s="23" t="s">
        <v>1707</v>
      </c>
      <c r="AN21" s="37">
        <f>VLOOKUP(C21,'[2]MARÇO-2024'!$B:$M,12,0)</f>
        <v>61</v>
      </c>
      <c r="AO21" s="37">
        <f t="shared" si="5"/>
        <v>2</v>
      </c>
      <c r="AP21" s="37" t="str">
        <f t="shared" si="6"/>
        <v/>
      </c>
    </row>
    <row r="22" spans="1:42" ht="13.5" customHeight="1" x14ac:dyDescent="0.25">
      <c r="A22" s="17">
        <v>2</v>
      </c>
      <c r="B22" s="17">
        <v>12</v>
      </c>
      <c r="C22" s="29">
        <v>2014</v>
      </c>
      <c r="D22" s="38">
        <v>33114501</v>
      </c>
      <c r="E22" s="18" t="s">
        <v>392</v>
      </c>
      <c r="F22" s="68" t="s">
        <v>610</v>
      </c>
      <c r="G22" s="62" t="s">
        <v>111</v>
      </c>
      <c r="H22" s="19" t="s">
        <v>907</v>
      </c>
      <c r="I22" s="19" t="s">
        <v>907</v>
      </c>
      <c r="J22" s="19" t="s">
        <v>1279</v>
      </c>
      <c r="K22" s="20" t="s">
        <v>1547</v>
      </c>
      <c r="L22" s="21">
        <v>60</v>
      </c>
      <c r="M22" s="21"/>
      <c r="N22" s="26" t="str">
        <f>IFERROR(VLOOKUP(O22,Apoio!A:B,2,0),"")</f>
        <v/>
      </c>
      <c r="O22" s="22">
        <f>IFERROR(VLOOKUP(C22,'[1]TB DIN'!$B:$D,3,0),"AGUARDANDO ANEXO")</f>
        <v>0</v>
      </c>
      <c r="P22" s="22">
        <f>IFERROR(VLOOKUP(C22,'[1]TB DIN INCLUIDOS'!$B:$H,3,0),"AGUARDANDO ANEXO")</f>
        <v>0</v>
      </c>
      <c r="Q22" s="26" cm="1">
        <f t="array" ref="Q22">_xlfn.IFS((P22&gt;N22),(N22*2),(P22&lt;=N22),(P22*2))</f>
        <v>0</v>
      </c>
      <c r="R22" s="22"/>
      <c r="S22" s="26">
        <f>IFERROR(VLOOKUP(T22,Apoio!A:B,2,0),"")</f>
        <v>1</v>
      </c>
      <c r="T22" s="22">
        <f>IFERROR(VLOOKUP(C22,'[1]TB DIN'!$B:$H,4,0),"AGUARDANDO ANEXO")</f>
        <v>21</v>
      </c>
      <c r="U22" s="22">
        <f>IFERROR(VLOOKUP(C22,'[1]TB DIN INCLUIDOS'!$B:$H,4,0),"AGUARDANDO ANEXO")</f>
        <v>0</v>
      </c>
      <c r="V22" s="26" cm="1">
        <f t="array" ref="V22">_xlfn.IFS((U22&gt;S22),(S22*2),(U22&lt;=S22),(U22*2))</f>
        <v>0</v>
      </c>
      <c r="W22" s="22"/>
      <c r="X22" s="26">
        <f>IFERROR(VLOOKUP(Y22,Apoio!A:B,2,0),"")</f>
        <v>1</v>
      </c>
      <c r="Y22" s="22">
        <v>22</v>
      </c>
      <c r="Z22" s="22">
        <f>IFERROR(VLOOKUP(C22,'[1]TB DIN INCLUIDOS'!$B:$H,5,0),"AGUARDANDO ANEXO")</f>
        <v>0</v>
      </c>
      <c r="AA22" s="26" cm="1">
        <f t="array" ref="AA22">_xlfn.IFS((Z22&gt;X22),(X22*2),(Z22&lt;=X22),(Z22*2))</f>
        <v>0</v>
      </c>
      <c r="AB22" s="22"/>
      <c r="AC22" s="26">
        <f>IFERROR(VLOOKUP(AD22,Apoio!A:B,2,0),"")</f>
        <v>1</v>
      </c>
      <c r="AD22" s="22">
        <f>IFERROR(VLOOKUP(C22,'[1]TB DIN'!$B:$H,6,0),"AGUARDANDO ANEXO")</f>
        <v>15</v>
      </c>
      <c r="AE22" s="22">
        <f>IFERROR(VLOOKUP(C22,'[1]TB DIN INCLUIDOS'!$B:$H,6,0),"AGUARDANDO ANEXO")</f>
        <v>2</v>
      </c>
      <c r="AF22" s="26" cm="1">
        <f t="array" ref="AF22">_xlfn.IFS((AE22&gt;AC22),(AC22*2),(AE22&lt;=AC22),(AE22*2))</f>
        <v>2</v>
      </c>
      <c r="AG22" s="22"/>
      <c r="AH22" s="28">
        <f t="shared" si="0"/>
        <v>58</v>
      </c>
      <c r="AI22" s="28">
        <f t="shared" si="1"/>
        <v>2</v>
      </c>
      <c r="AJ22" s="28">
        <f t="shared" si="2"/>
        <v>2</v>
      </c>
      <c r="AK22" s="28">
        <f t="shared" si="3"/>
        <v>0</v>
      </c>
      <c r="AL22" s="28">
        <f t="shared" si="4"/>
        <v>0</v>
      </c>
      <c r="AM22" s="23" t="s">
        <v>1707</v>
      </c>
      <c r="AN22" s="37">
        <f>VLOOKUP(C22,'[2]MARÇO-2024'!$B:$M,12,0)</f>
        <v>58</v>
      </c>
      <c r="AO22" s="37">
        <f t="shared" si="5"/>
        <v>0</v>
      </c>
      <c r="AP22" s="37" t="str">
        <f t="shared" si="6"/>
        <v/>
      </c>
    </row>
    <row r="23" spans="1:42" ht="13.5" customHeight="1" x14ac:dyDescent="0.25">
      <c r="A23" s="17">
        <v>2</v>
      </c>
      <c r="B23" s="17">
        <v>13</v>
      </c>
      <c r="C23" s="29">
        <v>2015</v>
      </c>
      <c r="D23" s="38">
        <v>33114552</v>
      </c>
      <c r="E23" s="18" t="s">
        <v>387</v>
      </c>
      <c r="F23" s="68" t="s">
        <v>604</v>
      </c>
      <c r="G23" s="62" t="s">
        <v>105</v>
      </c>
      <c r="H23" s="19" t="s">
        <v>901</v>
      </c>
      <c r="I23" s="19" t="s">
        <v>1144</v>
      </c>
      <c r="J23" s="19" t="s">
        <v>1273</v>
      </c>
      <c r="K23" s="20" t="s">
        <v>1553</v>
      </c>
      <c r="L23" s="21">
        <v>72</v>
      </c>
      <c r="M23" s="21"/>
      <c r="N23" s="26" t="str">
        <f>IFERROR(VLOOKUP(O23,Apoio!A:B,2,0),"")</f>
        <v/>
      </c>
      <c r="O23" s="22">
        <f>IFERROR(VLOOKUP(C23,'[1]TB DIN'!$B:$D,3,0),"AGUARDANDO ANEXO")</f>
        <v>0</v>
      </c>
      <c r="P23" s="22">
        <f>IFERROR(VLOOKUP(C23,'[1]TB DIN INCLUIDOS'!$B:$H,3,0),"AGUARDANDO ANEXO")</f>
        <v>0</v>
      </c>
      <c r="Q23" s="26" cm="1">
        <f t="array" ref="Q23">_xlfn.IFS((P23&gt;N23),(N23*2),(P23&lt;=N23),(P23*2))</f>
        <v>0</v>
      </c>
      <c r="R23" s="22"/>
      <c r="S23" s="26" t="str">
        <f>IFERROR(VLOOKUP(T23,Apoio!A:B,2,0),"")</f>
        <v/>
      </c>
      <c r="T23" s="22">
        <f>IFERROR(VLOOKUP(C23,'[1]TB DIN'!$B:$H,4,0),"AGUARDANDO ANEXO")</f>
        <v>0</v>
      </c>
      <c r="U23" s="22">
        <f>IFERROR(VLOOKUP(C23,'[1]TB DIN INCLUIDOS'!$B:$H,4,0),"AGUARDANDO ANEXO")</f>
        <v>0</v>
      </c>
      <c r="V23" s="26" cm="1">
        <f t="array" ref="V23">_xlfn.IFS((U23&gt;S23),(S23*2),(U23&lt;=S23),(U23*2))</f>
        <v>0</v>
      </c>
      <c r="W23" s="22"/>
      <c r="X23" s="26">
        <f>IFERROR(VLOOKUP(Y23,Apoio!A:B,2,0),"")</f>
        <v>2</v>
      </c>
      <c r="Y23" s="22">
        <f>IFERROR(VLOOKUP(C23,'[1]TB DIN'!$B:$H,5,0),"AGUARDANDO ANEXO")</f>
        <v>27</v>
      </c>
      <c r="Z23" s="22">
        <v>1</v>
      </c>
      <c r="AA23" s="26" cm="1">
        <f t="array" ref="AA23">_xlfn.IFS((Z23&gt;X23),(X23*2),(Z23&lt;=X23),(Z23*2))</f>
        <v>2</v>
      </c>
      <c r="AB23" s="22"/>
      <c r="AC23" s="26">
        <f>IFERROR(VLOOKUP(AD23,Apoio!A:B,2,0),"")</f>
        <v>2</v>
      </c>
      <c r="AD23" s="22">
        <f>IFERROR(VLOOKUP(C23,'[1]TB DIN'!$B:$H,6,0),"AGUARDANDO ANEXO")</f>
        <v>45</v>
      </c>
      <c r="AE23" s="22">
        <f>IFERROR(VLOOKUP(C23,'[1]TB DIN INCLUIDOS'!$B:$H,6,0),"AGUARDANDO ANEXO")</f>
        <v>1</v>
      </c>
      <c r="AF23" s="26" cm="1">
        <f t="array" ref="AF23">_xlfn.IFS((AE23&gt;AC23),(AC23*2),(AE23&lt;=AC23),(AE23*2))</f>
        <v>2</v>
      </c>
      <c r="AG23" s="22"/>
      <c r="AH23" s="28">
        <f t="shared" si="0"/>
        <v>72</v>
      </c>
      <c r="AI23" s="28">
        <f t="shared" si="1"/>
        <v>2</v>
      </c>
      <c r="AJ23" s="28">
        <f t="shared" si="2"/>
        <v>4</v>
      </c>
      <c r="AK23" s="28">
        <f t="shared" si="3"/>
        <v>0</v>
      </c>
      <c r="AL23" s="28">
        <f t="shared" si="4"/>
        <v>-4</v>
      </c>
      <c r="AM23" s="23" t="s">
        <v>1707</v>
      </c>
      <c r="AN23" s="37">
        <f>VLOOKUP(C23,'[2]MARÇO-2024'!$B:$M,12,0)</f>
        <v>72</v>
      </c>
      <c r="AO23" s="37">
        <f t="shared" si="5"/>
        <v>0</v>
      </c>
      <c r="AP23" s="37" t="str">
        <f t="shared" si="6"/>
        <v/>
      </c>
    </row>
    <row r="24" spans="1:42" ht="13.5" customHeight="1" x14ac:dyDescent="0.25">
      <c r="A24" s="17">
        <v>2</v>
      </c>
      <c r="B24" s="17">
        <v>14</v>
      </c>
      <c r="C24" s="29">
        <v>2016</v>
      </c>
      <c r="D24" s="38">
        <v>33116113</v>
      </c>
      <c r="E24" s="18" t="s">
        <v>367</v>
      </c>
      <c r="F24" s="68" t="s">
        <v>583</v>
      </c>
      <c r="G24" s="66" t="s">
        <v>83</v>
      </c>
      <c r="H24" s="19" t="s">
        <v>880</v>
      </c>
      <c r="I24" s="19" t="s">
        <v>1131</v>
      </c>
      <c r="J24" s="19" t="s">
        <v>1251</v>
      </c>
      <c r="K24" s="20" t="s">
        <v>1544</v>
      </c>
      <c r="L24" s="21">
        <v>120</v>
      </c>
      <c r="M24" s="21"/>
      <c r="N24" s="26" t="str">
        <f>IFERROR(VLOOKUP(O24,Apoio!A:B,2,0),"")</f>
        <v/>
      </c>
      <c r="O24" s="22">
        <f>IFERROR(VLOOKUP(C24,'[1]TB DIN'!$B:$D,3,0),"AGUARDANDO ANEXO")</f>
        <v>0</v>
      </c>
      <c r="P24" s="22">
        <f>IFERROR(VLOOKUP(C24,'[1]TB DIN INCLUIDOS'!$B:$H,3,0),"AGUARDANDO ANEXO")</f>
        <v>0</v>
      </c>
      <c r="Q24" s="26" cm="1">
        <f t="array" ref="Q24">_xlfn.IFS((P24&gt;N24),(N24*2),(P24&lt;=N24),(P24*2))</f>
        <v>0</v>
      </c>
      <c r="R24" s="22"/>
      <c r="S24" s="26">
        <f>IFERROR(VLOOKUP(T24,Apoio!A:B,2,0),"")</f>
        <v>2</v>
      </c>
      <c r="T24" s="22">
        <v>29</v>
      </c>
      <c r="U24" s="22">
        <f>IFERROR(VLOOKUP(C24,'[1]TB DIN INCLUIDOS'!$B:$H,4,0),"AGUARDANDO ANEXO")</f>
        <v>0</v>
      </c>
      <c r="V24" s="26" cm="1">
        <f t="array" ref="V24">_xlfn.IFS((U24&gt;S24),(S24*2),(U24&lt;=S24),(U24*2))</f>
        <v>0</v>
      </c>
      <c r="W24" s="22"/>
      <c r="X24" s="26">
        <f>IFERROR(VLOOKUP(Y24,Apoio!A:B,2,0),"")</f>
        <v>2</v>
      </c>
      <c r="Y24" s="22">
        <v>34</v>
      </c>
      <c r="Z24" s="22">
        <f>IFERROR(VLOOKUP(C24,'[1]TB DIN INCLUIDOS'!$B:$H,5,0),"AGUARDANDO ANEXO")</f>
        <v>0</v>
      </c>
      <c r="AA24" s="26" cm="1">
        <f t="array" ref="AA24">_xlfn.IFS((Z24&gt;X24),(X24*2),(Z24&lt;=X24),(Z24*2))</f>
        <v>0</v>
      </c>
      <c r="AB24" s="22"/>
      <c r="AC24" s="26">
        <f>IFERROR(VLOOKUP(AD24,Apoio!A:B,2,0),"")</f>
        <v>2</v>
      </c>
      <c r="AD24" s="22">
        <f>IFERROR(VLOOKUP(C24,'[1]TB DIN'!$B:$H,6,0),"AGUARDANDO ANEXO")</f>
        <v>36</v>
      </c>
      <c r="AE24" s="22">
        <v>2</v>
      </c>
      <c r="AF24" s="26" cm="1">
        <f t="array" ref="AF24">_xlfn.IFS((AE24&gt;AC24),(AC24*2),(AE24&lt;=AC24),(AE24*2))</f>
        <v>4</v>
      </c>
      <c r="AG24" s="22"/>
      <c r="AH24" s="28">
        <f t="shared" si="0"/>
        <v>99</v>
      </c>
      <c r="AI24" s="28">
        <f t="shared" si="1"/>
        <v>2</v>
      </c>
      <c r="AJ24" s="28">
        <f t="shared" si="2"/>
        <v>4</v>
      </c>
      <c r="AK24" s="28">
        <f t="shared" si="3"/>
        <v>17</v>
      </c>
      <c r="AL24" s="28">
        <f t="shared" si="4"/>
        <v>0</v>
      </c>
      <c r="AM24" s="23" t="s">
        <v>1834</v>
      </c>
      <c r="AN24" s="37">
        <f>VLOOKUP(C24,'[2]MARÇO-2024'!$B:$M,12,0)</f>
        <v>95</v>
      </c>
      <c r="AO24" s="37">
        <f t="shared" si="5"/>
        <v>-4</v>
      </c>
      <c r="AP24" s="37" t="str">
        <f t="shared" si="6"/>
        <v/>
      </c>
    </row>
    <row r="25" spans="1:42" ht="13.5" customHeight="1" x14ac:dyDescent="0.25">
      <c r="A25" s="17">
        <v>2</v>
      </c>
      <c r="B25" s="17">
        <v>15</v>
      </c>
      <c r="C25" s="29">
        <v>2018</v>
      </c>
      <c r="D25" s="38">
        <v>33117870</v>
      </c>
      <c r="E25" s="18" t="s">
        <v>396</v>
      </c>
      <c r="F25" s="68" t="s">
        <v>614</v>
      </c>
      <c r="G25" s="62" t="s">
        <v>115</v>
      </c>
      <c r="H25" s="19" t="s">
        <v>911</v>
      </c>
      <c r="I25" s="19" t="s">
        <v>911</v>
      </c>
      <c r="J25" s="19" t="s">
        <v>1283</v>
      </c>
      <c r="K25" s="20" t="s">
        <v>1557</v>
      </c>
      <c r="L25" s="21">
        <v>96</v>
      </c>
      <c r="M25" s="21"/>
      <c r="N25" s="26" t="str">
        <f>IFERROR(VLOOKUP(O25,Apoio!A:B,2,0),"")</f>
        <v/>
      </c>
      <c r="O25" s="22">
        <f>IFERROR(VLOOKUP(C25,'[1]TB DIN'!$B:$D,3,0),"AGUARDANDO ANEXO")</f>
        <v>0</v>
      </c>
      <c r="P25" s="22">
        <f>IFERROR(VLOOKUP(C25,'[1]TB DIN INCLUIDOS'!$B:$H,3,0),"AGUARDANDO ANEXO")</f>
        <v>0</v>
      </c>
      <c r="Q25" s="26" cm="1">
        <f t="array" ref="Q25">_xlfn.IFS((P25&gt;N25),(N25*2),(P25&lt;=N25),(P25*2))</f>
        <v>0</v>
      </c>
      <c r="R25" s="22"/>
      <c r="S25" s="26" t="str">
        <f>IFERROR(VLOOKUP(T25,Apoio!A:B,2,0),"")</f>
        <v/>
      </c>
      <c r="T25" s="22">
        <f>IFERROR(VLOOKUP(C25,'[1]TB DIN'!$B:$H,4,0),"AGUARDANDO ANEXO")</f>
        <v>0</v>
      </c>
      <c r="U25" s="22">
        <f>IFERROR(VLOOKUP(C25,'[1]TB DIN INCLUIDOS'!$B:$H,4,0),"AGUARDANDO ANEXO")</f>
        <v>0</v>
      </c>
      <c r="V25" s="26" cm="1">
        <f t="array" ref="V25">_xlfn.IFS((U25&gt;S25),(S25*2),(U25&lt;=S25),(U25*2))</f>
        <v>0</v>
      </c>
      <c r="W25" s="22"/>
      <c r="X25" s="26">
        <f>IFERROR(VLOOKUP(Y25,Apoio!A:B,2,0),"")</f>
        <v>2</v>
      </c>
      <c r="Y25" s="22">
        <f>IFERROR(VLOOKUP(C25,'[1]TB DIN'!$B:$H,5,0),"AGUARDANDO ANEXO")</f>
        <v>45</v>
      </c>
      <c r="Z25" s="22">
        <f>IFERROR(VLOOKUP(C25,'[1]TB DIN INCLUIDOS'!$B:$H,5,0),"AGUARDANDO ANEXO")</f>
        <v>0</v>
      </c>
      <c r="AA25" s="26" cm="1">
        <f t="array" ref="AA25">_xlfn.IFS((Z25&gt;X25),(X25*2),(Z25&lt;=X25),(Z25*2))</f>
        <v>0</v>
      </c>
      <c r="AB25" s="22"/>
      <c r="AC25" s="26">
        <f>IFERROR(VLOOKUP(AD25,Apoio!A:B,2,0),"")</f>
        <v>2</v>
      </c>
      <c r="AD25" s="22">
        <v>48</v>
      </c>
      <c r="AE25" s="22">
        <f>IFERROR(VLOOKUP(C25,'[1]TB DIN INCLUIDOS'!$B:$H,6,0),"AGUARDANDO ANEXO")</f>
        <v>3</v>
      </c>
      <c r="AF25" s="26" cm="1">
        <f t="array" ref="AF25">_xlfn.IFS((AE25&gt;AC25),(AC25*2),(AE25&lt;=AC25),(AE25*2))</f>
        <v>4</v>
      </c>
      <c r="AG25" s="22"/>
      <c r="AH25" s="28">
        <f t="shared" si="0"/>
        <v>93</v>
      </c>
      <c r="AI25" s="28">
        <f t="shared" si="1"/>
        <v>3</v>
      </c>
      <c r="AJ25" s="28">
        <f t="shared" si="2"/>
        <v>4</v>
      </c>
      <c r="AK25" s="28">
        <f t="shared" si="3"/>
        <v>0</v>
      </c>
      <c r="AL25" s="28">
        <f t="shared" si="4"/>
        <v>-1</v>
      </c>
      <c r="AM25" s="23" t="s">
        <v>1707</v>
      </c>
      <c r="AN25" s="37">
        <f>VLOOKUP(C25,'[2]MARÇO-2024'!$B:$M,12,0)</f>
        <v>94</v>
      </c>
      <c r="AO25" s="37">
        <f t="shared" si="5"/>
        <v>1</v>
      </c>
      <c r="AP25" s="37" t="str">
        <f t="shared" si="6"/>
        <v/>
      </c>
    </row>
    <row r="26" spans="1:42" ht="13.5" customHeight="1" x14ac:dyDescent="0.25">
      <c r="A26" s="17">
        <v>2</v>
      </c>
      <c r="B26" s="17">
        <v>16</v>
      </c>
      <c r="C26" s="29">
        <v>2019</v>
      </c>
      <c r="D26" s="38">
        <v>33120927</v>
      </c>
      <c r="E26" s="18" t="s">
        <v>401</v>
      </c>
      <c r="F26" s="68" t="s">
        <v>619</v>
      </c>
      <c r="G26" s="62" t="s">
        <v>120</v>
      </c>
      <c r="H26" s="19" t="s">
        <v>916</v>
      </c>
      <c r="I26" s="19" t="s">
        <v>1149</v>
      </c>
      <c r="J26" s="19" t="s">
        <v>1288</v>
      </c>
      <c r="K26" s="20" t="s">
        <v>1543</v>
      </c>
      <c r="L26" s="21">
        <v>60</v>
      </c>
      <c r="M26" s="21"/>
      <c r="N26" s="26" t="str">
        <f>IFERROR(VLOOKUP(O26,Apoio!A:B,2,0),"")</f>
        <v/>
      </c>
      <c r="O26" s="22">
        <f>IFERROR(VLOOKUP(C26,'[1]TB DIN'!$B:$D,3,0),"AGUARDANDO ANEXO")</f>
        <v>0</v>
      </c>
      <c r="P26" s="22">
        <f>IFERROR(VLOOKUP(C26,'[1]TB DIN INCLUIDOS'!$B:$H,3,0),"AGUARDANDO ANEXO")</f>
        <v>0</v>
      </c>
      <c r="Q26" s="26" cm="1">
        <f t="array" ref="Q26">_xlfn.IFS((P26&gt;N26),(N26*2),(P26&lt;=N26),(P26*2))</f>
        <v>0</v>
      </c>
      <c r="R26" s="22"/>
      <c r="S26" s="26">
        <f>IFERROR(VLOOKUP(T26,Apoio!A:B,2,0),"")</f>
        <v>1</v>
      </c>
      <c r="T26" s="22">
        <f>IFERROR(VLOOKUP(C26,'[1]TB DIN'!$B:$H,4,0),"AGUARDANDO ANEXO")</f>
        <v>18</v>
      </c>
      <c r="U26" s="22">
        <f>IFERROR(VLOOKUP(C26,'[1]TB DIN INCLUIDOS'!$B:$H,4,0),"AGUARDANDO ANEXO")</f>
        <v>0</v>
      </c>
      <c r="V26" s="26" cm="1">
        <f t="array" ref="V26">_xlfn.IFS((U26&gt;S26),(S26*2),(U26&lt;=S26),(U26*2))</f>
        <v>0</v>
      </c>
      <c r="W26" s="22"/>
      <c r="X26" s="26">
        <f>IFERROR(VLOOKUP(Y26,Apoio!A:B,2,0),"")</f>
        <v>1</v>
      </c>
      <c r="Y26" s="22">
        <v>21</v>
      </c>
      <c r="Z26" s="22">
        <f>IFERROR(VLOOKUP(C26,'[1]TB DIN INCLUIDOS'!$B:$H,5,0),"AGUARDANDO ANEXO")</f>
        <v>0</v>
      </c>
      <c r="AA26" s="26" cm="1">
        <f t="array" ref="AA26">_xlfn.IFS((Z26&gt;X26),(X26*2),(Z26&lt;=X26),(Z26*2))</f>
        <v>0</v>
      </c>
      <c r="AB26" s="22"/>
      <c r="AC26" s="26">
        <f>IFERROR(VLOOKUP(AD26,Apoio!A:B,2,0),"")</f>
        <v>1</v>
      </c>
      <c r="AD26" s="22">
        <v>17</v>
      </c>
      <c r="AE26" s="22">
        <f>IFERROR(VLOOKUP(C26,'[1]TB DIN INCLUIDOS'!$B:$H,6,0),"AGUARDANDO ANEXO")</f>
        <v>0</v>
      </c>
      <c r="AF26" s="26" cm="1">
        <f t="array" ref="AF26">_xlfn.IFS((AE26&gt;AC26),(AC26*2),(AE26&lt;=AC26),(AE26*2))</f>
        <v>0</v>
      </c>
      <c r="AG26" s="22"/>
      <c r="AH26" s="28">
        <f t="shared" si="0"/>
        <v>56</v>
      </c>
      <c r="AI26" s="28">
        <f t="shared" si="1"/>
        <v>0</v>
      </c>
      <c r="AJ26" s="28">
        <f t="shared" si="2"/>
        <v>0</v>
      </c>
      <c r="AK26" s="50">
        <f t="shared" si="3"/>
        <v>4</v>
      </c>
      <c r="AL26" s="28">
        <f t="shared" si="4"/>
        <v>0</v>
      </c>
      <c r="AM26" s="23" t="s">
        <v>1707</v>
      </c>
      <c r="AN26" s="37">
        <f>VLOOKUP(C26,'[2]MARÇO-2024'!$B:$M,12,0)</f>
        <v>57</v>
      </c>
      <c r="AO26" s="37">
        <f t="shared" si="5"/>
        <v>1</v>
      </c>
      <c r="AP26" s="37" t="str">
        <f t="shared" si="6"/>
        <v/>
      </c>
    </row>
    <row r="27" spans="1:42" ht="13.5" customHeight="1" x14ac:dyDescent="0.25">
      <c r="A27" s="17">
        <v>2</v>
      </c>
      <c r="B27" s="17">
        <v>17</v>
      </c>
      <c r="C27" s="29">
        <v>2020</v>
      </c>
      <c r="D27" s="38">
        <v>33120951</v>
      </c>
      <c r="E27" s="18" t="s">
        <v>366</v>
      </c>
      <c r="F27" s="68" t="s">
        <v>582</v>
      </c>
      <c r="G27" s="62" t="s">
        <v>82</v>
      </c>
      <c r="H27" s="19" t="s">
        <v>879</v>
      </c>
      <c r="I27" s="19" t="s">
        <v>879</v>
      </c>
      <c r="J27" s="19" t="s">
        <v>1250</v>
      </c>
      <c r="K27" s="20" t="s">
        <v>1542</v>
      </c>
      <c r="L27" s="21">
        <v>120</v>
      </c>
      <c r="M27" s="21"/>
      <c r="N27" s="26">
        <f>IFERROR(VLOOKUP(O27,Apoio!A:B,2,0),"")</f>
        <v>1</v>
      </c>
      <c r="O27" s="22">
        <f>IFERROR(VLOOKUP(C27,'[1]TB DIN'!$B:$D,3,0),"AGUARDANDO ANEXO")</f>
        <v>11</v>
      </c>
      <c r="P27" s="22">
        <f>IFERROR(VLOOKUP(C27,'[1]TB DIN INCLUIDOS'!$B:$H,3,0),"AGUARDANDO ANEXO")</f>
        <v>0</v>
      </c>
      <c r="Q27" s="26" cm="1">
        <f t="array" ref="Q27">_xlfn.IFS((P27&gt;N27),(N27*2),(P27&lt;=N27),(P27*2))</f>
        <v>0</v>
      </c>
      <c r="R27" s="22"/>
      <c r="S27" s="26">
        <f>IFERROR(VLOOKUP(T27,Apoio!A:B,2,0),"")</f>
        <v>2</v>
      </c>
      <c r="T27" s="22">
        <f>IFERROR(VLOOKUP(C27,'[1]TB DIN'!$B:$H,4,0),"AGUARDANDO ANEXO")</f>
        <v>32</v>
      </c>
      <c r="U27" s="22">
        <f>IFERROR(VLOOKUP(C27,'[1]TB DIN INCLUIDOS'!$B:$H,4,0),"AGUARDANDO ANEXO")</f>
        <v>0</v>
      </c>
      <c r="V27" s="26" cm="1">
        <f t="array" ref="V27">_xlfn.IFS((U27&gt;S27),(S27*2),(U27&lt;=S27),(U27*2))</f>
        <v>0</v>
      </c>
      <c r="W27" s="22"/>
      <c r="X27" s="26">
        <f>IFERROR(VLOOKUP(Y27,Apoio!A:B,2,0),"")</f>
        <v>2</v>
      </c>
      <c r="Y27" s="22">
        <f>IFERROR(VLOOKUP(C27,'[1]TB DIN'!$B:$H,5,0),"AGUARDANDO ANEXO")</f>
        <v>43</v>
      </c>
      <c r="Z27" s="22">
        <f>IFERROR(VLOOKUP(C27,'[1]TB DIN INCLUIDOS'!$B:$H,5,0),"AGUARDANDO ANEXO")</f>
        <v>0</v>
      </c>
      <c r="AA27" s="26" cm="1">
        <f t="array" ref="AA27">_xlfn.IFS((Z27&gt;X27),(X27*2),(Z27&lt;=X27),(Z27*2))</f>
        <v>0</v>
      </c>
      <c r="AB27" s="22"/>
      <c r="AC27" s="26">
        <f>IFERROR(VLOOKUP(AD27,Apoio!A:B,2,0),"")</f>
        <v>2</v>
      </c>
      <c r="AD27" s="22">
        <f>IFERROR(VLOOKUP(C27,'[1]TB DIN'!$B:$H,6,0),"AGUARDANDO ANEXO")</f>
        <v>34</v>
      </c>
      <c r="AE27" s="22">
        <f>IFERROR(VLOOKUP(C27,'[1]TB DIN INCLUIDOS'!$B:$H,6,0),"AGUARDANDO ANEXO")</f>
        <v>0</v>
      </c>
      <c r="AF27" s="26" cm="1">
        <f t="array" ref="AF27">_xlfn.IFS((AE27&gt;AC27),(AC27*2),(AE27&lt;=AC27),(AE27*2))</f>
        <v>0</v>
      </c>
      <c r="AG27" s="22"/>
      <c r="AH27" s="28">
        <f t="shared" si="0"/>
        <v>120</v>
      </c>
      <c r="AI27" s="28">
        <f t="shared" si="1"/>
        <v>0</v>
      </c>
      <c r="AJ27" s="28">
        <f t="shared" si="2"/>
        <v>0</v>
      </c>
      <c r="AK27" s="28">
        <f t="shared" si="3"/>
        <v>0</v>
      </c>
      <c r="AL27" s="28">
        <f t="shared" si="4"/>
        <v>0</v>
      </c>
      <c r="AM27" s="23" t="s">
        <v>1707</v>
      </c>
      <c r="AN27" s="37">
        <f>VLOOKUP(C27,'[2]MARÇO-2024'!$B:$M,12,0)</f>
        <v>120</v>
      </c>
      <c r="AO27" s="37">
        <f t="shared" si="5"/>
        <v>0</v>
      </c>
      <c r="AP27" s="37" t="str">
        <f t="shared" si="6"/>
        <v/>
      </c>
    </row>
    <row r="28" spans="1:42" ht="13.5" customHeight="1" x14ac:dyDescent="0.25">
      <c r="A28" s="17">
        <v>2</v>
      </c>
      <c r="B28" s="17">
        <v>18</v>
      </c>
      <c r="C28" s="29">
        <v>2022</v>
      </c>
      <c r="D28" s="38">
        <v>33121940</v>
      </c>
      <c r="E28" s="18" t="s">
        <v>377</v>
      </c>
      <c r="F28" s="68" t="s">
        <v>593</v>
      </c>
      <c r="G28" s="62" t="s">
        <v>94</v>
      </c>
      <c r="H28" s="19" t="s">
        <v>890</v>
      </c>
      <c r="I28" s="19" t="s">
        <v>1136</v>
      </c>
      <c r="J28" s="19" t="s">
        <v>1262</v>
      </c>
      <c r="K28" s="20" t="s">
        <v>1548</v>
      </c>
      <c r="L28" s="21">
        <v>42</v>
      </c>
      <c r="M28" s="21"/>
      <c r="N28" s="26" t="str">
        <f>IFERROR(VLOOKUP(O28,Apoio!A:B,2,0),"")</f>
        <v/>
      </c>
      <c r="O28" s="22">
        <f>IFERROR(VLOOKUP(C28,'[1]TB DIN'!$B:$D,3,0),"AGUARDANDO ANEXO")</f>
        <v>0</v>
      </c>
      <c r="P28" s="22">
        <f>IFERROR(VLOOKUP(C28,'[1]TB DIN INCLUIDOS'!$B:$H,3,0),"AGUARDANDO ANEXO")</f>
        <v>0</v>
      </c>
      <c r="Q28" s="26" cm="1">
        <f t="array" ref="Q28">_xlfn.IFS((P28&gt;N28),(N28*2),(P28&lt;=N28),(P28*2))</f>
        <v>0</v>
      </c>
      <c r="R28" s="22"/>
      <c r="S28" s="26" t="str">
        <f>IFERROR(VLOOKUP(T28,Apoio!A:B,2,0),"")</f>
        <v/>
      </c>
      <c r="T28" s="22">
        <f>IFERROR(VLOOKUP(C28,'[1]TB DIN'!$B:$H,4,0),"AGUARDANDO ANEXO")</f>
        <v>0</v>
      </c>
      <c r="U28" s="22">
        <f>IFERROR(VLOOKUP(C28,'[1]TB DIN INCLUIDOS'!$B:$H,4,0),"AGUARDANDO ANEXO")</f>
        <v>0</v>
      </c>
      <c r="V28" s="26" cm="1">
        <f t="array" ref="V28">_xlfn.IFS((U28&gt;S28),(S28*2),(U28&lt;=S28),(U28*2))</f>
        <v>0</v>
      </c>
      <c r="W28" s="22"/>
      <c r="X28" s="26">
        <f>IFERROR(VLOOKUP(Y28,Apoio!A:B,2,0),"")</f>
        <v>1</v>
      </c>
      <c r="Y28" s="22">
        <v>21</v>
      </c>
      <c r="Z28" s="22">
        <f>IFERROR(VLOOKUP(C28,'[1]TB DIN INCLUIDOS'!$B:$H,5,0),"AGUARDANDO ANEXO")</f>
        <v>0</v>
      </c>
      <c r="AA28" s="26" cm="1">
        <f t="array" ref="AA28">_xlfn.IFS((Z28&gt;X28),(X28*2),(Z28&lt;=X28),(Z28*2))</f>
        <v>0</v>
      </c>
      <c r="AB28" s="22"/>
      <c r="AC28" s="26">
        <f>IFERROR(VLOOKUP(AD28,Apoio!A:B,2,0),"")</f>
        <v>1</v>
      </c>
      <c r="AD28" s="22">
        <v>21</v>
      </c>
      <c r="AE28" s="22">
        <f>IFERROR(VLOOKUP(C28,'[1]TB DIN INCLUIDOS'!$B:$H,6,0),"AGUARDANDO ANEXO")</f>
        <v>0</v>
      </c>
      <c r="AF28" s="26" cm="1">
        <f t="array" ref="AF28">_xlfn.IFS((AE28&gt;AC28),(AC28*2),(AE28&lt;=AC28),(AE28*2))</f>
        <v>0</v>
      </c>
      <c r="AG28" s="22"/>
      <c r="AH28" s="28">
        <f t="shared" si="0"/>
        <v>42</v>
      </c>
      <c r="AI28" s="28">
        <f t="shared" si="1"/>
        <v>0</v>
      </c>
      <c r="AJ28" s="28">
        <f t="shared" si="2"/>
        <v>0</v>
      </c>
      <c r="AK28" s="28">
        <f t="shared" si="3"/>
        <v>0</v>
      </c>
      <c r="AL28" s="28">
        <f t="shared" si="4"/>
        <v>0</v>
      </c>
      <c r="AM28" s="23" t="s">
        <v>1707</v>
      </c>
      <c r="AN28" s="37">
        <f>VLOOKUP(C28,'[2]MARÇO-2024'!$B:$M,12,0)</f>
        <v>42</v>
      </c>
      <c r="AO28" s="37">
        <f t="shared" si="5"/>
        <v>0</v>
      </c>
      <c r="AP28" s="37" t="str">
        <f t="shared" si="6"/>
        <v/>
      </c>
    </row>
    <row r="29" spans="1:42" ht="13.5" customHeight="1" x14ac:dyDescent="0.25">
      <c r="A29" s="17">
        <v>2</v>
      </c>
      <c r="B29" s="17">
        <v>19</v>
      </c>
      <c r="C29" s="29">
        <v>2024</v>
      </c>
      <c r="D29" s="38">
        <v>33122024</v>
      </c>
      <c r="E29" s="18" t="s">
        <v>379</v>
      </c>
      <c r="F29" s="68" t="s">
        <v>595</v>
      </c>
      <c r="G29" s="66" t="s">
        <v>96</v>
      </c>
      <c r="H29" s="19" t="s">
        <v>892</v>
      </c>
      <c r="I29" s="19" t="s">
        <v>1138</v>
      </c>
      <c r="J29" s="19" t="s">
        <v>1264</v>
      </c>
      <c r="K29" s="20" t="s">
        <v>1546</v>
      </c>
      <c r="L29" s="21">
        <v>45</v>
      </c>
      <c r="M29" s="21"/>
      <c r="N29" s="26" t="str">
        <f>IFERROR(VLOOKUP(O29,Apoio!A:B,2,0),"")</f>
        <v/>
      </c>
      <c r="O29" s="22">
        <f>IFERROR(VLOOKUP(C29,'[1]TB DIN'!$B:$D,3,0),"AGUARDANDO ANEXO")</f>
        <v>0</v>
      </c>
      <c r="P29" s="22">
        <f>IFERROR(VLOOKUP(C29,'[1]TB DIN INCLUIDOS'!$B:$H,3,0),"AGUARDANDO ANEXO")</f>
        <v>0</v>
      </c>
      <c r="Q29" s="26" cm="1">
        <f t="array" ref="Q29">_xlfn.IFS((P29&gt;N29),(N29*2),(P29&lt;=N29),(P29*2))</f>
        <v>0</v>
      </c>
      <c r="R29" s="22"/>
      <c r="S29" s="26" t="str">
        <f>IFERROR(VLOOKUP(T29,Apoio!A:B,2,0),"")</f>
        <v/>
      </c>
      <c r="T29" s="22">
        <f>IFERROR(VLOOKUP(C29,'[1]TB DIN'!$B:$H,4,0),"AGUARDANDO ANEXO")</f>
        <v>0</v>
      </c>
      <c r="U29" s="22">
        <f>IFERROR(VLOOKUP(C29,'[1]TB DIN INCLUIDOS'!$B:$H,4,0),"AGUARDANDO ANEXO")</f>
        <v>0</v>
      </c>
      <c r="V29" s="26" cm="1">
        <f t="array" ref="V29">_xlfn.IFS((U29&gt;S29),(S29*2),(U29&lt;=S29),(U29*2))</f>
        <v>0</v>
      </c>
      <c r="W29" s="22"/>
      <c r="X29" s="26">
        <f>IFERROR(VLOOKUP(Y29,Apoio!A:B,2,0),"")</f>
        <v>1</v>
      </c>
      <c r="Y29" s="22">
        <v>9</v>
      </c>
      <c r="Z29" s="22">
        <f>IFERROR(VLOOKUP(C29,'[1]TB DIN INCLUIDOS'!$B:$H,5,0),"AGUARDANDO ANEXO")</f>
        <v>0</v>
      </c>
      <c r="AA29" s="26" cm="1">
        <f t="array" ref="AA29">_xlfn.IFS((Z29&gt;X29),(X29*2),(Z29&lt;=X29),(Z29*2))</f>
        <v>0</v>
      </c>
      <c r="AB29" s="22"/>
      <c r="AC29" s="26">
        <f>IFERROR(VLOOKUP(AD29,Apoio!A:B,2,0),"")</f>
        <v>1</v>
      </c>
      <c r="AD29" s="22">
        <f>IFERROR(VLOOKUP(C29,'[1]TB DIN'!$B:$H,6,0),"AGUARDANDO ANEXO")</f>
        <v>10</v>
      </c>
      <c r="AE29" s="22">
        <f>IFERROR(VLOOKUP(C29,'[1]TB DIN INCLUIDOS'!$B:$H,6,0),"AGUARDANDO ANEXO")</f>
        <v>0</v>
      </c>
      <c r="AF29" s="26" cm="1">
        <f t="array" ref="AF29">_xlfn.IFS((AE29&gt;AC29),(AC29*2),(AE29&lt;=AC29),(AE29*2))</f>
        <v>0</v>
      </c>
      <c r="AG29" s="22"/>
      <c r="AH29" s="28">
        <f t="shared" si="0"/>
        <v>19</v>
      </c>
      <c r="AI29" s="28">
        <f t="shared" si="1"/>
        <v>0</v>
      </c>
      <c r="AJ29" s="28">
        <f t="shared" si="2"/>
        <v>0</v>
      </c>
      <c r="AK29" s="28">
        <f t="shared" si="3"/>
        <v>26</v>
      </c>
      <c r="AL29" s="28">
        <f t="shared" si="4"/>
        <v>0</v>
      </c>
      <c r="AM29" s="23" t="s">
        <v>1707</v>
      </c>
      <c r="AN29" s="37">
        <f>VLOOKUP(C29,'[2]MARÇO-2024'!$B:$M,12,0)</f>
        <v>18</v>
      </c>
      <c r="AO29" s="37">
        <f t="shared" si="5"/>
        <v>-1</v>
      </c>
      <c r="AP29" s="37" t="str">
        <f t="shared" si="6"/>
        <v/>
      </c>
    </row>
    <row r="30" spans="1:42" ht="13.5" customHeight="1" x14ac:dyDescent="0.25">
      <c r="A30" s="17">
        <v>2</v>
      </c>
      <c r="B30" s="17">
        <v>20</v>
      </c>
      <c r="C30" s="29">
        <v>2025</v>
      </c>
      <c r="D30" s="38">
        <v>33122229</v>
      </c>
      <c r="E30" s="18" t="s">
        <v>374</v>
      </c>
      <c r="F30" s="68">
        <v>20249</v>
      </c>
      <c r="G30" s="62" t="s">
        <v>91</v>
      </c>
      <c r="H30" s="19" t="s">
        <v>888</v>
      </c>
      <c r="I30" s="19" t="s">
        <v>1134</v>
      </c>
      <c r="J30" s="19" t="s">
        <v>1259</v>
      </c>
      <c r="K30" s="20" t="s">
        <v>1543</v>
      </c>
      <c r="L30" s="21">
        <v>50</v>
      </c>
      <c r="M30" s="21"/>
      <c r="N30" s="26">
        <f>IFERROR(VLOOKUP(O30,Apoio!A:B,2,0),"")</f>
        <v>1</v>
      </c>
      <c r="O30" s="22">
        <f>IFERROR(VLOOKUP(C30,'[1]TB DIN'!$B:$D,3,0),"AGUARDANDO ANEXO")</f>
        <v>3</v>
      </c>
      <c r="P30" s="22">
        <f>IFERROR(VLOOKUP(C30,'[1]TB DIN INCLUIDOS'!$B:$H,3,0),"AGUARDANDO ANEXO")</f>
        <v>0</v>
      </c>
      <c r="Q30" s="26" cm="1">
        <f t="array" ref="Q30">_xlfn.IFS((P30&gt;N30),(N30*2),(P30&lt;=N30),(P30*2))</f>
        <v>0</v>
      </c>
      <c r="R30" s="22"/>
      <c r="S30" s="26">
        <f>IFERROR(VLOOKUP(T30,Apoio!A:B,2,0),"")</f>
        <v>1</v>
      </c>
      <c r="T30" s="22">
        <f>IFERROR(VLOOKUP(C30,'[1]TB DIN'!$B:$H,4,0),"AGUARDANDO ANEXO")</f>
        <v>9</v>
      </c>
      <c r="U30" s="22">
        <f>IFERROR(VLOOKUP(C30,'[1]TB DIN INCLUIDOS'!$B:$H,4,0),"AGUARDANDO ANEXO")</f>
        <v>0</v>
      </c>
      <c r="V30" s="26" cm="1">
        <f t="array" ref="V30">_xlfn.IFS((U30&gt;S30),(S30*2),(U30&lt;=S30),(U30*2))</f>
        <v>0</v>
      </c>
      <c r="W30" s="22"/>
      <c r="X30" s="26">
        <f>IFERROR(VLOOKUP(Y30,Apoio!A:B,2,0),"")</f>
        <v>1</v>
      </c>
      <c r="Y30" s="22">
        <v>16</v>
      </c>
      <c r="Z30" s="22">
        <f>IFERROR(VLOOKUP(C30,'[1]TB DIN INCLUIDOS'!$B:$H,5,0),"AGUARDANDO ANEXO")</f>
        <v>0</v>
      </c>
      <c r="AA30" s="26" cm="1">
        <f t="array" ref="AA30">_xlfn.IFS((Z30&gt;X30),(X30*2),(Z30&lt;=X30),(Z30*2))</f>
        <v>0</v>
      </c>
      <c r="AB30" s="22"/>
      <c r="AC30" s="26">
        <f>IFERROR(VLOOKUP(AD30,Apoio!A:B,2,0),"")</f>
        <v>1</v>
      </c>
      <c r="AD30" s="22">
        <v>19</v>
      </c>
      <c r="AE30" s="22">
        <f>IFERROR(VLOOKUP(C30,'[1]TB DIN INCLUIDOS'!$B:$H,6,0),"AGUARDANDO ANEXO")</f>
        <v>1</v>
      </c>
      <c r="AF30" s="26" cm="1">
        <f t="array" ref="AF30">_xlfn.IFS((AE30&gt;AC30),(AC30*2),(AE30&lt;=AC30),(AE30*2))</f>
        <v>2</v>
      </c>
      <c r="AG30" s="22"/>
      <c r="AH30" s="28">
        <f t="shared" si="0"/>
        <v>47</v>
      </c>
      <c r="AI30" s="28">
        <f t="shared" si="1"/>
        <v>1</v>
      </c>
      <c r="AJ30" s="28">
        <f t="shared" si="2"/>
        <v>2</v>
      </c>
      <c r="AK30" s="50">
        <f t="shared" si="3"/>
        <v>1</v>
      </c>
      <c r="AL30" s="28">
        <f t="shared" si="4"/>
        <v>0</v>
      </c>
      <c r="AM30" s="23" t="s">
        <v>1707</v>
      </c>
      <c r="AN30" s="37">
        <f>VLOOKUP(C30,'[2]MARÇO-2024'!$B:$M,12,0)</f>
        <v>46</v>
      </c>
      <c r="AO30" s="37">
        <f t="shared" si="5"/>
        <v>-1</v>
      </c>
      <c r="AP30" s="37" t="str">
        <f t="shared" si="6"/>
        <v/>
      </c>
    </row>
    <row r="31" spans="1:42" ht="13.5" customHeight="1" x14ac:dyDescent="0.25">
      <c r="A31" s="17">
        <v>2</v>
      </c>
      <c r="B31" s="17">
        <v>21</v>
      </c>
      <c r="C31" s="29">
        <v>2026</v>
      </c>
      <c r="D31" s="38">
        <v>33122377</v>
      </c>
      <c r="E31" s="18" t="s">
        <v>357</v>
      </c>
      <c r="F31" s="68" t="s">
        <v>600</v>
      </c>
      <c r="G31" s="62" t="s">
        <v>101</v>
      </c>
      <c r="H31" s="19" t="s">
        <v>897</v>
      </c>
      <c r="I31" s="19" t="s">
        <v>1124</v>
      </c>
      <c r="J31" s="19" t="s">
        <v>1269</v>
      </c>
      <c r="K31" s="20" t="s">
        <v>1551</v>
      </c>
      <c r="L31" s="21">
        <v>50</v>
      </c>
      <c r="M31" s="21"/>
      <c r="N31" s="26" t="str">
        <f>IFERROR(VLOOKUP(O31,Apoio!A:B,2,0),"")</f>
        <v/>
      </c>
      <c r="O31" s="22">
        <f>IFERROR(VLOOKUP(C31,'[1]TB DIN'!$B:$D,3,0),"AGUARDANDO ANEXO")</f>
        <v>0</v>
      </c>
      <c r="P31" s="22">
        <f>IFERROR(VLOOKUP(C31,'[1]TB DIN INCLUIDOS'!$B:$H,3,0),"AGUARDANDO ANEXO")</f>
        <v>0</v>
      </c>
      <c r="Q31" s="26" cm="1">
        <f t="array" ref="Q31">_xlfn.IFS((P31&gt;N31),(N31*2),(P31&lt;=N31),(P31*2))</f>
        <v>0</v>
      </c>
      <c r="R31" s="22"/>
      <c r="S31" s="26" t="str">
        <f>IFERROR(VLOOKUP(T31,Apoio!A:B,2,0),"")</f>
        <v/>
      </c>
      <c r="T31" s="22">
        <f>IFERROR(VLOOKUP(C31,'[1]TB DIN'!$B:$H,4,0),"AGUARDANDO ANEXO")</f>
        <v>0</v>
      </c>
      <c r="U31" s="22">
        <f>IFERROR(VLOOKUP(C31,'[1]TB DIN INCLUIDOS'!$B:$H,4,0),"AGUARDANDO ANEXO")</f>
        <v>0</v>
      </c>
      <c r="V31" s="26" cm="1">
        <f t="array" ref="V31">_xlfn.IFS((U31&gt;S31),(S31*2),(U31&lt;=S31),(U31*2))</f>
        <v>0</v>
      </c>
      <c r="W31" s="22"/>
      <c r="X31" s="26">
        <f>IFERROR(VLOOKUP(Y31,Apoio!A:B,2,0),"")</f>
        <v>1</v>
      </c>
      <c r="Y31" s="22">
        <v>22</v>
      </c>
      <c r="Z31" s="22">
        <f>IFERROR(VLOOKUP(C31,'[1]TB DIN INCLUIDOS'!$B:$H,5,0),"AGUARDANDO ANEXO")</f>
        <v>1</v>
      </c>
      <c r="AA31" s="26" cm="1">
        <f t="array" ref="AA31">_xlfn.IFS((Z31&gt;X31),(X31*2),(Z31&lt;=X31),(Z31*2))</f>
        <v>2</v>
      </c>
      <c r="AB31" s="22"/>
      <c r="AC31" s="26">
        <f>IFERROR(VLOOKUP(AD31,Apoio!A:B,2,0),"")</f>
        <v>1</v>
      </c>
      <c r="AD31" s="22">
        <f>IFERROR(VLOOKUP(C31,'[1]TB DIN'!$B:$H,6,0),"AGUARDANDO ANEXO")</f>
        <v>24</v>
      </c>
      <c r="AE31" s="22">
        <v>1</v>
      </c>
      <c r="AF31" s="26" cm="1">
        <f t="array" ref="AF31">_xlfn.IFS((AE31&gt;AC31),(AC31*2),(AE31&lt;=AC31),(AE31*2))</f>
        <v>2</v>
      </c>
      <c r="AG31" s="22"/>
      <c r="AH31" s="28">
        <f t="shared" si="0"/>
        <v>46</v>
      </c>
      <c r="AI31" s="28">
        <f t="shared" si="1"/>
        <v>2</v>
      </c>
      <c r="AJ31" s="28">
        <f t="shared" si="2"/>
        <v>4</v>
      </c>
      <c r="AK31" s="28">
        <f t="shared" si="3"/>
        <v>0</v>
      </c>
      <c r="AL31" s="28">
        <f t="shared" si="4"/>
        <v>0</v>
      </c>
      <c r="AM31" s="23" t="s">
        <v>1707</v>
      </c>
      <c r="AN31" s="37">
        <f>VLOOKUP(C31,'[2]MARÇO-2024'!$B:$M,12,0)</f>
        <v>44</v>
      </c>
      <c r="AO31" s="37">
        <f t="shared" si="5"/>
        <v>-2</v>
      </c>
      <c r="AP31" s="37" t="str">
        <f t="shared" si="6"/>
        <v/>
      </c>
    </row>
    <row r="32" spans="1:42" ht="13.5" customHeight="1" x14ac:dyDescent="0.25">
      <c r="A32" s="17">
        <v>2</v>
      </c>
      <c r="B32" s="17">
        <v>22</v>
      </c>
      <c r="C32" s="29">
        <v>2028</v>
      </c>
      <c r="D32" s="38">
        <v>33122610</v>
      </c>
      <c r="E32" s="18" t="s">
        <v>402</v>
      </c>
      <c r="F32" s="68" t="s">
        <v>620</v>
      </c>
      <c r="G32" s="62" t="s">
        <v>121</v>
      </c>
      <c r="H32" s="19" t="s">
        <v>917</v>
      </c>
      <c r="I32" s="19" t="s">
        <v>1136</v>
      </c>
      <c r="J32" s="19" t="s">
        <v>1289</v>
      </c>
      <c r="K32" s="20" t="s">
        <v>1560</v>
      </c>
      <c r="L32" s="21">
        <v>90</v>
      </c>
      <c r="M32" s="21"/>
      <c r="N32" s="26" t="str">
        <f>IFERROR(VLOOKUP(O32,Apoio!A:B,2,0),"")</f>
        <v/>
      </c>
      <c r="O32" s="22">
        <f>IFERROR(VLOOKUP(C32,'[1]TB DIN'!$B:$D,3,0),"AGUARDANDO ANEXO")</f>
        <v>0</v>
      </c>
      <c r="P32" s="22">
        <f>IFERROR(VLOOKUP(C32,'[1]TB DIN INCLUIDOS'!$B:$H,3,0),"AGUARDANDO ANEXO")</f>
        <v>0</v>
      </c>
      <c r="Q32" s="26" cm="1">
        <f t="array" ref="Q32">_xlfn.IFS((P32&gt;N32),(N32*2),(P32&lt;=N32),(P32*2))</f>
        <v>0</v>
      </c>
      <c r="R32" s="22"/>
      <c r="S32" s="26">
        <f>IFERROR(VLOOKUP(T32,Apoio!A:B,2,0),"")</f>
        <v>2</v>
      </c>
      <c r="T32" s="22">
        <v>32</v>
      </c>
      <c r="U32" s="22">
        <f>IFERROR(VLOOKUP(C32,'[1]TB DIN INCLUIDOS'!$B:$H,4,0),"AGUARDANDO ANEXO")</f>
        <v>0</v>
      </c>
      <c r="V32" s="26" cm="1">
        <f t="array" ref="V32">_xlfn.IFS((U32&gt;S32),(S32*2),(U32&lt;=S32),(U32*2))</f>
        <v>0</v>
      </c>
      <c r="W32" s="22"/>
      <c r="X32" s="26">
        <f>IFERROR(VLOOKUP(Y32,Apoio!A:B,2,0),"")</f>
        <v>2</v>
      </c>
      <c r="Y32" s="22">
        <f>IFERROR(VLOOKUP(C32,'[1]TB DIN'!$B:$H,5,0),"AGUARDANDO ANEXO")</f>
        <v>26</v>
      </c>
      <c r="Z32" s="22">
        <f>IFERROR(VLOOKUP(C32,'[1]TB DIN INCLUIDOS'!$B:$H,5,0),"AGUARDANDO ANEXO")</f>
        <v>0</v>
      </c>
      <c r="AA32" s="26" cm="1">
        <f t="array" ref="AA32">_xlfn.IFS((Z32&gt;X32),(X32*2),(Z32&lt;=X32),(Z32*2))</f>
        <v>0</v>
      </c>
      <c r="AB32" s="22"/>
      <c r="AC32" s="26">
        <f>IFERROR(VLOOKUP(AD32,Apoio!A:B,2,0),"")</f>
        <v>2</v>
      </c>
      <c r="AD32" s="22">
        <v>31</v>
      </c>
      <c r="AE32" s="22">
        <f>IFERROR(VLOOKUP(C32,'[1]TB DIN INCLUIDOS'!$B:$H,6,0),"AGUARDANDO ANEXO")</f>
        <v>1</v>
      </c>
      <c r="AF32" s="26" cm="1">
        <f t="array" ref="AF32">_xlfn.IFS((AE32&gt;AC32),(AC32*2),(AE32&lt;=AC32),(AE32*2))</f>
        <v>2</v>
      </c>
      <c r="AG32" s="22"/>
      <c r="AH32" s="28">
        <f t="shared" si="0"/>
        <v>89</v>
      </c>
      <c r="AI32" s="28">
        <f t="shared" si="1"/>
        <v>1</v>
      </c>
      <c r="AJ32" s="28">
        <f t="shared" si="2"/>
        <v>2</v>
      </c>
      <c r="AK32" s="28">
        <f t="shared" si="3"/>
        <v>0</v>
      </c>
      <c r="AL32" s="28">
        <f t="shared" si="4"/>
        <v>-1</v>
      </c>
      <c r="AM32" s="23" t="s">
        <v>1707</v>
      </c>
      <c r="AN32" s="37">
        <f>VLOOKUP(C32,'[2]MARÇO-2024'!$B:$M,12,0)</f>
        <v>84</v>
      </c>
      <c r="AO32" s="37">
        <f t="shared" si="5"/>
        <v>-5</v>
      </c>
      <c r="AP32" s="37" t="str">
        <f t="shared" si="6"/>
        <v/>
      </c>
    </row>
    <row r="33" spans="1:42" ht="13.5" customHeight="1" x14ac:dyDescent="0.25">
      <c r="A33" s="17">
        <v>2</v>
      </c>
      <c r="B33" s="17">
        <v>23</v>
      </c>
      <c r="C33" s="29">
        <v>2029</v>
      </c>
      <c r="D33" s="38">
        <v>33122695</v>
      </c>
      <c r="E33" s="18" t="s">
        <v>365</v>
      </c>
      <c r="F33" s="68" t="s">
        <v>581</v>
      </c>
      <c r="G33" s="62" t="s">
        <v>81</v>
      </c>
      <c r="H33" s="19" t="s">
        <v>878</v>
      </c>
      <c r="I33" s="19" t="s">
        <v>1130</v>
      </c>
      <c r="J33" s="19" t="s">
        <v>1249</v>
      </c>
      <c r="K33" s="20" t="s">
        <v>1543</v>
      </c>
      <c r="L33" s="21">
        <v>192</v>
      </c>
      <c r="M33" s="21"/>
      <c r="N33" s="26">
        <f>IFERROR(VLOOKUP(O33,Apoio!A:B,2,0),"")</f>
        <v>1</v>
      </c>
      <c r="O33" s="22">
        <f>IFERROR(VLOOKUP(C33,'[1]TB DIN'!$B:$D,3,0),"AGUARDANDO ANEXO")</f>
        <v>12</v>
      </c>
      <c r="P33" s="22">
        <f>IFERROR(VLOOKUP(C33,'[1]TB DIN INCLUIDOS'!$B:$H,3,0),"AGUARDANDO ANEXO")</f>
        <v>0</v>
      </c>
      <c r="Q33" s="26" cm="1">
        <f t="array" ref="Q33">_xlfn.IFS((P33&gt;N33),(N33*2),(P33&lt;=N33),(P33*2))</f>
        <v>0</v>
      </c>
      <c r="R33" s="22"/>
      <c r="S33" s="26">
        <f>IFERROR(VLOOKUP(T33,Apoio!A:B,2,0),"")</f>
        <v>2</v>
      </c>
      <c r="T33" s="22">
        <v>39</v>
      </c>
      <c r="U33" s="22">
        <f>IFERROR(VLOOKUP(C33,'[1]TB DIN INCLUIDOS'!$B:$H,4,0),"AGUARDANDO ANEXO")</f>
        <v>0</v>
      </c>
      <c r="V33" s="26" cm="1">
        <f t="array" ref="V33">_xlfn.IFS((U33&gt;S33),(S33*2),(U33&lt;=S33),(U33*2))</f>
        <v>0</v>
      </c>
      <c r="W33" s="22"/>
      <c r="X33" s="26">
        <f>IFERROR(VLOOKUP(Y33,Apoio!A:B,2,0),"")</f>
        <v>3</v>
      </c>
      <c r="Y33" s="22">
        <f>IFERROR(VLOOKUP(C33,'[1]TB DIN'!$B:$H,5,0),"AGUARDANDO ANEXO")</f>
        <v>67</v>
      </c>
      <c r="Z33" s="22">
        <f>IFERROR(VLOOKUP(C33,'[1]TB DIN INCLUIDOS'!$B:$H,5,0),"AGUARDANDO ANEXO")</f>
        <v>2</v>
      </c>
      <c r="AA33" s="26" cm="1">
        <f t="array" ref="AA33">_xlfn.IFS((Z33&gt;X33),(X33*2),(Z33&lt;=X33),(Z33*2))</f>
        <v>4</v>
      </c>
      <c r="AB33" s="22"/>
      <c r="AC33" s="26">
        <f>IFERROR(VLOOKUP(AD33,Apoio!A:B,2,0),"")</f>
        <v>3</v>
      </c>
      <c r="AD33" s="22">
        <v>70</v>
      </c>
      <c r="AE33" s="22">
        <v>3</v>
      </c>
      <c r="AF33" s="26" cm="1">
        <f t="array" ref="AF33">_xlfn.IFS((AE33&gt;AC33),(AC33*2),(AE33&lt;=AC33),(AE33*2))</f>
        <v>6</v>
      </c>
      <c r="AG33" s="22"/>
      <c r="AH33" s="28">
        <f t="shared" si="0"/>
        <v>188</v>
      </c>
      <c r="AI33" s="28">
        <f t="shared" si="1"/>
        <v>5</v>
      </c>
      <c r="AJ33" s="28">
        <f t="shared" si="2"/>
        <v>10</v>
      </c>
      <c r="AK33" s="28">
        <f t="shared" si="3"/>
        <v>0</v>
      </c>
      <c r="AL33" s="28">
        <f t="shared" si="4"/>
        <v>-6</v>
      </c>
      <c r="AM33" s="23" t="s">
        <v>1707</v>
      </c>
      <c r="AN33" s="37">
        <f>VLOOKUP(C33,'[2]MARÇO-2024'!$B:$M,12,0)</f>
        <v>189</v>
      </c>
      <c r="AO33" s="37">
        <f t="shared" si="5"/>
        <v>1</v>
      </c>
      <c r="AP33" s="37" t="str">
        <f t="shared" si="6"/>
        <v/>
      </c>
    </row>
    <row r="34" spans="1:42" ht="13.5" customHeight="1" x14ac:dyDescent="0.25">
      <c r="A34" s="17">
        <v>2</v>
      </c>
      <c r="B34" s="17">
        <v>24</v>
      </c>
      <c r="C34" s="29">
        <v>2031</v>
      </c>
      <c r="D34" s="38">
        <v>33122890</v>
      </c>
      <c r="E34" s="18" t="s">
        <v>368</v>
      </c>
      <c r="F34" s="68" t="s">
        <v>584</v>
      </c>
      <c r="G34" s="62" t="s">
        <v>84</v>
      </c>
      <c r="H34" s="19" t="s">
        <v>881</v>
      </c>
      <c r="I34" s="19" t="s">
        <v>881</v>
      </c>
      <c r="J34" s="19" t="s">
        <v>1252</v>
      </c>
      <c r="K34" s="20" t="s">
        <v>1542</v>
      </c>
      <c r="L34" s="21">
        <v>88</v>
      </c>
      <c r="M34" s="21"/>
      <c r="N34" s="26" t="str">
        <f>IFERROR(VLOOKUP(O34,Apoio!A:B,2,0),"")</f>
        <v/>
      </c>
      <c r="O34" s="22">
        <f>IFERROR(VLOOKUP(C34,'[1]TB DIN'!$B:$D,3,0),"AGUARDANDO ANEXO")</f>
        <v>0</v>
      </c>
      <c r="P34" s="22">
        <f>IFERROR(VLOOKUP(C34,'[1]TB DIN INCLUIDOS'!$B:$H,3,0),"AGUARDANDO ANEXO")</f>
        <v>0</v>
      </c>
      <c r="Q34" s="26" cm="1">
        <f t="array" ref="Q34">_xlfn.IFS((P34&gt;N34),(N34*2),(P34&lt;=N34),(P34*2))</f>
        <v>0</v>
      </c>
      <c r="R34" s="22"/>
      <c r="S34" s="26">
        <f>IFERROR(VLOOKUP(T34,Apoio!A:B,2,0),"")</f>
        <v>1</v>
      </c>
      <c r="T34" s="22">
        <v>1</v>
      </c>
      <c r="U34" s="22">
        <f>IFERROR(VLOOKUP(C34,'[1]TB DIN INCLUIDOS'!$B:$H,4,0),"AGUARDANDO ANEXO")</f>
        <v>0</v>
      </c>
      <c r="V34" s="26" cm="1">
        <f t="array" ref="V34">_xlfn.IFS((U34&gt;S34),(S34*2),(U34&lt;=S34),(U34*2))</f>
        <v>0</v>
      </c>
      <c r="W34" s="22"/>
      <c r="X34" s="26">
        <f>IFERROR(VLOOKUP(Y34,Apoio!A:B,2,0),"")</f>
        <v>2</v>
      </c>
      <c r="Y34" s="22">
        <v>36</v>
      </c>
      <c r="Z34" s="22">
        <f>IFERROR(VLOOKUP(C34,'[1]TB DIN INCLUIDOS'!$B:$H,5,0),"AGUARDANDO ANEXO")</f>
        <v>0</v>
      </c>
      <c r="AA34" s="26" cm="1">
        <f t="array" ref="AA34">_xlfn.IFS((Z34&gt;X34),(X34*2),(Z34&lt;=X34),(Z34*2))</f>
        <v>0</v>
      </c>
      <c r="AB34" s="22"/>
      <c r="AC34" s="26">
        <f>IFERROR(VLOOKUP(AD34,Apoio!A:B,2,0),"")</f>
        <v>3</v>
      </c>
      <c r="AD34" s="22">
        <f>IFERROR(VLOOKUP(C34,'[1]TB DIN'!$B:$H,6,0),"AGUARDANDO ANEXO")</f>
        <v>51</v>
      </c>
      <c r="AE34" s="22">
        <f>IFERROR(VLOOKUP(C34,'[1]TB DIN INCLUIDOS'!$B:$H,6,0),"AGUARDANDO ANEXO")</f>
        <v>1</v>
      </c>
      <c r="AF34" s="26" cm="1">
        <f t="array" ref="AF34">_xlfn.IFS((AE34&gt;AC34),(AC34*2),(AE34&lt;=AC34),(AE34*2))</f>
        <v>2</v>
      </c>
      <c r="AG34" s="22"/>
      <c r="AH34" s="28">
        <f t="shared" si="0"/>
        <v>88</v>
      </c>
      <c r="AI34" s="28">
        <f t="shared" si="1"/>
        <v>1</v>
      </c>
      <c r="AJ34" s="28">
        <f t="shared" si="2"/>
        <v>2</v>
      </c>
      <c r="AK34" s="28">
        <f t="shared" si="3"/>
        <v>0</v>
      </c>
      <c r="AL34" s="28">
        <f t="shared" si="4"/>
        <v>-2</v>
      </c>
      <c r="AM34" s="23" t="s">
        <v>1849</v>
      </c>
      <c r="AN34" s="37">
        <f>VLOOKUP(C34,'[2]MARÇO-2024'!$B:$M,12,0)</f>
        <v>88</v>
      </c>
      <c r="AO34" s="37">
        <f t="shared" si="5"/>
        <v>0</v>
      </c>
      <c r="AP34" s="37" t="str">
        <f t="shared" si="6"/>
        <v/>
      </c>
    </row>
    <row r="35" spans="1:42" ht="13.5" customHeight="1" x14ac:dyDescent="0.25">
      <c r="A35" s="17">
        <v>2</v>
      </c>
      <c r="B35" s="17">
        <v>25</v>
      </c>
      <c r="C35" s="29">
        <v>2032</v>
      </c>
      <c r="D35" s="38">
        <v>33122954</v>
      </c>
      <c r="E35" s="18" t="s">
        <v>403</v>
      </c>
      <c r="F35" s="68" t="s">
        <v>621</v>
      </c>
      <c r="G35" s="62" t="s">
        <v>122</v>
      </c>
      <c r="H35" s="19" t="s">
        <v>918</v>
      </c>
      <c r="I35" s="19" t="s">
        <v>918</v>
      </c>
      <c r="J35" s="19" t="s">
        <v>1290</v>
      </c>
      <c r="K35" s="20" t="s">
        <v>1557</v>
      </c>
      <c r="L35" s="21">
        <v>80</v>
      </c>
      <c r="M35" s="21"/>
      <c r="N35" s="26" t="str">
        <f>IFERROR(VLOOKUP(O35,Apoio!A:B,2,0),"")</f>
        <v/>
      </c>
      <c r="O35" s="22">
        <f>IFERROR(VLOOKUP(C35,'[1]TB DIN'!$B:$D,3,0),"AGUARDANDO ANEXO")</f>
        <v>0</v>
      </c>
      <c r="P35" s="22">
        <f>IFERROR(VLOOKUP(C35,'[1]TB DIN INCLUIDOS'!$B:$H,3,0),"AGUARDANDO ANEXO")</f>
        <v>0</v>
      </c>
      <c r="Q35" s="26" cm="1">
        <f t="array" ref="Q35">_xlfn.IFS((P35&gt;N35),(N35*2),(P35&lt;=N35),(P35*2))</f>
        <v>0</v>
      </c>
      <c r="R35" s="22"/>
      <c r="S35" s="26" t="str">
        <f>IFERROR(VLOOKUP(T35,Apoio!A:B,2,0),"")</f>
        <v/>
      </c>
      <c r="T35" s="22">
        <f>IFERROR(VLOOKUP(C35,'[1]TB DIN'!$B:$H,4,0),"AGUARDANDO ANEXO")</f>
        <v>0</v>
      </c>
      <c r="U35" s="22">
        <f>IFERROR(VLOOKUP(C35,'[1]TB DIN INCLUIDOS'!$B:$H,4,0),"AGUARDANDO ANEXO")</f>
        <v>0</v>
      </c>
      <c r="V35" s="26" cm="1">
        <f t="array" ref="V35">_xlfn.IFS((U35&gt;S35),(S35*2),(U35&lt;=S35),(U35*2))</f>
        <v>0</v>
      </c>
      <c r="W35" s="22"/>
      <c r="X35" s="26">
        <f>IFERROR(VLOOKUP(Y35,Apoio!A:B,2,0),"")</f>
        <v>2</v>
      </c>
      <c r="Y35" s="22">
        <f>IFERROR(VLOOKUP(C35,'[1]TB DIN'!$B:$H,5,0),"AGUARDANDO ANEXO")</f>
        <v>29</v>
      </c>
      <c r="Z35" s="22">
        <f>IFERROR(VLOOKUP(C35,'[1]TB DIN INCLUIDOS'!$B:$H,5,0),"AGUARDANDO ANEXO")</f>
        <v>0</v>
      </c>
      <c r="AA35" s="26" cm="1">
        <f t="array" ref="AA35">_xlfn.IFS((Z35&gt;X35),(X35*2),(Z35&lt;=X35),(Z35*2))</f>
        <v>0</v>
      </c>
      <c r="AB35" s="22"/>
      <c r="AC35" s="26">
        <f>IFERROR(VLOOKUP(AD35,Apoio!A:B,2,0),"")</f>
        <v>2</v>
      </c>
      <c r="AD35" s="22">
        <v>42</v>
      </c>
      <c r="AE35" s="22">
        <v>3</v>
      </c>
      <c r="AF35" s="26" cm="1">
        <f t="array" ref="AF35">_xlfn.IFS((AE35&gt;AC35),(AC35*2),(AE35&lt;=AC35),(AE35*2))</f>
        <v>4</v>
      </c>
      <c r="AG35" s="22"/>
      <c r="AH35" s="28">
        <f t="shared" si="0"/>
        <v>71</v>
      </c>
      <c r="AI35" s="28">
        <f t="shared" si="1"/>
        <v>3</v>
      </c>
      <c r="AJ35" s="28">
        <f t="shared" si="2"/>
        <v>4</v>
      </c>
      <c r="AK35" s="28">
        <f t="shared" si="3"/>
        <v>5</v>
      </c>
      <c r="AL35" s="28">
        <f t="shared" si="4"/>
        <v>0</v>
      </c>
      <c r="AM35" s="23" t="s">
        <v>1707</v>
      </c>
      <c r="AN35" s="37">
        <f>VLOOKUP(C35,'[2]MARÇO-2024'!$B:$M,12,0)</f>
        <v>70</v>
      </c>
      <c r="AO35" s="37">
        <f t="shared" si="5"/>
        <v>-1</v>
      </c>
      <c r="AP35" s="37" t="str">
        <f t="shared" si="6"/>
        <v/>
      </c>
    </row>
    <row r="36" spans="1:42" ht="13.5" customHeight="1" x14ac:dyDescent="0.25">
      <c r="A36" s="17">
        <v>2</v>
      </c>
      <c r="B36" s="17">
        <v>26</v>
      </c>
      <c r="C36" s="29">
        <v>2034</v>
      </c>
      <c r="D36" s="38">
        <v>33152004</v>
      </c>
      <c r="E36" s="18" t="s">
        <v>372</v>
      </c>
      <c r="F36" s="68" t="s">
        <v>588</v>
      </c>
      <c r="G36" s="62" t="s">
        <v>88</v>
      </c>
      <c r="H36" s="19" t="s">
        <v>885</v>
      </c>
      <c r="I36" s="19" t="s">
        <v>885</v>
      </c>
      <c r="J36" s="19" t="s">
        <v>1256</v>
      </c>
      <c r="K36" s="20" t="s">
        <v>1542</v>
      </c>
      <c r="L36" s="21">
        <v>100</v>
      </c>
      <c r="M36" s="21"/>
      <c r="N36" s="26" t="str">
        <f>IFERROR(VLOOKUP(O36,Apoio!A:B,2,0),"")</f>
        <v/>
      </c>
      <c r="O36" s="22">
        <f>IFERROR(VLOOKUP(C36,'[1]TB DIN'!$B:$D,3,0),"AGUARDANDO ANEXO")</f>
        <v>0</v>
      </c>
      <c r="P36" s="22">
        <f>IFERROR(VLOOKUP(C36,'[1]TB DIN INCLUIDOS'!$B:$H,3,0),"AGUARDANDO ANEXO")</f>
        <v>0</v>
      </c>
      <c r="Q36" s="26" cm="1">
        <f t="array" ref="Q36">_xlfn.IFS((P36&gt;N36),(N36*2),(P36&lt;=N36),(P36*2))</f>
        <v>0</v>
      </c>
      <c r="R36" s="22"/>
      <c r="S36" s="26" t="str">
        <f>IFERROR(VLOOKUP(T36,Apoio!A:B,2,0),"")</f>
        <v/>
      </c>
      <c r="T36" s="22">
        <f>IFERROR(VLOOKUP(C36,'[1]TB DIN'!$B:$H,4,0),"AGUARDANDO ANEXO")</f>
        <v>0</v>
      </c>
      <c r="U36" s="22">
        <f>IFERROR(VLOOKUP(C36,'[1]TB DIN INCLUIDOS'!$B:$H,4,0),"AGUARDANDO ANEXO")</f>
        <v>0</v>
      </c>
      <c r="V36" s="26" cm="1">
        <f t="array" ref="V36">_xlfn.IFS((U36&gt;S36),(S36*2),(U36&lt;=S36),(U36*2))</f>
        <v>0</v>
      </c>
      <c r="W36" s="22"/>
      <c r="X36" s="26">
        <f>IFERROR(VLOOKUP(Y36,Apoio!A:B,2,0),"")</f>
        <v>2</v>
      </c>
      <c r="Y36" s="22">
        <v>40</v>
      </c>
      <c r="Z36" s="22">
        <f>IFERROR(VLOOKUP(C36,'[1]TB DIN INCLUIDOS'!$B:$H,5,0),"AGUARDANDO ANEXO")</f>
        <v>1</v>
      </c>
      <c r="AA36" s="26" cm="1">
        <f t="array" ref="AA36">_xlfn.IFS((Z36&gt;X36),(X36*2),(Z36&lt;=X36),(Z36*2))</f>
        <v>2</v>
      </c>
      <c r="AB36" s="22"/>
      <c r="AC36" s="26">
        <f>IFERROR(VLOOKUP(AD36,Apoio!A:B,2,0),"")</f>
        <v>3</v>
      </c>
      <c r="AD36" s="22">
        <v>54</v>
      </c>
      <c r="AE36" s="22">
        <f>IFERROR(VLOOKUP(C36,'[1]TB DIN INCLUIDOS'!$B:$H,6,0),"AGUARDANDO ANEXO")</f>
        <v>1</v>
      </c>
      <c r="AF36" s="26" cm="1">
        <f t="array" ref="AF36">_xlfn.IFS((AE36&gt;AC36),(AC36*2),(AE36&lt;=AC36),(AE36*2))</f>
        <v>2</v>
      </c>
      <c r="AG36" s="22"/>
      <c r="AH36" s="28">
        <f t="shared" si="0"/>
        <v>94</v>
      </c>
      <c r="AI36" s="28">
        <f t="shared" si="1"/>
        <v>2</v>
      </c>
      <c r="AJ36" s="28">
        <f t="shared" si="2"/>
        <v>4</v>
      </c>
      <c r="AK36" s="28">
        <f t="shared" si="3"/>
        <v>2</v>
      </c>
      <c r="AL36" s="28">
        <f t="shared" si="4"/>
        <v>0</v>
      </c>
      <c r="AM36" s="23" t="s">
        <v>1707</v>
      </c>
      <c r="AN36" s="37">
        <f>VLOOKUP(C36,'[2]MARÇO-2024'!$B:$M,12,0)</f>
        <v>94</v>
      </c>
      <c r="AO36" s="37">
        <f t="shared" si="5"/>
        <v>0</v>
      </c>
      <c r="AP36" s="37" t="str">
        <f t="shared" si="6"/>
        <v/>
      </c>
    </row>
    <row r="37" spans="1:42" ht="13.5" customHeight="1" x14ac:dyDescent="0.25">
      <c r="A37" s="17">
        <v>2</v>
      </c>
      <c r="B37" s="17">
        <v>27</v>
      </c>
      <c r="C37" s="29">
        <v>2035</v>
      </c>
      <c r="D37" s="38">
        <v>33125490</v>
      </c>
      <c r="E37" s="18" t="s">
        <v>373</v>
      </c>
      <c r="F37" s="68" t="s">
        <v>589</v>
      </c>
      <c r="G37" s="62" t="s">
        <v>89</v>
      </c>
      <c r="H37" s="19" t="s">
        <v>886</v>
      </c>
      <c r="I37" s="19" t="s">
        <v>886</v>
      </c>
      <c r="J37" s="19" t="s">
        <v>1257</v>
      </c>
      <c r="K37" s="20" t="s">
        <v>1542</v>
      </c>
      <c r="L37" s="21">
        <v>65</v>
      </c>
      <c r="M37" s="21"/>
      <c r="N37" s="26">
        <f>IFERROR(VLOOKUP(O37,Apoio!A:B,2,0),"")</f>
        <v>1</v>
      </c>
      <c r="O37" s="22">
        <v>7</v>
      </c>
      <c r="P37" s="22">
        <f>IFERROR(VLOOKUP(C37,'[1]TB DIN INCLUIDOS'!$B:$H,3,0),"AGUARDANDO ANEXO")</f>
        <v>0</v>
      </c>
      <c r="Q37" s="26" cm="1">
        <f t="array" ref="Q37">_xlfn.IFS((P37&gt;N37),(N37*2),(P37&lt;=N37),(P37*2))</f>
        <v>0</v>
      </c>
      <c r="R37" s="22"/>
      <c r="S37" s="26">
        <f>IFERROR(VLOOKUP(T37,Apoio!A:B,2,0),"")</f>
        <v>1</v>
      </c>
      <c r="T37" s="22">
        <v>17</v>
      </c>
      <c r="U37" s="22">
        <f>IFERROR(VLOOKUP(C37,'[1]TB DIN INCLUIDOS'!$B:$H,4,0),"AGUARDANDO ANEXO")</f>
        <v>0</v>
      </c>
      <c r="V37" s="26" cm="1">
        <f t="array" ref="V37">_xlfn.IFS((U37&gt;S37),(S37*2),(U37&lt;=S37),(U37*2))</f>
        <v>0</v>
      </c>
      <c r="W37" s="22"/>
      <c r="X37" s="26">
        <f>IFERROR(VLOOKUP(Y37,Apoio!A:B,2,0),"")</f>
        <v>1</v>
      </c>
      <c r="Y37" s="22">
        <v>24</v>
      </c>
      <c r="Z37" s="22">
        <f>IFERROR(VLOOKUP(C37,'[1]TB DIN INCLUIDOS'!$B:$H,5,0),"AGUARDANDO ANEXO")</f>
        <v>0</v>
      </c>
      <c r="AA37" s="26" cm="1">
        <f t="array" ref="AA37">_xlfn.IFS((Z37&gt;X37),(X37*2),(Z37&lt;=X37),(Z37*2))</f>
        <v>0</v>
      </c>
      <c r="AB37" s="22"/>
      <c r="AC37" s="26">
        <f>IFERROR(VLOOKUP(AD37,Apoio!A:B,2,0),"")</f>
        <v>1</v>
      </c>
      <c r="AD37" s="22">
        <v>17</v>
      </c>
      <c r="AE37" s="22">
        <f>IFERROR(VLOOKUP(C37,'[1]TB DIN INCLUIDOS'!$B:$H,6,0),"AGUARDANDO ANEXO")</f>
        <v>0</v>
      </c>
      <c r="AF37" s="26" cm="1">
        <f t="array" ref="AF37">_xlfn.IFS((AE37&gt;AC37),(AC37*2),(AE37&lt;=AC37),(AE37*2))</f>
        <v>0</v>
      </c>
      <c r="AG37" s="22"/>
      <c r="AH37" s="28">
        <f t="shared" si="0"/>
        <v>65</v>
      </c>
      <c r="AI37" s="28">
        <f t="shared" si="1"/>
        <v>0</v>
      </c>
      <c r="AJ37" s="28">
        <f t="shared" si="2"/>
        <v>0</v>
      </c>
      <c r="AK37" s="28">
        <f t="shared" si="3"/>
        <v>0</v>
      </c>
      <c r="AL37" s="28">
        <f t="shared" si="4"/>
        <v>0</v>
      </c>
      <c r="AM37" s="23" t="s">
        <v>1707</v>
      </c>
      <c r="AN37" s="37">
        <f>VLOOKUP(C37,'[2]MARÇO-2024'!$B:$M,12,0)</f>
        <v>65</v>
      </c>
      <c r="AO37" s="37">
        <f t="shared" si="5"/>
        <v>0</v>
      </c>
      <c r="AP37" s="37" t="str">
        <f t="shared" si="6"/>
        <v/>
      </c>
    </row>
    <row r="38" spans="1:42" ht="13.5" customHeight="1" x14ac:dyDescent="0.25">
      <c r="A38" s="17">
        <v>2</v>
      </c>
      <c r="B38" s="17">
        <v>28</v>
      </c>
      <c r="C38" s="29">
        <v>2036</v>
      </c>
      <c r="D38" s="38">
        <v>33122814</v>
      </c>
      <c r="E38" s="18">
        <v>30122758000163</v>
      </c>
      <c r="F38" s="68" t="s">
        <v>590</v>
      </c>
      <c r="G38" s="62" t="s">
        <v>90</v>
      </c>
      <c r="H38" s="19" t="s">
        <v>887</v>
      </c>
      <c r="I38" s="19" t="s">
        <v>76</v>
      </c>
      <c r="J38" s="19" t="s">
        <v>1258</v>
      </c>
      <c r="K38" s="20" t="s">
        <v>1542</v>
      </c>
      <c r="L38" s="21">
        <v>90</v>
      </c>
      <c r="M38" s="21"/>
      <c r="N38" s="26">
        <f>IFERROR(VLOOKUP(O38,Apoio!A:B,2,0),"")</f>
        <v>1</v>
      </c>
      <c r="O38" s="22">
        <f>IFERROR(VLOOKUP(C38,'[1]TB DIN'!$B:$D,3,0),"AGUARDANDO ANEXO")</f>
        <v>12</v>
      </c>
      <c r="P38" s="22">
        <f>IFERROR(VLOOKUP(C38,'[1]TB DIN INCLUIDOS'!$B:$H,3,0),"AGUARDANDO ANEXO")</f>
        <v>0</v>
      </c>
      <c r="Q38" s="26" cm="1">
        <f t="array" ref="Q38">_xlfn.IFS((P38&gt;N38),(N38*2),(P38&lt;=N38),(P38*2))</f>
        <v>0</v>
      </c>
      <c r="R38" s="22"/>
      <c r="S38" s="26">
        <f>IFERROR(VLOOKUP(T38,Apoio!A:B,2,0),"")</f>
        <v>1</v>
      </c>
      <c r="T38" s="22">
        <f>IFERROR(VLOOKUP(C38,'[1]TB DIN'!$B:$H,4,0),"AGUARDANDO ANEXO")</f>
        <v>21</v>
      </c>
      <c r="U38" s="22">
        <f>IFERROR(VLOOKUP(C38,'[1]TB DIN INCLUIDOS'!$B:$H,4,0),"AGUARDANDO ANEXO")</f>
        <v>0</v>
      </c>
      <c r="V38" s="26" cm="1">
        <f t="array" ref="V38">_xlfn.IFS((U38&gt;S38),(S38*2),(U38&lt;=S38),(U38*2))</f>
        <v>0</v>
      </c>
      <c r="W38" s="22"/>
      <c r="X38" s="26">
        <f>IFERROR(VLOOKUP(Y38,Apoio!A:B,2,0),"")</f>
        <v>1</v>
      </c>
      <c r="Y38" s="22">
        <f>IFERROR(VLOOKUP(C38,'[1]TB DIN'!$B:$H,5,0),"AGUARDANDO ANEXO")</f>
        <v>24</v>
      </c>
      <c r="Z38" s="22">
        <f>IFERROR(VLOOKUP(C38,'[1]TB DIN INCLUIDOS'!$B:$H,5,0),"AGUARDANDO ANEXO")</f>
        <v>0</v>
      </c>
      <c r="AA38" s="26" cm="1">
        <f t="array" ref="AA38">_xlfn.IFS((Z38&gt;X38),(X38*2),(Z38&lt;=X38),(Z38*2))</f>
        <v>0</v>
      </c>
      <c r="AB38" s="22"/>
      <c r="AC38" s="26">
        <f>IFERROR(VLOOKUP(AD38,Apoio!A:B,2,0),"")</f>
        <v>2</v>
      </c>
      <c r="AD38" s="22">
        <v>29</v>
      </c>
      <c r="AE38" s="22">
        <f>IFERROR(VLOOKUP(C38,'[1]TB DIN INCLUIDOS'!$B:$H,6,0),"AGUARDANDO ANEXO")</f>
        <v>2</v>
      </c>
      <c r="AF38" s="26" cm="1">
        <f t="array" ref="AF38">_xlfn.IFS((AE38&gt;AC38),(AC38*2),(AE38&lt;=AC38),(AE38*2))</f>
        <v>4</v>
      </c>
      <c r="AG38" s="22"/>
      <c r="AH38" s="28">
        <f t="shared" si="0"/>
        <v>86</v>
      </c>
      <c r="AI38" s="28">
        <f t="shared" si="1"/>
        <v>2</v>
      </c>
      <c r="AJ38" s="28">
        <f t="shared" si="2"/>
        <v>4</v>
      </c>
      <c r="AK38" s="28">
        <f t="shared" si="3"/>
        <v>0</v>
      </c>
      <c r="AL38" s="28">
        <f t="shared" si="4"/>
        <v>0</v>
      </c>
      <c r="AM38" s="23" t="s">
        <v>1849</v>
      </c>
      <c r="AN38" s="37">
        <f>VLOOKUP(C38,'[2]MARÇO-2024'!$B:$M,12,0)</f>
        <v>85</v>
      </c>
      <c r="AO38" s="37">
        <f t="shared" si="5"/>
        <v>-1</v>
      </c>
      <c r="AP38" s="37" t="str">
        <f t="shared" si="6"/>
        <v/>
      </c>
    </row>
    <row r="39" spans="1:42" ht="13.5" customHeight="1" x14ac:dyDescent="0.25">
      <c r="A39" s="17">
        <v>2</v>
      </c>
      <c r="B39" s="17">
        <v>29</v>
      </c>
      <c r="C39" s="29">
        <v>2037</v>
      </c>
      <c r="D39" s="38">
        <v>33096619</v>
      </c>
      <c r="E39" s="18" t="s">
        <v>378</v>
      </c>
      <c r="F39" s="68" t="s">
        <v>594</v>
      </c>
      <c r="G39" s="62" t="s">
        <v>95</v>
      </c>
      <c r="H39" s="19" t="s">
        <v>891</v>
      </c>
      <c r="I39" s="19" t="s">
        <v>1137</v>
      </c>
      <c r="J39" s="19" t="s">
        <v>1263</v>
      </c>
      <c r="K39" s="20" t="s">
        <v>1547</v>
      </c>
      <c r="L39" s="21">
        <v>150</v>
      </c>
      <c r="M39" s="21"/>
      <c r="N39" s="26">
        <f>IFERROR(VLOOKUP(O39,Apoio!A:B,2,0),"")</f>
        <v>1</v>
      </c>
      <c r="O39" s="22">
        <v>15</v>
      </c>
      <c r="P39" s="22">
        <f>IFERROR(VLOOKUP(C39,'[1]TB DIN INCLUIDOS'!$B:$H,3,0),"AGUARDANDO ANEXO")</f>
        <v>0</v>
      </c>
      <c r="Q39" s="26" cm="1">
        <f t="array" ref="Q39">_xlfn.IFS((P39&gt;N39),(N39*2),(P39&lt;=N39),(P39*2))</f>
        <v>0</v>
      </c>
      <c r="R39" s="22"/>
      <c r="S39" s="26">
        <f>IFERROR(VLOOKUP(T39,Apoio!A:B,2,0),"")</f>
        <v>2</v>
      </c>
      <c r="T39" s="22">
        <v>47</v>
      </c>
      <c r="U39" s="22">
        <f>IFERROR(VLOOKUP(C39,'[1]TB DIN INCLUIDOS'!$B:$H,4,0),"AGUARDANDO ANEXO")</f>
        <v>0</v>
      </c>
      <c r="V39" s="26" cm="1">
        <f t="array" ref="V39">_xlfn.IFS((U39&gt;S39),(S39*2),(U39&lt;=S39),(U39*2))</f>
        <v>0</v>
      </c>
      <c r="W39" s="22"/>
      <c r="X39" s="26">
        <f>IFERROR(VLOOKUP(Y39,Apoio!A:B,2,0),"")</f>
        <v>2</v>
      </c>
      <c r="Y39" s="22">
        <f>IFERROR(VLOOKUP(C39,'[1]TB DIN'!$B:$H,5,0),"AGUARDANDO ANEXO")</f>
        <v>47</v>
      </c>
      <c r="Z39" s="22">
        <f>IFERROR(VLOOKUP(C39,'[1]TB DIN INCLUIDOS'!$B:$H,5,0),"AGUARDANDO ANEXO")</f>
        <v>1</v>
      </c>
      <c r="AA39" s="26" cm="1">
        <f t="array" ref="AA39">_xlfn.IFS((Z39&gt;X39),(X39*2),(Z39&lt;=X39),(Z39*2))</f>
        <v>2</v>
      </c>
      <c r="AB39" s="22"/>
      <c r="AC39" s="26">
        <f>IFERROR(VLOOKUP(AD39,Apoio!A:B,2,0),"")</f>
        <v>2</v>
      </c>
      <c r="AD39" s="22">
        <f>IFERROR(VLOOKUP(C39,'[1]TB DIN'!$B:$H,6,0),"AGUARDANDO ANEXO")</f>
        <v>39</v>
      </c>
      <c r="AE39" s="22">
        <f>IFERROR(VLOOKUP(C39,'[1]TB DIN INCLUIDOS'!$B:$H,6,0),"AGUARDANDO ANEXO")</f>
        <v>1</v>
      </c>
      <c r="AF39" s="26" cm="1">
        <f t="array" ref="AF39">_xlfn.IFS((AE39&gt;AC39),(AC39*2),(AE39&lt;=AC39),(AE39*2))</f>
        <v>2</v>
      </c>
      <c r="AG39" s="22"/>
      <c r="AH39" s="28">
        <f t="shared" si="0"/>
        <v>148</v>
      </c>
      <c r="AI39" s="28">
        <f t="shared" si="1"/>
        <v>2</v>
      </c>
      <c r="AJ39" s="28">
        <f t="shared" si="2"/>
        <v>4</v>
      </c>
      <c r="AK39" s="28">
        <f t="shared" si="3"/>
        <v>0</v>
      </c>
      <c r="AL39" s="28">
        <f t="shared" si="4"/>
        <v>-2</v>
      </c>
      <c r="AM39" s="23" t="s">
        <v>1707</v>
      </c>
      <c r="AN39" s="37">
        <f>VLOOKUP(C39,'[2]MARÇO-2024'!$B:$M,12,0)</f>
        <v>148</v>
      </c>
      <c r="AO39" s="37">
        <f t="shared" si="5"/>
        <v>0</v>
      </c>
      <c r="AP39" s="37" t="str">
        <f t="shared" si="6"/>
        <v/>
      </c>
    </row>
    <row r="40" spans="1:42" ht="13.5" customHeight="1" x14ac:dyDescent="0.25">
      <c r="A40" s="17">
        <v>2</v>
      </c>
      <c r="B40" s="17">
        <v>30</v>
      </c>
      <c r="C40" s="29">
        <v>2038</v>
      </c>
      <c r="D40" s="38">
        <v>33124990</v>
      </c>
      <c r="E40" s="18">
        <v>4447582000100</v>
      </c>
      <c r="F40" s="68">
        <v>20447</v>
      </c>
      <c r="G40" s="62" t="s">
        <v>1660</v>
      </c>
      <c r="H40" s="19" t="s">
        <v>1659</v>
      </c>
      <c r="I40" s="19" t="s">
        <v>1146</v>
      </c>
      <c r="J40" s="19" t="s">
        <v>1775</v>
      </c>
      <c r="K40" s="20" t="s">
        <v>1541</v>
      </c>
      <c r="L40" s="21">
        <v>60</v>
      </c>
      <c r="M40" s="21"/>
      <c r="N40" s="26" t="str">
        <f>IFERROR(VLOOKUP(O40,Apoio!A:B,2,0),"")</f>
        <v/>
      </c>
      <c r="O40" s="22">
        <f>IFERROR(VLOOKUP(C40,'[1]TB DIN'!$B:$D,3,0),"AGUARDANDO ANEXO")</f>
        <v>0</v>
      </c>
      <c r="P40" s="22">
        <f>IFERROR(VLOOKUP(C40,'[1]TB DIN INCLUIDOS'!$B:$H,3,0),"AGUARDANDO ANEXO")</f>
        <v>0</v>
      </c>
      <c r="Q40" s="26" cm="1">
        <f t="array" ref="Q40">_xlfn.IFS((P40&gt;N40),(N40*2),(P40&lt;=N40),(P40*2))</f>
        <v>0</v>
      </c>
      <c r="R40" s="22"/>
      <c r="S40" s="26">
        <f>IFERROR(VLOOKUP(T40,Apoio!A:B,2,0),"")</f>
        <v>1</v>
      </c>
      <c r="T40" s="22">
        <f>IFERROR(VLOOKUP(C40,'[1]TB DIN'!$B:$H,4,0),"AGUARDANDO ANEXO")</f>
        <v>20</v>
      </c>
      <c r="U40" s="22">
        <f>IFERROR(VLOOKUP(C40,'[1]TB DIN INCLUIDOS'!$B:$H,4,0),"AGUARDANDO ANEXO")</f>
        <v>0</v>
      </c>
      <c r="V40" s="26" cm="1">
        <f t="array" ref="V40">_xlfn.IFS((U40&gt;S40),(S40*2),(U40&lt;=S40),(U40*2))</f>
        <v>0</v>
      </c>
      <c r="W40" s="22"/>
      <c r="X40" s="26">
        <f>IFERROR(VLOOKUP(Y40,Apoio!A:B,2,0),"")</f>
        <v>1</v>
      </c>
      <c r="Y40" s="22">
        <v>22</v>
      </c>
      <c r="Z40" s="22">
        <f>IFERROR(VLOOKUP(C40,'[1]TB DIN INCLUIDOS'!$B:$H,5,0),"AGUARDANDO ANEXO")</f>
        <v>1</v>
      </c>
      <c r="AA40" s="26" cm="1">
        <f t="array" ref="AA40">_xlfn.IFS((Z40&gt;X40),(X40*2),(Z40&lt;=X40),(Z40*2))</f>
        <v>2</v>
      </c>
      <c r="AB40" s="22"/>
      <c r="AC40" s="26">
        <f>IFERROR(VLOOKUP(AD40,Apoio!A:B,2,0),"")</f>
        <v>1</v>
      </c>
      <c r="AD40" s="22">
        <f>IFERROR(VLOOKUP(C40,'[1]TB DIN'!$B:$H,6,0),"AGUARDANDO ANEXO")</f>
        <v>16</v>
      </c>
      <c r="AE40" s="22">
        <f>IFERROR(VLOOKUP(C40,'[1]TB DIN INCLUIDOS'!$B:$H,6,0),"AGUARDANDO ANEXO")</f>
        <v>0</v>
      </c>
      <c r="AF40" s="26" cm="1">
        <f t="array" ref="AF40">_xlfn.IFS((AE40&gt;AC40),(AC40*2),(AE40&lt;=AC40),(AE40*2))</f>
        <v>0</v>
      </c>
      <c r="AG40" s="22"/>
      <c r="AH40" s="28">
        <f t="shared" si="0"/>
        <v>58</v>
      </c>
      <c r="AI40" s="28">
        <f t="shared" si="1"/>
        <v>1</v>
      </c>
      <c r="AJ40" s="28">
        <f t="shared" si="2"/>
        <v>2</v>
      </c>
      <c r="AK40" s="28">
        <f t="shared" si="3"/>
        <v>0</v>
      </c>
      <c r="AL40" s="28">
        <f t="shared" si="4"/>
        <v>0</v>
      </c>
      <c r="AM40" s="23" t="s">
        <v>1707</v>
      </c>
      <c r="AN40" s="37">
        <f>VLOOKUP(C40,'[2]MARÇO-2024'!$B:$M,12,0)</f>
        <v>58</v>
      </c>
      <c r="AO40" s="37">
        <f t="shared" si="5"/>
        <v>0</v>
      </c>
      <c r="AP40" s="37" t="str">
        <f t="shared" si="6"/>
        <v/>
      </c>
    </row>
    <row r="41" spans="1:42" ht="13.5" customHeight="1" x14ac:dyDescent="0.25">
      <c r="A41" s="17">
        <v>2</v>
      </c>
      <c r="B41" s="17">
        <v>31</v>
      </c>
      <c r="C41" s="29">
        <v>2039</v>
      </c>
      <c r="D41" s="38">
        <v>33151962</v>
      </c>
      <c r="E41" s="18" t="s">
        <v>380</v>
      </c>
      <c r="F41" s="68" t="s">
        <v>596</v>
      </c>
      <c r="G41" s="62" t="s">
        <v>97</v>
      </c>
      <c r="H41" s="19" t="s">
        <v>893</v>
      </c>
      <c r="I41" s="19" t="s">
        <v>1139</v>
      </c>
      <c r="J41" s="19" t="s">
        <v>1265</v>
      </c>
      <c r="K41" s="20" t="s">
        <v>1547</v>
      </c>
      <c r="L41" s="21">
        <v>88</v>
      </c>
      <c r="M41" s="21"/>
      <c r="N41" s="26">
        <f>IFERROR(VLOOKUP(O41,Apoio!A:B,2,0),"")</f>
        <v>1</v>
      </c>
      <c r="O41" s="22">
        <f>IFERROR(VLOOKUP(C41,'[1]TB DIN'!$B:$D,3,0),"AGUARDANDO ANEXO")</f>
        <v>16</v>
      </c>
      <c r="P41" s="22">
        <f>IFERROR(VLOOKUP(C41,'[1]TB DIN INCLUIDOS'!$B:$H,3,0),"AGUARDANDO ANEXO")</f>
        <v>0</v>
      </c>
      <c r="Q41" s="26" cm="1">
        <f t="array" ref="Q41">_xlfn.IFS((P41&gt;N41),(N41*2),(P41&lt;=N41),(P41*2))</f>
        <v>0</v>
      </c>
      <c r="R41" s="22"/>
      <c r="S41" s="26">
        <f>IFERROR(VLOOKUP(T41,Apoio!A:B,2,0),"")</f>
        <v>1</v>
      </c>
      <c r="T41" s="22">
        <f>IFERROR(VLOOKUP(C41,'[1]TB DIN'!$B:$H,4,0),"AGUARDANDO ANEXO")</f>
        <v>23</v>
      </c>
      <c r="U41" s="22">
        <f>IFERROR(VLOOKUP(C41,'[1]TB DIN INCLUIDOS'!$B:$H,4,0),"AGUARDANDO ANEXO")</f>
        <v>0</v>
      </c>
      <c r="V41" s="26" cm="1">
        <f t="array" ref="V41">_xlfn.IFS((U41&gt;S41),(S41*2),(U41&lt;=S41),(U41*2))</f>
        <v>0</v>
      </c>
      <c r="W41" s="22"/>
      <c r="X41" s="26">
        <f>IFERROR(VLOOKUP(Y41,Apoio!A:B,2,0),"")</f>
        <v>1</v>
      </c>
      <c r="Y41" s="22">
        <f>IFERROR(VLOOKUP(C41,'[1]TB DIN'!$B:$H,5,0),"AGUARDANDO ANEXO")</f>
        <v>25</v>
      </c>
      <c r="Z41" s="22">
        <f>IFERROR(VLOOKUP(C41,'[1]TB DIN INCLUIDOS'!$B:$H,5,0),"AGUARDANDO ANEXO")</f>
        <v>0</v>
      </c>
      <c r="AA41" s="26" cm="1">
        <f t="array" ref="AA41">_xlfn.IFS((Z41&gt;X41),(X41*2),(Z41&lt;=X41),(Z41*2))</f>
        <v>0</v>
      </c>
      <c r="AB41" s="22"/>
      <c r="AC41" s="26">
        <f>IFERROR(VLOOKUP(AD41,Apoio!A:B,2,0),"")</f>
        <v>1</v>
      </c>
      <c r="AD41" s="22">
        <f>IFERROR(VLOOKUP(C41,'[1]TB DIN'!$B:$H,6,0),"AGUARDANDO ANEXO")</f>
        <v>24</v>
      </c>
      <c r="AE41" s="22">
        <f>IFERROR(VLOOKUP(C41,'[1]TB DIN INCLUIDOS'!$B:$H,6,0),"AGUARDANDO ANEXO")</f>
        <v>0</v>
      </c>
      <c r="AF41" s="26" cm="1">
        <f t="array" ref="AF41">_xlfn.IFS((AE41&gt;AC41),(AC41*2),(AE41&lt;=AC41),(AE41*2))</f>
        <v>0</v>
      </c>
      <c r="AG41" s="22"/>
      <c r="AH41" s="28">
        <f t="shared" si="0"/>
        <v>88</v>
      </c>
      <c r="AI41" s="28">
        <f t="shared" si="1"/>
        <v>0</v>
      </c>
      <c r="AJ41" s="28">
        <f t="shared" si="2"/>
        <v>0</v>
      </c>
      <c r="AK41" s="28">
        <f t="shared" si="3"/>
        <v>0</v>
      </c>
      <c r="AL41" s="28">
        <f t="shared" si="4"/>
        <v>0</v>
      </c>
      <c r="AM41" s="23" t="s">
        <v>1707</v>
      </c>
      <c r="AN41" s="37">
        <f>VLOOKUP(C41,'[2]MARÇO-2024'!$B:$M,12,0)</f>
        <v>87</v>
      </c>
      <c r="AO41" s="37">
        <f t="shared" si="5"/>
        <v>-1</v>
      </c>
      <c r="AP41" s="37" t="str">
        <f t="shared" si="6"/>
        <v/>
      </c>
    </row>
    <row r="42" spans="1:42" ht="13.5" customHeight="1" x14ac:dyDescent="0.25">
      <c r="A42" s="17">
        <v>2</v>
      </c>
      <c r="B42" s="17">
        <v>32</v>
      </c>
      <c r="C42" s="29">
        <v>2040</v>
      </c>
      <c r="D42" s="38">
        <v>33122997</v>
      </c>
      <c r="E42" s="18" t="s">
        <v>383</v>
      </c>
      <c r="F42" s="68" t="s">
        <v>599</v>
      </c>
      <c r="G42" s="62" t="s">
        <v>100</v>
      </c>
      <c r="H42" s="19" t="s">
        <v>896</v>
      </c>
      <c r="I42" s="19" t="s">
        <v>1142</v>
      </c>
      <c r="J42" s="19" t="s">
        <v>1268</v>
      </c>
      <c r="K42" s="20" t="s">
        <v>1542</v>
      </c>
      <c r="L42" s="21">
        <v>72</v>
      </c>
      <c r="M42" s="21"/>
      <c r="N42" s="26">
        <f>IFERROR(VLOOKUP(O42,Apoio!A:B,2,0),"")</f>
        <v>1</v>
      </c>
      <c r="O42" s="22">
        <v>9</v>
      </c>
      <c r="P42" s="22">
        <f>IFERROR(VLOOKUP(C42,'[1]TB DIN INCLUIDOS'!$B:$H,3,0),"AGUARDANDO ANEXO")</f>
        <v>0</v>
      </c>
      <c r="Q42" s="26" cm="1">
        <f t="array" ref="Q42">_xlfn.IFS((P42&gt;N42),(N42*2),(P42&lt;=N42),(P42*2))</f>
        <v>0</v>
      </c>
      <c r="R42" s="22"/>
      <c r="S42" s="26">
        <f>IFERROR(VLOOKUP(T42,Apoio!A:B,2,0),"")</f>
        <v>1</v>
      </c>
      <c r="T42" s="22">
        <v>18</v>
      </c>
      <c r="U42" s="22">
        <f>IFERROR(VLOOKUP(C42,'[1]TB DIN INCLUIDOS'!$B:$H,4,0),"AGUARDANDO ANEXO")</f>
        <v>0</v>
      </c>
      <c r="V42" s="26" cm="1">
        <f t="array" ref="V42">_xlfn.IFS((U42&gt;S42),(S42*2),(U42&lt;=S42),(U42*2))</f>
        <v>0</v>
      </c>
      <c r="W42" s="22"/>
      <c r="X42" s="26">
        <f>IFERROR(VLOOKUP(Y42,Apoio!A:B,2,0),"")</f>
        <v>1</v>
      </c>
      <c r="Y42" s="22">
        <v>21</v>
      </c>
      <c r="Z42" s="22">
        <f>IFERROR(VLOOKUP(C42,'[1]TB DIN INCLUIDOS'!$B:$H,5,0),"AGUARDANDO ANEXO")</f>
        <v>0</v>
      </c>
      <c r="AA42" s="26" cm="1">
        <f t="array" ref="AA42">_xlfn.IFS((Z42&gt;X42),(X42*2),(Z42&lt;=X42),(Z42*2))</f>
        <v>0</v>
      </c>
      <c r="AB42" s="22"/>
      <c r="AC42" s="26">
        <f>IFERROR(VLOOKUP(AD42,Apoio!A:B,2,0),"")</f>
        <v>1</v>
      </c>
      <c r="AD42" s="22">
        <v>20</v>
      </c>
      <c r="AE42" s="22">
        <f>IFERROR(VLOOKUP(C42,'[1]TB DIN INCLUIDOS'!$B:$H,6,0),"AGUARDANDO ANEXO")</f>
        <v>0</v>
      </c>
      <c r="AF42" s="26" cm="1">
        <f t="array" ref="AF42">_xlfn.IFS((AE42&gt;AC42),(AC42*2),(AE42&lt;=AC42),(AE42*2))</f>
        <v>0</v>
      </c>
      <c r="AG42" s="22"/>
      <c r="AH42" s="28">
        <f t="shared" si="0"/>
        <v>68</v>
      </c>
      <c r="AI42" s="28">
        <f t="shared" si="1"/>
        <v>0</v>
      </c>
      <c r="AJ42" s="28">
        <f t="shared" si="2"/>
        <v>0</v>
      </c>
      <c r="AK42" s="28">
        <f t="shared" si="3"/>
        <v>4</v>
      </c>
      <c r="AL42" s="28">
        <f t="shared" si="4"/>
        <v>0</v>
      </c>
      <c r="AM42" s="23" t="s">
        <v>1707</v>
      </c>
      <c r="AN42" s="37">
        <f>VLOOKUP(C42,'[2]MARÇO-2024'!$B:$M,12,0)</f>
        <v>72</v>
      </c>
      <c r="AO42" s="37">
        <f t="shared" si="5"/>
        <v>4</v>
      </c>
      <c r="AP42" s="37" t="str">
        <f t="shared" si="6"/>
        <v/>
      </c>
    </row>
    <row r="43" spans="1:42" ht="13.5" customHeight="1" x14ac:dyDescent="0.25">
      <c r="A43" s="17">
        <v>2</v>
      </c>
      <c r="B43" s="17">
        <v>33</v>
      </c>
      <c r="C43" s="29">
        <v>2041</v>
      </c>
      <c r="D43" s="38">
        <v>33123128</v>
      </c>
      <c r="E43" s="18" t="s">
        <v>385</v>
      </c>
      <c r="F43" s="68" t="s">
        <v>602</v>
      </c>
      <c r="G43" s="66" t="s">
        <v>103</v>
      </c>
      <c r="H43" s="19" t="s">
        <v>899</v>
      </c>
      <c r="I43" s="19" t="s">
        <v>899</v>
      </c>
      <c r="J43" s="19" t="s">
        <v>1271</v>
      </c>
      <c r="K43" s="20" t="s">
        <v>1542</v>
      </c>
      <c r="L43" s="21">
        <v>50</v>
      </c>
      <c r="M43" s="21"/>
      <c r="N43" s="26" t="str">
        <f>IFERROR(VLOOKUP(O43,Apoio!A:B,2,0),"")</f>
        <v/>
      </c>
      <c r="O43" s="22">
        <f>IFERROR(VLOOKUP(C43,'[1]TB DIN'!$B:$D,3,0),"AGUARDANDO ANEXO")</f>
        <v>0</v>
      </c>
      <c r="P43" s="22">
        <f>IFERROR(VLOOKUP(C43,'[1]TB DIN INCLUIDOS'!$B:$H,3,0),"AGUARDANDO ANEXO")</f>
        <v>0</v>
      </c>
      <c r="Q43" s="26" cm="1">
        <f t="array" ref="Q43">_xlfn.IFS((P43&gt;N43),(N43*2),(P43&lt;=N43),(P43*2))</f>
        <v>0</v>
      </c>
      <c r="R43" s="22"/>
      <c r="S43" s="26" t="str">
        <f>IFERROR(VLOOKUP(T43,Apoio!A:B,2,0),"")</f>
        <v/>
      </c>
      <c r="T43" s="22">
        <f>IFERROR(VLOOKUP(C43,'[1]TB DIN'!$B:$H,4,0),"AGUARDANDO ANEXO")</f>
        <v>0</v>
      </c>
      <c r="U43" s="22">
        <f>IFERROR(VLOOKUP(C43,'[1]TB DIN INCLUIDOS'!$B:$H,4,0),"AGUARDANDO ANEXO")</f>
        <v>0</v>
      </c>
      <c r="V43" s="26" cm="1">
        <f t="array" ref="V43">_xlfn.IFS((U43&gt;S43),(S43*2),(U43&lt;=S43),(U43*2))</f>
        <v>0</v>
      </c>
      <c r="W43" s="22"/>
      <c r="X43" s="26">
        <f>IFERROR(VLOOKUP(Y43,Apoio!A:B,2,0),"")</f>
        <v>1</v>
      </c>
      <c r="Y43" s="22">
        <f>IFERROR(VLOOKUP(C43,'[1]TB DIN'!$B:$H,5,0),"AGUARDANDO ANEXO")</f>
        <v>16</v>
      </c>
      <c r="Z43" s="22">
        <f>IFERROR(VLOOKUP(C43,'[1]TB DIN INCLUIDOS'!$B:$H,5,0),"AGUARDANDO ANEXO")</f>
        <v>0</v>
      </c>
      <c r="AA43" s="26" cm="1">
        <f t="array" ref="AA43">_xlfn.IFS((Z43&gt;X43),(X43*2),(Z43&lt;=X43),(Z43*2))</f>
        <v>0</v>
      </c>
      <c r="AB43" s="22"/>
      <c r="AC43" s="26">
        <f>IFERROR(VLOOKUP(AD43,Apoio!A:B,2,0),"")</f>
        <v>1</v>
      </c>
      <c r="AD43" s="22">
        <f>IFERROR(VLOOKUP(C43,'[1]TB DIN'!$B:$H,6,0),"AGUARDANDO ANEXO")</f>
        <v>21</v>
      </c>
      <c r="AE43" s="22">
        <f>IFERROR(VLOOKUP(C43,'[1]TB DIN INCLUIDOS'!$B:$H,6,0),"AGUARDANDO ANEXO")</f>
        <v>1</v>
      </c>
      <c r="AF43" s="26" cm="1">
        <f t="array" ref="AF43">_xlfn.IFS((AE43&gt;AC43),(AC43*2),(AE43&lt;=AC43),(AE43*2))</f>
        <v>2</v>
      </c>
      <c r="AG43" s="22"/>
      <c r="AH43" s="28">
        <f t="shared" si="0"/>
        <v>37</v>
      </c>
      <c r="AI43" s="28">
        <f t="shared" si="1"/>
        <v>1</v>
      </c>
      <c r="AJ43" s="28">
        <f t="shared" si="2"/>
        <v>2</v>
      </c>
      <c r="AK43" s="28">
        <f t="shared" si="3"/>
        <v>11</v>
      </c>
      <c r="AL43" s="28">
        <f t="shared" si="4"/>
        <v>0</v>
      </c>
      <c r="AM43" s="23" t="s">
        <v>1707</v>
      </c>
      <c r="AN43" s="37">
        <f>VLOOKUP(C43,'[2]MARÇO-2024'!$B:$M,12,0)</f>
        <v>38</v>
      </c>
      <c r="AO43" s="37">
        <f t="shared" si="5"/>
        <v>1</v>
      </c>
      <c r="AP43" s="37" t="str">
        <f t="shared" si="6"/>
        <v/>
      </c>
    </row>
    <row r="44" spans="1:42" ht="13.5" customHeight="1" x14ac:dyDescent="0.25">
      <c r="A44" s="17">
        <v>2</v>
      </c>
      <c r="B44" s="17">
        <v>34</v>
      </c>
      <c r="C44" s="29">
        <v>2042</v>
      </c>
      <c r="D44" s="38">
        <v>33123020</v>
      </c>
      <c r="E44" s="18" t="s">
        <v>388</v>
      </c>
      <c r="F44" s="68" t="s">
        <v>605</v>
      </c>
      <c r="G44" s="62" t="s">
        <v>106</v>
      </c>
      <c r="H44" s="19" t="s">
        <v>902</v>
      </c>
      <c r="I44" s="19" t="s">
        <v>1145</v>
      </c>
      <c r="J44" s="19" t="s">
        <v>1274</v>
      </c>
      <c r="K44" s="20" t="s">
        <v>1553</v>
      </c>
      <c r="L44" s="21">
        <v>40</v>
      </c>
      <c r="M44" s="21"/>
      <c r="N44" s="26" t="str">
        <f>IFERROR(VLOOKUP(O44,Apoio!A:B,2,0),"")</f>
        <v/>
      </c>
      <c r="O44" s="22">
        <f>IFERROR(VLOOKUP(C44,'[1]TB DIN'!$B:$D,3,0),"AGUARDANDO ANEXO")</f>
        <v>0</v>
      </c>
      <c r="P44" s="22">
        <f>IFERROR(VLOOKUP(C44,'[1]TB DIN INCLUIDOS'!$B:$H,3,0),"AGUARDANDO ANEXO")</f>
        <v>0</v>
      </c>
      <c r="Q44" s="26" cm="1">
        <f t="array" ref="Q44">_xlfn.IFS((P44&gt;N44),(N44*2),(P44&lt;=N44),(P44*2))</f>
        <v>0</v>
      </c>
      <c r="R44" s="22"/>
      <c r="S44" s="26" t="str">
        <f>IFERROR(VLOOKUP(T44,Apoio!A:B,2,0),"")</f>
        <v/>
      </c>
      <c r="T44" s="22">
        <f>IFERROR(VLOOKUP(C44,'[1]TB DIN'!$B:$H,4,0),"AGUARDANDO ANEXO")</f>
        <v>0</v>
      </c>
      <c r="U44" s="22">
        <f>IFERROR(VLOOKUP(C44,'[1]TB DIN INCLUIDOS'!$B:$H,4,0),"AGUARDANDO ANEXO")</f>
        <v>0</v>
      </c>
      <c r="V44" s="26" cm="1">
        <f t="array" ref="V44">_xlfn.IFS((U44&gt;S44),(S44*2),(U44&lt;=S44),(U44*2))</f>
        <v>0</v>
      </c>
      <c r="W44" s="22"/>
      <c r="X44" s="26">
        <f>IFERROR(VLOOKUP(Y44,Apoio!A:B,2,0),"")</f>
        <v>1</v>
      </c>
      <c r="Y44" s="22">
        <f>IFERROR(VLOOKUP(C44,'[1]TB DIN'!$B:$H,5,0),"AGUARDANDO ANEXO")</f>
        <v>19</v>
      </c>
      <c r="Z44" s="22">
        <v>0</v>
      </c>
      <c r="AA44" s="26" cm="1">
        <f t="array" ref="AA44">_xlfn.IFS((Z44&gt;X44),(X44*2),(Z44&lt;=X44),(Z44*2))</f>
        <v>0</v>
      </c>
      <c r="AB44" s="22"/>
      <c r="AC44" s="26">
        <f>IFERROR(VLOOKUP(AD44,Apoio!A:B,2,0),"")</f>
        <v>1</v>
      </c>
      <c r="AD44" s="22">
        <f>IFERROR(VLOOKUP(C44,'[1]TB DIN'!$B:$H,6,0),"AGUARDANDO ANEXO")</f>
        <v>21</v>
      </c>
      <c r="AE44" s="22">
        <f>IFERROR(VLOOKUP(C44,'[1]TB DIN INCLUIDOS'!$B:$H,6,0),"AGUARDANDO ANEXO")</f>
        <v>1</v>
      </c>
      <c r="AF44" s="26" cm="1">
        <f t="array" ref="AF44">_xlfn.IFS((AE44&gt;AC44),(AC44*2),(AE44&lt;=AC44),(AE44*2))</f>
        <v>2</v>
      </c>
      <c r="AG44" s="22"/>
      <c r="AH44" s="28">
        <f t="shared" si="0"/>
        <v>40</v>
      </c>
      <c r="AI44" s="28">
        <f t="shared" si="1"/>
        <v>1</v>
      </c>
      <c r="AJ44" s="28">
        <f t="shared" si="2"/>
        <v>2</v>
      </c>
      <c r="AK44" s="28">
        <f t="shared" si="3"/>
        <v>0</v>
      </c>
      <c r="AL44" s="28">
        <f t="shared" si="4"/>
        <v>-2</v>
      </c>
      <c r="AM44" s="23" t="s">
        <v>1707</v>
      </c>
      <c r="AN44" s="37">
        <f>VLOOKUP(C44,'[2]MARÇO-2024'!$B:$M,12,0)</f>
        <v>40</v>
      </c>
      <c r="AO44" s="37">
        <f t="shared" si="5"/>
        <v>0</v>
      </c>
      <c r="AP44" s="37" t="str">
        <f t="shared" si="6"/>
        <v/>
      </c>
    </row>
    <row r="45" spans="1:42" ht="13.5" customHeight="1" x14ac:dyDescent="0.25">
      <c r="A45" s="17">
        <v>2</v>
      </c>
      <c r="B45" s="17">
        <v>35</v>
      </c>
      <c r="C45" s="29">
        <v>2043</v>
      </c>
      <c r="D45" s="38">
        <v>33124540</v>
      </c>
      <c r="E45" s="18" t="s">
        <v>389</v>
      </c>
      <c r="F45" s="68" t="s">
        <v>607</v>
      </c>
      <c r="G45" s="62" t="s">
        <v>108</v>
      </c>
      <c r="H45" s="19" t="s">
        <v>904</v>
      </c>
      <c r="I45" s="19" t="s">
        <v>1146</v>
      </c>
      <c r="J45" s="19" t="s">
        <v>1276</v>
      </c>
      <c r="K45" s="20" t="s">
        <v>1549</v>
      </c>
      <c r="L45" s="21">
        <v>140</v>
      </c>
      <c r="M45" s="21"/>
      <c r="N45" s="26">
        <f>IFERROR(VLOOKUP(O45,Apoio!A:B,2,0),"")</f>
        <v>1</v>
      </c>
      <c r="O45" s="22">
        <f>IFERROR(VLOOKUP(C45,'[1]TB DIN'!$B:$D,3,0),"AGUARDANDO ANEXO")</f>
        <v>23</v>
      </c>
      <c r="P45" s="22">
        <f>IFERROR(VLOOKUP(C45,'[1]TB DIN INCLUIDOS'!$B:$H,3,0),"AGUARDANDO ANEXO")</f>
        <v>0</v>
      </c>
      <c r="Q45" s="26" cm="1">
        <f t="array" ref="Q45">_xlfn.IFS((P45&gt;N45),(N45*2),(P45&lt;=N45),(P45*2))</f>
        <v>0</v>
      </c>
      <c r="R45" s="22"/>
      <c r="S45" s="26">
        <f>IFERROR(VLOOKUP(T45,Apoio!A:B,2,0),"")</f>
        <v>2</v>
      </c>
      <c r="T45" s="22">
        <f>IFERROR(VLOOKUP(C45,'[1]TB DIN'!$B:$H,4,0),"AGUARDANDO ANEXO")</f>
        <v>50</v>
      </c>
      <c r="U45" s="22">
        <f>IFERROR(VLOOKUP(C45,'[1]TB DIN INCLUIDOS'!$B:$H,4,0),"AGUARDANDO ANEXO")</f>
        <v>1</v>
      </c>
      <c r="V45" s="26" cm="1">
        <f t="array" ref="V45">_xlfn.IFS((U45&gt;S45),(S45*2),(U45&lt;=S45),(U45*2))</f>
        <v>2</v>
      </c>
      <c r="W45" s="22"/>
      <c r="X45" s="26">
        <f>IFERROR(VLOOKUP(Y45,Apoio!A:B,2,0),"")</f>
        <v>2</v>
      </c>
      <c r="Y45" s="22">
        <f>IFERROR(VLOOKUP(C45,'[1]TB DIN'!$B:$H,5,0),"AGUARDANDO ANEXO")</f>
        <v>32</v>
      </c>
      <c r="Z45" s="22">
        <f>IFERROR(VLOOKUP(C45,'[1]TB DIN INCLUIDOS'!$B:$H,5,0),"AGUARDANDO ANEXO")</f>
        <v>0</v>
      </c>
      <c r="AA45" s="26" cm="1">
        <f t="array" ref="AA45">_xlfn.IFS((Z45&gt;X45),(X45*2),(Z45&lt;=X45),(Z45*2))</f>
        <v>0</v>
      </c>
      <c r="AB45" s="22"/>
      <c r="AC45" s="26">
        <f>IFERROR(VLOOKUP(AD45,Apoio!A:B,2,0),"")</f>
        <v>2</v>
      </c>
      <c r="AD45" s="22">
        <f>IFERROR(VLOOKUP(C45,'[1]TB DIN'!$B:$H,6,0),"AGUARDANDO ANEXO")</f>
        <v>35</v>
      </c>
      <c r="AE45" s="22">
        <f>IFERROR(VLOOKUP(C45,'[1]TB DIN INCLUIDOS'!$B:$H,6,0),"AGUARDANDO ANEXO")</f>
        <v>0</v>
      </c>
      <c r="AF45" s="26" cm="1">
        <f t="array" ref="AF45">_xlfn.IFS((AE45&gt;AC45),(AC45*2),(AE45&lt;=AC45),(AE45*2))</f>
        <v>0</v>
      </c>
      <c r="AG45" s="22"/>
      <c r="AH45" s="28">
        <f t="shared" si="0"/>
        <v>140</v>
      </c>
      <c r="AI45" s="28">
        <f t="shared" si="1"/>
        <v>1</v>
      </c>
      <c r="AJ45" s="28">
        <f t="shared" si="2"/>
        <v>2</v>
      </c>
      <c r="AK45" s="28">
        <f t="shared" si="3"/>
        <v>0</v>
      </c>
      <c r="AL45" s="28">
        <f t="shared" si="4"/>
        <v>-2</v>
      </c>
      <c r="AM45" s="23" t="s">
        <v>1707</v>
      </c>
      <c r="AN45" s="37">
        <f>VLOOKUP(C45,'[2]MARÇO-2024'!$B:$M,12,0)</f>
        <v>140</v>
      </c>
      <c r="AO45" s="37">
        <f t="shared" si="5"/>
        <v>0</v>
      </c>
      <c r="AP45" s="37" t="str">
        <f t="shared" si="6"/>
        <v/>
      </c>
    </row>
    <row r="46" spans="1:42" ht="13.5" customHeight="1" x14ac:dyDescent="0.25">
      <c r="A46" s="17">
        <v>2</v>
      </c>
      <c r="B46" s="17">
        <v>36</v>
      </c>
      <c r="C46" s="29">
        <v>2044</v>
      </c>
      <c r="D46" s="38">
        <v>33148821</v>
      </c>
      <c r="E46" s="18" t="s">
        <v>390</v>
      </c>
      <c r="F46" s="68" t="s">
        <v>608</v>
      </c>
      <c r="G46" s="66" t="s">
        <v>109</v>
      </c>
      <c r="H46" s="19" t="s">
        <v>905</v>
      </c>
      <c r="I46" s="19" t="s">
        <v>1136</v>
      </c>
      <c r="J46" s="19" t="s">
        <v>1277</v>
      </c>
      <c r="K46" s="20" t="s">
        <v>1555</v>
      </c>
      <c r="L46" s="21">
        <v>86</v>
      </c>
      <c r="M46" s="21"/>
      <c r="N46" s="26" t="str">
        <f>IFERROR(VLOOKUP(O46,Apoio!A:B,2,0),"")</f>
        <v/>
      </c>
      <c r="O46" s="22">
        <f>IFERROR(VLOOKUP(C46,'[1]TB DIN'!$B:$D,3,0),"AGUARDANDO ANEXO")</f>
        <v>0</v>
      </c>
      <c r="P46" s="22">
        <f>IFERROR(VLOOKUP(C46,'[1]TB DIN INCLUIDOS'!$B:$H,3,0),"AGUARDANDO ANEXO")</f>
        <v>0</v>
      </c>
      <c r="Q46" s="26" cm="1">
        <f t="array" ref="Q46">_xlfn.IFS((P46&gt;N46),(N46*2),(P46&lt;=N46),(P46*2))</f>
        <v>0</v>
      </c>
      <c r="R46" s="22"/>
      <c r="S46" s="26" t="str">
        <f>IFERROR(VLOOKUP(T46,Apoio!A:B,2,0),"")</f>
        <v/>
      </c>
      <c r="T46" s="22">
        <f>IFERROR(VLOOKUP(C46,'[1]TB DIN'!$B:$H,4,0),"AGUARDANDO ANEXO")</f>
        <v>0</v>
      </c>
      <c r="U46" s="22">
        <f>IFERROR(VLOOKUP(C46,'[1]TB DIN INCLUIDOS'!$B:$H,4,0),"AGUARDANDO ANEXO")</f>
        <v>0</v>
      </c>
      <c r="V46" s="26" cm="1">
        <f t="array" ref="V46">_xlfn.IFS((U46&gt;S46),(S46*2),(U46&lt;=S46),(U46*2))</f>
        <v>0</v>
      </c>
      <c r="W46" s="22"/>
      <c r="X46" s="26">
        <f>IFERROR(VLOOKUP(Y46,Apoio!A:B,2,0),"")</f>
        <v>2</v>
      </c>
      <c r="Y46" s="22">
        <v>32</v>
      </c>
      <c r="Z46" s="22">
        <f>IFERROR(VLOOKUP(C46,'[1]TB DIN INCLUIDOS'!$B:$H,5,0),"AGUARDANDO ANEXO")</f>
        <v>0</v>
      </c>
      <c r="AA46" s="26" cm="1">
        <f t="array" ref="AA46">_xlfn.IFS((Z46&gt;X46),(X46*2),(Z46&lt;=X46),(Z46*2))</f>
        <v>0</v>
      </c>
      <c r="AB46" s="22"/>
      <c r="AC46" s="26">
        <f>IFERROR(VLOOKUP(AD46,Apoio!A:B,2,0),"")</f>
        <v>2</v>
      </c>
      <c r="AD46" s="22">
        <v>41</v>
      </c>
      <c r="AE46" s="22">
        <f>IFERROR(VLOOKUP(C46,'[1]TB DIN INCLUIDOS'!$B:$H,6,0),"AGUARDANDO ANEXO")</f>
        <v>2</v>
      </c>
      <c r="AF46" s="26" cm="1">
        <f t="array" ref="AF46">_xlfn.IFS((AE46&gt;AC46),(AC46*2),(AE46&lt;=AC46),(AE46*2))</f>
        <v>4</v>
      </c>
      <c r="AG46" s="22"/>
      <c r="AH46" s="28">
        <f t="shared" si="0"/>
        <v>73</v>
      </c>
      <c r="AI46" s="28">
        <f t="shared" si="1"/>
        <v>2</v>
      </c>
      <c r="AJ46" s="28">
        <f t="shared" si="2"/>
        <v>4</v>
      </c>
      <c r="AK46" s="28">
        <f t="shared" si="3"/>
        <v>9</v>
      </c>
      <c r="AL46" s="28">
        <f t="shared" si="4"/>
        <v>0</v>
      </c>
      <c r="AM46" s="23" t="s">
        <v>1707</v>
      </c>
      <c r="AN46" s="37">
        <f>VLOOKUP(C46,'[2]MARÇO-2024'!$B:$M,12,0)</f>
        <v>70</v>
      </c>
      <c r="AO46" s="37">
        <f t="shared" si="5"/>
        <v>-3</v>
      </c>
      <c r="AP46" s="37" t="str">
        <f t="shared" si="6"/>
        <v/>
      </c>
    </row>
    <row r="47" spans="1:42" ht="13.5" customHeight="1" x14ac:dyDescent="0.25">
      <c r="A47" s="17">
        <v>2</v>
      </c>
      <c r="B47" s="17">
        <v>37</v>
      </c>
      <c r="C47" s="29">
        <v>2045</v>
      </c>
      <c r="D47" s="38">
        <v>33097160</v>
      </c>
      <c r="E47" s="18" t="s">
        <v>391</v>
      </c>
      <c r="F47" s="68" t="s">
        <v>609</v>
      </c>
      <c r="G47" s="62" t="s">
        <v>110</v>
      </c>
      <c r="H47" s="19" t="s">
        <v>906</v>
      </c>
      <c r="I47" s="19" t="s">
        <v>906</v>
      </c>
      <c r="J47" s="19" t="s">
        <v>1278</v>
      </c>
      <c r="K47" s="20" t="s">
        <v>1556</v>
      </c>
      <c r="L47" s="21">
        <v>50</v>
      </c>
      <c r="M47" s="21"/>
      <c r="N47" s="26" t="str">
        <f>IFERROR(VLOOKUP(O47,Apoio!A:B,2,0),"")</f>
        <v/>
      </c>
      <c r="O47" s="22">
        <f>IFERROR(VLOOKUP(C47,'[1]TB DIN'!$B:$D,3,0),"AGUARDANDO ANEXO")</f>
        <v>0</v>
      </c>
      <c r="P47" s="22">
        <f>IFERROR(VLOOKUP(C47,'[1]TB DIN INCLUIDOS'!$B:$H,3,0),"AGUARDANDO ANEXO")</f>
        <v>0</v>
      </c>
      <c r="Q47" s="26" cm="1">
        <f t="array" ref="Q47">_xlfn.IFS((P47&gt;N47),(N47*2),(P47&lt;=N47),(P47*2))</f>
        <v>0</v>
      </c>
      <c r="R47" s="22"/>
      <c r="S47" s="26" t="str">
        <f>IFERROR(VLOOKUP(T47,Apoio!A:B,2,0),"")</f>
        <v/>
      </c>
      <c r="T47" s="22">
        <f>IFERROR(VLOOKUP(C47,'[1]TB DIN'!$B:$H,4,0),"AGUARDANDO ANEXO")</f>
        <v>0</v>
      </c>
      <c r="U47" s="22">
        <f>IFERROR(VLOOKUP(C47,'[1]TB DIN INCLUIDOS'!$B:$H,4,0),"AGUARDANDO ANEXO")</f>
        <v>0</v>
      </c>
      <c r="V47" s="26" cm="1">
        <f t="array" ref="V47">_xlfn.IFS((U47&gt;S47),(S47*2),(U47&lt;=S47),(U47*2))</f>
        <v>0</v>
      </c>
      <c r="W47" s="22"/>
      <c r="X47" s="26">
        <f>IFERROR(VLOOKUP(Y47,Apoio!A:B,2,0),"")</f>
        <v>1</v>
      </c>
      <c r="Y47" s="22">
        <f>IFERROR(VLOOKUP(C47,'[1]TB DIN'!$B:$H,5,0),"AGUARDANDO ANEXO")</f>
        <v>21</v>
      </c>
      <c r="Z47" s="22">
        <f>IFERROR(VLOOKUP(C47,'[1]TB DIN INCLUIDOS'!$B:$H,5,0),"AGUARDANDO ANEXO")</f>
        <v>0</v>
      </c>
      <c r="AA47" s="26" cm="1">
        <f t="array" ref="AA47">_xlfn.IFS((Z47&gt;X47),(X47*2),(Z47&lt;=X47),(Z47*2))</f>
        <v>0</v>
      </c>
      <c r="AB47" s="22"/>
      <c r="AC47" s="26">
        <f>IFERROR(VLOOKUP(AD47,Apoio!A:B,2,0),"")</f>
        <v>1</v>
      </c>
      <c r="AD47" s="22">
        <f>IFERROR(VLOOKUP(C47,'[1]TB DIN'!$B:$H,6,0),"AGUARDANDO ANEXO")</f>
        <v>21</v>
      </c>
      <c r="AE47" s="22">
        <f>IFERROR(VLOOKUP(C47,'[1]TB DIN INCLUIDOS'!$B:$H,6,0),"AGUARDANDO ANEXO")</f>
        <v>0</v>
      </c>
      <c r="AF47" s="26" cm="1">
        <f t="array" ref="AF47">_xlfn.IFS((AE47&gt;AC47),(AC47*2),(AE47&lt;=AC47),(AE47*2))</f>
        <v>0</v>
      </c>
      <c r="AG47" s="22"/>
      <c r="AH47" s="28">
        <f t="shared" si="0"/>
        <v>42</v>
      </c>
      <c r="AI47" s="28">
        <f t="shared" si="1"/>
        <v>0</v>
      </c>
      <c r="AJ47" s="28">
        <f t="shared" si="2"/>
        <v>0</v>
      </c>
      <c r="AK47" s="28">
        <f t="shared" si="3"/>
        <v>8</v>
      </c>
      <c r="AL47" s="28">
        <f t="shared" si="4"/>
        <v>0</v>
      </c>
      <c r="AM47" s="23" t="s">
        <v>1707</v>
      </c>
      <c r="AN47" s="37">
        <f>VLOOKUP(C47,'[2]MARÇO-2024'!$B:$M,12,0)</f>
        <v>45</v>
      </c>
      <c r="AO47" s="37">
        <f t="shared" si="5"/>
        <v>3</v>
      </c>
      <c r="AP47" s="37" t="str">
        <f t="shared" si="6"/>
        <v/>
      </c>
    </row>
    <row r="48" spans="1:42" ht="13.5" customHeight="1" x14ac:dyDescent="0.25">
      <c r="A48" s="17">
        <v>2</v>
      </c>
      <c r="B48" s="17">
        <v>38</v>
      </c>
      <c r="C48" s="29">
        <v>2046</v>
      </c>
      <c r="D48" s="38">
        <v>33114471</v>
      </c>
      <c r="E48" s="18" t="s">
        <v>393</v>
      </c>
      <c r="F48" s="68" t="s">
        <v>611</v>
      </c>
      <c r="G48" s="62" t="s">
        <v>112</v>
      </c>
      <c r="H48" s="19" t="s">
        <v>908</v>
      </c>
      <c r="I48" s="19" t="s">
        <v>1147</v>
      </c>
      <c r="J48" s="19" t="s">
        <v>1280</v>
      </c>
      <c r="K48" s="20" t="s">
        <v>1557</v>
      </c>
      <c r="L48" s="21">
        <v>140</v>
      </c>
      <c r="M48" s="21"/>
      <c r="N48" s="26" t="str">
        <f>IFERROR(VLOOKUP(O48,Apoio!A:B,2,0),"")</f>
        <v/>
      </c>
      <c r="O48" s="22">
        <f>IFERROR(VLOOKUP(C48,'[1]TB DIN'!$B:$D,3,0),"AGUARDANDO ANEXO")</f>
        <v>0</v>
      </c>
      <c r="P48" s="22">
        <f>IFERROR(VLOOKUP(C48,'[1]TB DIN INCLUIDOS'!$B:$H,3,0),"AGUARDANDO ANEXO")</f>
        <v>0</v>
      </c>
      <c r="Q48" s="26" cm="1">
        <f t="array" ref="Q48">_xlfn.IFS((P48&gt;N48),(N48*2),(P48&lt;=N48),(P48*2))</f>
        <v>0</v>
      </c>
      <c r="R48" s="22"/>
      <c r="S48" s="26">
        <f>IFERROR(VLOOKUP(T48,Apoio!A:B,2,0),"")</f>
        <v>2</v>
      </c>
      <c r="T48" s="22">
        <v>44</v>
      </c>
      <c r="U48" s="22">
        <f>IFERROR(VLOOKUP(C48,'[1]TB DIN INCLUIDOS'!$B:$H,4,0),"AGUARDANDO ANEXO")</f>
        <v>0</v>
      </c>
      <c r="V48" s="26" cm="1">
        <f t="array" ref="V48">_xlfn.IFS((U48&gt;S48),(S48*2),(U48&lt;=S48),(U48*2))</f>
        <v>0</v>
      </c>
      <c r="W48" s="22"/>
      <c r="X48" s="26">
        <f>IFERROR(VLOOKUP(Y48,Apoio!A:B,2,0),"")</f>
        <v>2</v>
      </c>
      <c r="Y48" s="22">
        <v>48</v>
      </c>
      <c r="Z48" s="22">
        <f>IFERROR(VLOOKUP(C48,'[1]TB DIN INCLUIDOS'!$B:$H,5,0),"AGUARDANDO ANEXO")</f>
        <v>0</v>
      </c>
      <c r="AA48" s="26" cm="1">
        <f t="array" ref="AA48">_xlfn.IFS((Z48&gt;X48),(X48*2),(Z48&lt;=X48),(Z48*2))</f>
        <v>0</v>
      </c>
      <c r="AB48" s="22"/>
      <c r="AC48" s="26">
        <f>IFERROR(VLOOKUP(AD48,Apoio!A:B,2,0),"")</f>
        <v>2</v>
      </c>
      <c r="AD48" s="22">
        <f>IFERROR(VLOOKUP(C48,'[1]TB DIN'!$B:$H,6,0),"AGUARDANDO ANEXO")</f>
        <v>48</v>
      </c>
      <c r="AE48" s="22">
        <f>IFERROR(VLOOKUP(C48,'[1]TB DIN INCLUIDOS'!$B:$H,6,0),"AGUARDANDO ANEXO")</f>
        <v>3</v>
      </c>
      <c r="AF48" s="26" cm="1">
        <f t="array" ref="AF48">_xlfn.IFS((AE48&gt;AC48),(AC48*2),(AE48&lt;=AC48),(AE48*2))</f>
        <v>4</v>
      </c>
      <c r="AG48" s="22"/>
      <c r="AH48" s="28">
        <f t="shared" si="0"/>
        <v>140</v>
      </c>
      <c r="AI48" s="28">
        <f t="shared" si="1"/>
        <v>3</v>
      </c>
      <c r="AJ48" s="28">
        <f t="shared" si="2"/>
        <v>4</v>
      </c>
      <c r="AK48" s="28">
        <f t="shared" si="3"/>
        <v>0</v>
      </c>
      <c r="AL48" s="28">
        <f t="shared" si="4"/>
        <v>-4</v>
      </c>
      <c r="AM48" s="23" t="s">
        <v>1707</v>
      </c>
      <c r="AN48" s="37">
        <f>VLOOKUP(C48,'[2]MARÇO-2024'!$B:$M,12,0)</f>
        <v>139</v>
      </c>
      <c r="AO48" s="37">
        <f t="shared" si="5"/>
        <v>-1</v>
      </c>
      <c r="AP48" s="37" t="str">
        <f t="shared" si="6"/>
        <v/>
      </c>
    </row>
    <row r="49" spans="1:42" ht="13.5" customHeight="1" x14ac:dyDescent="0.25">
      <c r="A49" s="17">
        <v>2</v>
      </c>
      <c r="B49" s="17">
        <v>39</v>
      </c>
      <c r="C49" s="29">
        <v>2047</v>
      </c>
      <c r="D49" s="38">
        <v>33122970</v>
      </c>
      <c r="E49" s="18" t="s">
        <v>398</v>
      </c>
      <c r="F49" s="68" t="s">
        <v>616</v>
      </c>
      <c r="G49" s="66" t="s">
        <v>117</v>
      </c>
      <c r="H49" s="19" t="s">
        <v>913</v>
      </c>
      <c r="I49" s="19" t="s">
        <v>913</v>
      </c>
      <c r="J49" s="19" t="s">
        <v>1285</v>
      </c>
      <c r="K49" s="20" t="s">
        <v>1542</v>
      </c>
      <c r="L49" s="21">
        <v>75</v>
      </c>
      <c r="M49" s="21"/>
      <c r="N49" s="26" t="str">
        <f>IFERROR(VLOOKUP(O49,Apoio!A:B,2,0),"")</f>
        <v/>
      </c>
      <c r="O49" s="22">
        <f>IFERROR(VLOOKUP(C49,'[1]TB DIN'!$B:$D,3,0),"AGUARDANDO ANEXO")</f>
        <v>0</v>
      </c>
      <c r="P49" s="22">
        <f>IFERROR(VLOOKUP(C49,'[1]TB DIN INCLUIDOS'!$B:$H,3,0),"AGUARDANDO ANEXO")</f>
        <v>0</v>
      </c>
      <c r="Q49" s="26" cm="1">
        <f t="array" ref="Q49">_xlfn.IFS((P49&gt;N49),(N49*2),(P49&lt;=N49),(P49*2))</f>
        <v>0</v>
      </c>
      <c r="R49" s="22"/>
      <c r="S49" s="26">
        <f>IFERROR(VLOOKUP(T49,Apoio!A:B,2,0),"")</f>
        <v>1</v>
      </c>
      <c r="T49" s="22">
        <f>IFERROR(VLOOKUP(C49,'[1]TB DIN'!$B:$H,4,0),"AGUARDANDO ANEXO")</f>
        <v>24</v>
      </c>
      <c r="U49" s="22">
        <f>IFERROR(VLOOKUP(C49,'[1]TB DIN INCLUIDOS'!$B:$H,4,0),"AGUARDANDO ANEXO")</f>
        <v>0</v>
      </c>
      <c r="V49" s="26" cm="1">
        <f t="array" ref="V49">_xlfn.IFS((U49&gt;S49),(S49*2),(U49&lt;=S49),(U49*2))</f>
        <v>0</v>
      </c>
      <c r="W49" s="22"/>
      <c r="X49" s="26">
        <f>IFERROR(VLOOKUP(Y49,Apoio!A:B,2,0),"")</f>
        <v>1</v>
      </c>
      <c r="Y49" s="22">
        <f>IFERROR(VLOOKUP(C49,'[1]TB DIN'!$B:$H,5,0),"AGUARDANDO ANEXO")</f>
        <v>14</v>
      </c>
      <c r="Z49" s="22">
        <f>IFERROR(VLOOKUP(C49,'[1]TB DIN INCLUIDOS'!$B:$H,5,0),"AGUARDANDO ANEXO")</f>
        <v>0</v>
      </c>
      <c r="AA49" s="26" cm="1">
        <f t="array" ref="AA49">_xlfn.IFS((Z49&gt;X49),(X49*2),(Z49&lt;=X49),(Z49*2))</f>
        <v>0</v>
      </c>
      <c r="AB49" s="22"/>
      <c r="AC49" s="26">
        <f>IFERROR(VLOOKUP(AD49,Apoio!A:B,2,0),"")</f>
        <v>2</v>
      </c>
      <c r="AD49" s="22">
        <v>27</v>
      </c>
      <c r="AE49" s="22">
        <f>IFERROR(VLOOKUP(C49,'[1]TB DIN INCLUIDOS'!$B:$H,6,0),"AGUARDANDO ANEXO")</f>
        <v>2</v>
      </c>
      <c r="AF49" s="26" cm="1">
        <f t="array" ref="AF49">_xlfn.IFS((AE49&gt;AC49),(AC49*2),(AE49&lt;=AC49),(AE49*2))</f>
        <v>4</v>
      </c>
      <c r="AG49" s="22"/>
      <c r="AH49" s="28">
        <f t="shared" si="0"/>
        <v>65</v>
      </c>
      <c r="AI49" s="28">
        <f t="shared" si="1"/>
        <v>2</v>
      </c>
      <c r="AJ49" s="28">
        <f t="shared" si="2"/>
        <v>4</v>
      </c>
      <c r="AK49" s="28">
        <f t="shared" si="3"/>
        <v>6</v>
      </c>
      <c r="AL49" s="28">
        <f t="shared" si="4"/>
        <v>0</v>
      </c>
      <c r="AM49" s="23" t="s">
        <v>1849</v>
      </c>
      <c r="AN49" s="37">
        <f>VLOOKUP(C49,'[2]MARÇO-2024'!$B:$M,12,0)</f>
        <v>58</v>
      </c>
      <c r="AO49" s="37">
        <f t="shared" si="5"/>
        <v>-7</v>
      </c>
      <c r="AP49" s="37" t="str">
        <f t="shared" si="6"/>
        <v/>
      </c>
    </row>
    <row r="50" spans="1:42" ht="13.5" customHeight="1" x14ac:dyDescent="0.25">
      <c r="A50" s="17">
        <v>2</v>
      </c>
      <c r="B50" s="17">
        <v>40</v>
      </c>
      <c r="C50" s="29">
        <v>2048</v>
      </c>
      <c r="D50" s="38">
        <v>33169063</v>
      </c>
      <c r="E50" s="18" t="s">
        <v>399</v>
      </c>
      <c r="F50" s="68" t="s">
        <v>617</v>
      </c>
      <c r="G50" s="62" t="s">
        <v>118</v>
      </c>
      <c r="H50" s="19" t="s">
        <v>914</v>
      </c>
      <c r="I50" s="19" t="s">
        <v>914</v>
      </c>
      <c r="J50" s="19" t="s">
        <v>1286</v>
      </c>
      <c r="K50" s="20" t="s">
        <v>1552</v>
      </c>
      <c r="L50" s="21">
        <v>110</v>
      </c>
      <c r="M50" s="21"/>
      <c r="N50" s="26" t="str">
        <f>IFERROR(VLOOKUP(O50,Apoio!A:B,2,0),"")</f>
        <v/>
      </c>
      <c r="O50" s="22">
        <f>IFERROR(VLOOKUP(C50,'[1]TB DIN'!$B:$D,3,0),"AGUARDANDO ANEXO")</f>
        <v>0</v>
      </c>
      <c r="P50" s="22">
        <f>IFERROR(VLOOKUP(C50,'[1]TB DIN INCLUIDOS'!$B:$H,3,0),"AGUARDANDO ANEXO")</f>
        <v>0</v>
      </c>
      <c r="Q50" s="26" cm="1">
        <f t="array" ref="Q50">_xlfn.IFS((P50&gt;N50),(N50*2),(P50&lt;=N50),(P50*2))</f>
        <v>0</v>
      </c>
      <c r="R50" s="22"/>
      <c r="S50" s="26">
        <f>IFERROR(VLOOKUP(T50,Apoio!A:B,2,0),"")</f>
        <v>1</v>
      </c>
      <c r="T50" s="22">
        <v>23</v>
      </c>
      <c r="U50" s="22">
        <f>IFERROR(VLOOKUP(C50,'[1]TB DIN INCLUIDOS'!$B:$H,4,0),"AGUARDANDO ANEXO")</f>
        <v>0</v>
      </c>
      <c r="V50" s="26" cm="1">
        <f t="array" ref="V50">_xlfn.IFS((U50&gt;S50),(S50*2),(U50&lt;=S50),(U50*2))</f>
        <v>0</v>
      </c>
      <c r="W50" s="22"/>
      <c r="X50" s="26">
        <f>IFERROR(VLOOKUP(Y50,Apoio!A:B,2,0),"")</f>
        <v>2</v>
      </c>
      <c r="Y50" s="22">
        <f>IFERROR(VLOOKUP(C50,'[1]TB DIN'!$B:$H,5,0),"AGUARDANDO ANEXO")</f>
        <v>43</v>
      </c>
      <c r="Z50" s="22">
        <f>IFERROR(VLOOKUP(C50,'[1]TB DIN INCLUIDOS'!$B:$H,5,0),"AGUARDANDO ANEXO")</f>
        <v>1</v>
      </c>
      <c r="AA50" s="26" cm="1">
        <f t="array" ref="AA50">_xlfn.IFS((Z50&gt;X50),(X50*2),(Z50&lt;=X50),(Z50*2))</f>
        <v>2</v>
      </c>
      <c r="AB50" s="22"/>
      <c r="AC50" s="26">
        <f>IFERROR(VLOOKUP(AD50,Apoio!A:B,2,0),"")</f>
        <v>2</v>
      </c>
      <c r="AD50" s="22">
        <v>44</v>
      </c>
      <c r="AE50" s="22">
        <f>IFERROR(VLOOKUP(C50,'[1]TB DIN INCLUIDOS'!$B:$H,6,0),"AGUARDANDO ANEXO")</f>
        <v>1</v>
      </c>
      <c r="AF50" s="26" cm="1">
        <f t="array" ref="AF50">_xlfn.IFS((AE50&gt;AC50),(AC50*2),(AE50&lt;=AC50),(AE50*2))</f>
        <v>2</v>
      </c>
      <c r="AG50" s="22"/>
      <c r="AH50" s="28">
        <f t="shared" si="0"/>
        <v>110</v>
      </c>
      <c r="AI50" s="28">
        <f t="shared" si="1"/>
        <v>2</v>
      </c>
      <c r="AJ50" s="28">
        <f t="shared" si="2"/>
        <v>4</v>
      </c>
      <c r="AK50" s="28">
        <f t="shared" si="3"/>
        <v>0</v>
      </c>
      <c r="AL50" s="28">
        <f t="shared" si="4"/>
        <v>-4</v>
      </c>
      <c r="AM50" s="23" t="s">
        <v>1707</v>
      </c>
      <c r="AN50" s="37">
        <f>VLOOKUP(C50,'[2]MARÇO-2024'!$B:$M,12,0)</f>
        <v>110</v>
      </c>
      <c r="AO50" s="37">
        <f t="shared" si="5"/>
        <v>0</v>
      </c>
      <c r="AP50" s="37" t="str">
        <f t="shared" si="6"/>
        <v/>
      </c>
    </row>
    <row r="51" spans="1:42" ht="13.5" customHeight="1" x14ac:dyDescent="0.25">
      <c r="A51" s="17">
        <v>2</v>
      </c>
      <c r="B51" s="17">
        <v>41</v>
      </c>
      <c r="C51" s="29">
        <v>2049</v>
      </c>
      <c r="D51" s="38">
        <v>33120935</v>
      </c>
      <c r="E51" s="18" t="s">
        <v>400</v>
      </c>
      <c r="F51" s="68" t="s">
        <v>618</v>
      </c>
      <c r="G51" s="62" t="s">
        <v>119</v>
      </c>
      <c r="H51" s="19" t="s">
        <v>915</v>
      </c>
      <c r="I51" s="19" t="s">
        <v>915</v>
      </c>
      <c r="J51" s="19" t="s">
        <v>1287</v>
      </c>
      <c r="K51" s="20" t="s">
        <v>1559</v>
      </c>
      <c r="L51" s="21">
        <v>85</v>
      </c>
      <c r="M51" s="21"/>
      <c r="N51" s="26">
        <f>IFERROR(VLOOKUP(O51,Apoio!A:B,2,0),"")</f>
        <v>1</v>
      </c>
      <c r="O51" s="22">
        <v>3</v>
      </c>
      <c r="P51" s="22">
        <v>0</v>
      </c>
      <c r="Q51" s="26" cm="1">
        <f t="array" ref="Q51">_xlfn.IFS((P51&gt;N51),(N51*2),(P51&lt;=N51),(P51*2))</f>
        <v>0</v>
      </c>
      <c r="R51" s="22"/>
      <c r="S51" s="26">
        <f>IFERROR(VLOOKUP(T51,Apoio!A:B,2,0),"")</f>
        <v>1</v>
      </c>
      <c r="T51" s="22">
        <f>IFERROR(VLOOKUP(C51,'[1]TB DIN'!$B:$H,4,0),"AGUARDANDO ANEXO")</f>
        <v>21</v>
      </c>
      <c r="U51" s="22">
        <v>2</v>
      </c>
      <c r="V51" s="26" cm="1">
        <f t="array" ref="V51">_xlfn.IFS((U51&gt;S51),(S51*2),(U51&lt;=S51),(U51*2))</f>
        <v>2</v>
      </c>
      <c r="W51" s="22"/>
      <c r="X51" s="26">
        <f>IFERROR(VLOOKUP(Y51,Apoio!A:B,2,0),"")</f>
        <v>1</v>
      </c>
      <c r="Y51" s="22">
        <v>20</v>
      </c>
      <c r="Z51" s="22">
        <f>IFERROR(VLOOKUP(C51,'[1]TB DIN INCLUIDOS'!$B:$H,5,0),"AGUARDANDO ANEXO")</f>
        <v>1</v>
      </c>
      <c r="AA51" s="26" cm="1">
        <f t="array" ref="AA51">_xlfn.IFS((Z51&gt;X51),(X51*2),(Z51&lt;=X51),(Z51*2))</f>
        <v>2</v>
      </c>
      <c r="AB51" s="22"/>
      <c r="AC51" s="26">
        <f>IFERROR(VLOOKUP(AD51,Apoio!A:B,2,0),"")</f>
        <v>2</v>
      </c>
      <c r="AD51" s="22">
        <v>37</v>
      </c>
      <c r="AE51" s="22">
        <f>IFERROR(VLOOKUP(C51,'[1]TB DIN INCLUIDOS'!$B:$H,6,0),"AGUARDANDO ANEXO")</f>
        <v>1</v>
      </c>
      <c r="AF51" s="26" cm="1">
        <f t="array" ref="AF51">_xlfn.IFS((AE51&gt;AC51),(AC51*2),(AE51&lt;=AC51),(AE51*2))</f>
        <v>2</v>
      </c>
      <c r="AG51" s="22"/>
      <c r="AH51" s="28">
        <f t="shared" si="0"/>
        <v>81</v>
      </c>
      <c r="AI51" s="28">
        <f t="shared" si="1"/>
        <v>4</v>
      </c>
      <c r="AJ51" s="28">
        <f t="shared" si="2"/>
        <v>6</v>
      </c>
      <c r="AK51" s="28">
        <f t="shared" si="3"/>
        <v>0</v>
      </c>
      <c r="AL51" s="28">
        <f t="shared" si="4"/>
        <v>-2</v>
      </c>
      <c r="AM51" s="23" t="s">
        <v>1707</v>
      </c>
      <c r="AN51" s="37">
        <f>VLOOKUP(C51,'[2]MARÇO-2024'!$B:$M,12,0)</f>
        <v>82</v>
      </c>
      <c r="AO51" s="37">
        <f t="shared" si="5"/>
        <v>1</v>
      </c>
      <c r="AP51" s="37" t="str">
        <f t="shared" si="6"/>
        <v/>
      </c>
    </row>
    <row r="52" spans="1:42" ht="13.5" customHeight="1" x14ac:dyDescent="0.25">
      <c r="A52" s="17">
        <v>2</v>
      </c>
      <c r="B52" s="17">
        <v>42</v>
      </c>
      <c r="C52" s="29">
        <v>2052</v>
      </c>
      <c r="D52" s="38">
        <v>33182175</v>
      </c>
      <c r="E52" s="18" t="s">
        <v>376</v>
      </c>
      <c r="F52" s="68" t="s">
        <v>592</v>
      </c>
      <c r="G52" s="62" t="s">
        <v>93</v>
      </c>
      <c r="H52" s="19" t="s">
        <v>1662</v>
      </c>
      <c r="I52" s="19" t="s">
        <v>1135</v>
      </c>
      <c r="J52" s="19" t="s">
        <v>1261</v>
      </c>
      <c r="K52" s="20" t="s">
        <v>1543</v>
      </c>
      <c r="L52" s="21">
        <v>96</v>
      </c>
      <c r="M52" s="21"/>
      <c r="N52" s="26">
        <f>IFERROR(VLOOKUP(O52,Apoio!A:B,2,0),"")</f>
        <v>1</v>
      </c>
      <c r="O52" s="22">
        <f>IFERROR(VLOOKUP(C52,'[1]TB DIN'!$B:$D,3,0),"AGUARDANDO ANEXO")</f>
        <v>10</v>
      </c>
      <c r="P52" s="22">
        <f>IFERROR(VLOOKUP(C52,'[1]TB DIN INCLUIDOS'!$B:$H,3,0),"AGUARDANDO ANEXO")</f>
        <v>0</v>
      </c>
      <c r="Q52" s="26" cm="1">
        <f t="array" ref="Q52">_xlfn.IFS((P52&gt;N52),(N52*2),(P52&lt;=N52),(P52*2))</f>
        <v>0</v>
      </c>
      <c r="R52" s="22"/>
      <c r="S52" s="26">
        <f>IFERROR(VLOOKUP(T52,Apoio!A:B,2,0),"")</f>
        <v>2</v>
      </c>
      <c r="T52" s="22">
        <f>IFERROR(VLOOKUP(C52,'[1]TB DIN'!$B:$H,4,0),"AGUARDANDO ANEXO")</f>
        <v>27</v>
      </c>
      <c r="U52" s="22">
        <f>IFERROR(VLOOKUP(C52,'[1]TB DIN INCLUIDOS'!$B:$H,4,0),"AGUARDANDO ANEXO")</f>
        <v>0</v>
      </c>
      <c r="V52" s="26" cm="1">
        <f t="array" ref="V52">_xlfn.IFS((U52&gt;S52),(S52*2),(U52&lt;=S52),(U52*2))</f>
        <v>0</v>
      </c>
      <c r="W52" s="22"/>
      <c r="X52" s="26">
        <f>IFERROR(VLOOKUP(Y52,Apoio!A:B,2,0),"")</f>
        <v>1</v>
      </c>
      <c r="Y52" s="22">
        <f>IFERROR(VLOOKUP(C52,'[1]TB DIN'!$B:$H,5,0),"AGUARDANDO ANEXO")</f>
        <v>20</v>
      </c>
      <c r="Z52" s="22">
        <f>IFERROR(VLOOKUP(C52,'[1]TB DIN INCLUIDOS'!$B:$H,5,0),"AGUARDANDO ANEXO")</f>
        <v>0</v>
      </c>
      <c r="AA52" s="26" cm="1">
        <f t="array" ref="AA52">_xlfn.IFS((Z52&gt;X52),(X52*2),(Z52&lt;=X52),(Z52*2))</f>
        <v>0</v>
      </c>
      <c r="AB52" s="22"/>
      <c r="AC52" s="26">
        <f>IFERROR(VLOOKUP(AD52,Apoio!A:B,2,0),"")</f>
        <v>2</v>
      </c>
      <c r="AD52" s="22">
        <v>37</v>
      </c>
      <c r="AE52" s="22">
        <f>IFERROR(VLOOKUP(C52,'[1]TB DIN INCLUIDOS'!$B:$H,6,0),"AGUARDANDO ANEXO")</f>
        <v>2</v>
      </c>
      <c r="AF52" s="26" cm="1">
        <f t="array" ref="AF52">_xlfn.IFS((AE52&gt;AC52),(AC52*2),(AE52&lt;=AC52),(AE52*2))</f>
        <v>4</v>
      </c>
      <c r="AG52" s="22"/>
      <c r="AH52" s="28">
        <f t="shared" si="0"/>
        <v>94</v>
      </c>
      <c r="AI52" s="28">
        <f t="shared" si="1"/>
        <v>2</v>
      </c>
      <c r="AJ52" s="28">
        <f t="shared" si="2"/>
        <v>4</v>
      </c>
      <c r="AK52" s="28">
        <f t="shared" si="3"/>
        <v>0</v>
      </c>
      <c r="AL52" s="28">
        <f t="shared" si="4"/>
        <v>-2</v>
      </c>
      <c r="AM52" s="23" t="s">
        <v>1707</v>
      </c>
      <c r="AN52" s="37">
        <f>VLOOKUP(C52,'[2]MARÇO-2024'!$B:$M,12,0)</f>
        <v>94</v>
      </c>
      <c r="AO52" s="37">
        <f t="shared" si="5"/>
        <v>0</v>
      </c>
      <c r="AP52" s="37" t="str">
        <f t="shared" si="6"/>
        <v/>
      </c>
    </row>
    <row r="53" spans="1:42" ht="13.5" customHeight="1" x14ac:dyDescent="0.25">
      <c r="A53" s="17">
        <v>2</v>
      </c>
      <c r="B53" s="17">
        <v>43</v>
      </c>
      <c r="C53" s="29">
        <v>2053</v>
      </c>
      <c r="D53" s="38">
        <v>33121982</v>
      </c>
      <c r="E53" s="18" t="s">
        <v>382</v>
      </c>
      <c r="F53" s="68" t="s">
        <v>598</v>
      </c>
      <c r="G53" s="62" t="s">
        <v>99</v>
      </c>
      <c r="H53" s="19" t="s">
        <v>895</v>
      </c>
      <c r="I53" s="19" t="s">
        <v>1141</v>
      </c>
      <c r="J53" s="19" t="s">
        <v>1267</v>
      </c>
      <c r="K53" s="20" t="s">
        <v>1550</v>
      </c>
      <c r="L53" s="21">
        <v>100</v>
      </c>
      <c r="M53" s="21"/>
      <c r="N53" s="26">
        <f>IFERROR(VLOOKUP(O53,Apoio!A:B,2,0),"")</f>
        <v>1</v>
      </c>
      <c r="O53" s="22">
        <f>IFERROR(VLOOKUP(C53,'[1]TB DIN'!$B:$D,3,0),"AGUARDANDO ANEXO")</f>
        <v>9</v>
      </c>
      <c r="P53" s="22">
        <f>IFERROR(VLOOKUP(C53,'[1]TB DIN INCLUIDOS'!$B:$H,3,0),"AGUARDANDO ANEXO")</f>
        <v>0</v>
      </c>
      <c r="Q53" s="26" cm="1">
        <f t="array" ref="Q53">_xlfn.IFS((P53&gt;N53),(N53*2),(P53&lt;=N53),(P53*2))</f>
        <v>0</v>
      </c>
      <c r="R53" s="22"/>
      <c r="S53" s="26">
        <f>IFERROR(VLOOKUP(T53,Apoio!A:B,2,0),"")</f>
        <v>2</v>
      </c>
      <c r="T53" s="22">
        <v>30</v>
      </c>
      <c r="U53" s="22">
        <f>IFERROR(VLOOKUP(C53,'[1]TB DIN INCLUIDOS'!$B:$H,4,0),"AGUARDANDO ANEXO")</f>
        <v>0</v>
      </c>
      <c r="V53" s="26" cm="1">
        <f t="array" ref="V53">_xlfn.IFS((U53&gt;S53),(S53*2),(U53&lt;=S53),(U53*2))</f>
        <v>0</v>
      </c>
      <c r="W53" s="22"/>
      <c r="X53" s="26">
        <f>IFERROR(VLOOKUP(Y53,Apoio!A:B,2,0),"")</f>
        <v>2</v>
      </c>
      <c r="Y53" s="22">
        <f>IFERROR(VLOOKUP(C53,'[1]TB DIN'!$B:$H,5,0),"AGUARDANDO ANEXO")</f>
        <v>30</v>
      </c>
      <c r="Z53" s="22">
        <v>2</v>
      </c>
      <c r="AA53" s="26" cm="1">
        <f t="array" ref="AA53">_xlfn.IFS((Z53&gt;X53),(X53*2),(Z53&lt;=X53),(Z53*2))</f>
        <v>4</v>
      </c>
      <c r="AB53" s="22"/>
      <c r="AC53" s="26">
        <f>IFERROR(VLOOKUP(AD53,Apoio!A:B,2,0),"")</f>
        <v>2</v>
      </c>
      <c r="AD53" s="22">
        <f>IFERROR(VLOOKUP(C53,'[1]TB DIN'!$B:$H,6,0),"AGUARDANDO ANEXO")</f>
        <v>28</v>
      </c>
      <c r="AE53" s="22">
        <f>IFERROR(VLOOKUP(C53,'[1]TB DIN INCLUIDOS'!$B:$H,6,0),"AGUARDANDO ANEXO")</f>
        <v>1</v>
      </c>
      <c r="AF53" s="26" cm="1">
        <f t="array" ref="AF53">_xlfn.IFS((AE53&gt;AC53),(AC53*2),(AE53&lt;=AC53),(AE53*2))</f>
        <v>2</v>
      </c>
      <c r="AG53" s="22"/>
      <c r="AH53" s="28">
        <f t="shared" si="0"/>
        <v>97</v>
      </c>
      <c r="AI53" s="28">
        <f t="shared" si="1"/>
        <v>3</v>
      </c>
      <c r="AJ53" s="28">
        <f t="shared" si="2"/>
        <v>6</v>
      </c>
      <c r="AK53" s="28">
        <f t="shared" si="3"/>
        <v>0</v>
      </c>
      <c r="AL53" s="28">
        <f t="shared" si="4"/>
        <v>-3</v>
      </c>
      <c r="AM53" s="23" t="s">
        <v>1707</v>
      </c>
      <c r="AN53" s="37">
        <f>VLOOKUP(C53,'[2]MARÇO-2024'!$B:$M,12,0)</f>
        <v>98</v>
      </c>
      <c r="AO53" s="37">
        <f t="shared" si="5"/>
        <v>1</v>
      </c>
      <c r="AP53" s="37" t="str">
        <f t="shared" si="6"/>
        <v/>
      </c>
    </row>
    <row r="54" spans="1:42" s="60" customFormat="1" ht="13.5" customHeight="1" x14ac:dyDescent="0.25">
      <c r="A54" s="61">
        <v>2</v>
      </c>
      <c r="B54" s="61">
        <v>44</v>
      </c>
      <c r="C54" s="52">
        <v>2054</v>
      </c>
      <c r="D54" s="39">
        <v>33182540</v>
      </c>
      <c r="E54" s="53" t="s">
        <v>405</v>
      </c>
      <c r="F54" s="69" t="s">
        <v>623</v>
      </c>
      <c r="G54" s="66" t="s">
        <v>124</v>
      </c>
      <c r="H54" s="54" t="s">
        <v>920</v>
      </c>
      <c r="I54" s="54" t="s">
        <v>920</v>
      </c>
      <c r="J54" s="54" t="s">
        <v>1292</v>
      </c>
      <c r="K54" s="55" t="s">
        <v>1542</v>
      </c>
      <c r="L54" s="56">
        <v>75</v>
      </c>
      <c r="M54" s="56"/>
      <c r="N54" s="57">
        <f>IFERROR(VLOOKUP(O54,Apoio!A:B,2,0),"")</f>
        <v>1</v>
      </c>
      <c r="O54" s="58">
        <v>12</v>
      </c>
      <c r="P54" s="58">
        <f>IFERROR(VLOOKUP(C54,'[1]TB DIN INCLUIDOS'!$B:$H,3,0),"AGUARDANDO ANEXO")</f>
        <v>0</v>
      </c>
      <c r="Q54" s="57" cm="1">
        <f t="array" ref="Q54">_xlfn.IFS((P54&gt;N54),(N54*2),(P54&lt;=N54),(P54*2))</f>
        <v>0</v>
      </c>
      <c r="R54" s="58"/>
      <c r="S54" s="57">
        <f>IFERROR(VLOOKUP(T54,Apoio!A:B,2,0),"")</f>
        <v>1</v>
      </c>
      <c r="T54" s="58">
        <v>15</v>
      </c>
      <c r="U54" s="58">
        <f>IFERROR(VLOOKUP(C54,'[1]TB DIN INCLUIDOS'!$B:$H,4,0),"AGUARDANDO ANEXO")</f>
        <v>0</v>
      </c>
      <c r="V54" s="57" cm="1">
        <f t="array" ref="V54">_xlfn.IFS((U54&gt;S54),(S54*2),(U54&lt;=S54),(U54*2))</f>
        <v>0</v>
      </c>
      <c r="W54" s="58"/>
      <c r="X54" s="57">
        <f>IFERROR(VLOOKUP(Y54,Apoio!A:B,2,0),"")</f>
        <v>1</v>
      </c>
      <c r="Y54" s="58">
        <v>19</v>
      </c>
      <c r="Z54" s="58">
        <f>IFERROR(VLOOKUP(C54,'[1]TB DIN INCLUIDOS'!$B:$H,5,0),"AGUARDANDO ANEXO")</f>
        <v>0</v>
      </c>
      <c r="AA54" s="57" cm="1">
        <f t="array" ref="AA54">_xlfn.IFS((Z54&gt;X54),(X54*2),(Z54&lt;=X54),(Z54*2))</f>
        <v>0</v>
      </c>
      <c r="AB54" s="58"/>
      <c r="AC54" s="57">
        <f>IFERROR(VLOOKUP(AD54,Apoio!A:B,2,0),"")</f>
        <v>1</v>
      </c>
      <c r="AD54" s="58">
        <f>IFERROR(VLOOKUP(C54,'[1]TB DIN'!$B:$H,6,0),"AGUARDANDO ANEXO")</f>
        <v>16</v>
      </c>
      <c r="AE54" s="58">
        <f>IFERROR(VLOOKUP(C54,'[1]TB DIN INCLUIDOS'!$B:$H,6,0),"AGUARDANDO ANEXO")</f>
        <v>0</v>
      </c>
      <c r="AF54" s="57" cm="1">
        <f t="array" ref="AF54">_xlfn.IFS((AE54&gt;AC54),(AC54*2),(AE54&lt;=AC54),(AE54*2))</f>
        <v>0</v>
      </c>
      <c r="AG54" s="58"/>
      <c r="AH54" s="28">
        <f t="shared" si="0"/>
        <v>62</v>
      </c>
      <c r="AI54" s="28">
        <f t="shared" si="1"/>
        <v>0</v>
      </c>
      <c r="AJ54" s="28">
        <f t="shared" si="2"/>
        <v>0</v>
      </c>
      <c r="AK54" s="28">
        <f t="shared" si="3"/>
        <v>13</v>
      </c>
      <c r="AL54" s="28">
        <f t="shared" si="4"/>
        <v>0</v>
      </c>
      <c r="AM54" s="59" t="s">
        <v>1707</v>
      </c>
      <c r="AN54" s="70">
        <f>VLOOKUP(C54,'[2]MARÇO-2024'!$B:$M,12,0)</f>
        <v>64</v>
      </c>
      <c r="AO54" s="70">
        <f t="shared" si="5"/>
        <v>2</v>
      </c>
      <c r="AP54" s="70" t="str">
        <f t="shared" si="6"/>
        <v/>
      </c>
    </row>
    <row r="55" spans="1:42" ht="13.5" customHeight="1" x14ac:dyDescent="0.25">
      <c r="A55" s="17">
        <v>2</v>
      </c>
      <c r="B55" s="17">
        <v>45</v>
      </c>
      <c r="C55" s="29">
        <v>2055</v>
      </c>
      <c r="D55" s="38">
        <v>33349215</v>
      </c>
      <c r="E55" s="18" t="s">
        <v>375</v>
      </c>
      <c r="F55" s="68" t="s">
        <v>591</v>
      </c>
      <c r="G55" s="63" t="s">
        <v>92</v>
      </c>
      <c r="H55" s="19" t="s">
        <v>889</v>
      </c>
      <c r="I55" s="19" t="s">
        <v>889</v>
      </c>
      <c r="J55" s="19" t="s">
        <v>1260</v>
      </c>
      <c r="K55" s="20" t="s">
        <v>1547</v>
      </c>
      <c r="L55" s="21">
        <v>79</v>
      </c>
      <c r="M55" s="21"/>
      <c r="N55" s="26" t="str">
        <f>IFERROR(VLOOKUP(O55,Apoio!A:B,2,0),"")</f>
        <v/>
      </c>
      <c r="O55" s="22">
        <f>IFERROR(VLOOKUP(C55,'[1]TB DIN'!$B:$D,3,0),"AGUARDANDO ANEXO")</f>
        <v>0</v>
      </c>
      <c r="P55" s="22">
        <f>IFERROR(VLOOKUP(C55,'[1]TB DIN INCLUIDOS'!$B:$H,3,0),"AGUARDANDO ANEXO")</f>
        <v>0</v>
      </c>
      <c r="Q55" s="26" cm="1">
        <f t="array" ref="Q55">_xlfn.IFS((P55&gt;N55),(N55*2),(P55&lt;=N55),(P55*2))</f>
        <v>0</v>
      </c>
      <c r="R55" s="22"/>
      <c r="S55" s="26" t="str">
        <f>IFERROR(VLOOKUP(T55,Apoio!A:B,2,0),"")</f>
        <v/>
      </c>
      <c r="T55" s="22">
        <f>IFERROR(VLOOKUP(C55,'[1]TB DIN'!$B:$H,4,0),"AGUARDANDO ANEXO")</f>
        <v>0</v>
      </c>
      <c r="U55" s="22">
        <f>IFERROR(VLOOKUP(C55,'[1]TB DIN INCLUIDOS'!$B:$H,4,0),"AGUARDANDO ANEXO")</f>
        <v>0</v>
      </c>
      <c r="V55" s="26" cm="1">
        <f t="array" ref="V55">_xlfn.IFS((U55&gt;S55),(S55*2),(U55&lt;=S55),(U55*2))</f>
        <v>0</v>
      </c>
      <c r="W55" s="22"/>
      <c r="X55" s="26">
        <f>IFERROR(VLOOKUP(Y55,Apoio!A:B,2,0),"")</f>
        <v>2</v>
      </c>
      <c r="Y55" s="22">
        <f>IFERROR(VLOOKUP(C55,'[1]TB DIN'!$B:$H,5,0),"AGUARDANDO ANEXO")</f>
        <v>40</v>
      </c>
      <c r="Z55" s="22">
        <f>IFERROR(VLOOKUP(C55,'[1]TB DIN INCLUIDOS'!$B:$H,5,0),"AGUARDANDO ANEXO")</f>
        <v>2</v>
      </c>
      <c r="AA55" s="26" cm="1">
        <f t="array" ref="AA55">_xlfn.IFS((Z55&gt;X55),(X55*2),(Z55&lt;=X55),(Z55*2))</f>
        <v>4</v>
      </c>
      <c r="AB55" s="22"/>
      <c r="AC55" s="26">
        <f>IFERROR(VLOOKUP(AD55,Apoio!A:B,2,0),"")</f>
        <v>2</v>
      </c>
      <c r="AD55" s="22">
        <v>37</v>
      </c>
      <c r="AE55" s="22">
        <v>0</v>
      </c>
      <c r="AF55" s="26" cm="1">
        <f t="array" ref="AF55">_xlfn.IFS((AE55&gt;AC55),(AC55*2),(AE55&lt;=AC55),(AE55*2))</f>
        <v>0</v>
      </c>
      <c r="AG55" s="22"/>
      <c r="AH55" s="28">
        <f t="shared" si="0"/>
        <v>77</v>
      </c>
      <c r="AI55" s="28">
        <f t="shared" si="1"/>
        <v>2</v>
      </c>
      <c r="AJ55" s="28">
        <f t="shared" si="2"/>
        <v>4</v>
      </c>
      <c r="AK55" s="28">
        <f t="shared" si="3"/>
        <v>0</v>
      </c>
      <c r="AL55" s="28">
        <f t="shared" si="4"/>
        <v>-2</v>
      </c>
      <c r="AM55" s="23" t="s">
        <v>1707</v>
      </c>
      <c r="AN55" s="37">
        <f>VLOOKUP(C55,'[2]MARÇO-2024'!$B:$M,12,0)</f>
        <v>78</v>
      </c>
      <c r="AO55" s="37">
        <f t="shared" si="5"/>
        <v>1</v>
      </c>
      <c r="AP55" s="37" t="str">
        <f t="shared" si="6"/>
        <v/>
      </c>
    </row>
    <row r="56" spans="1:42" ht="13.5" customHeight="1" x14ac:dyDescent="0.25">
      <c r="A56" s="17">
        <v>2</v>
      </c>
      <c r="B56" s="17">
        <v>46</v>
      </c>
      <c r="C56" s="29">
        <v>2056</v>
      </c>
      <c r="D56" s="38">
        <v>33187657</v>
      </c>
      <c r="E56" s="18" t="s">
        <v>357</v>
      </c>
      <c r="F56" s="68" t="s">
        <v>606</v>
      </c>
      <c r="G56" s="62" t="s">
        <v>107</v>
      </c>
      <c r="H56" s="19" t="s">
        <v>903</v>
      </c>
      <c r="I56" s="19" t="s">
        <v>1124</v>
      </c>
      <c r="J56" s="19" t="s">
        <v>1275</v>
      </c>
      <c r="K56" s="20" t="s">
        <v>1554</v>
      </c>
      <c r="L56" s="21">
        <v>115</v>
      </c>
      <c r="M56" s="21"/>
      <c r="N56" s="26" t="str">
        <f>IFERROR(VLOOKUP(O56,Apoio!A:B,2,0),"")</f>
        <v/>
      </c>
      <c r="O56" s="22">
        <f>IFERROR(VLOOKUP(C56,'[1]TB DIN'!$B:$D,3,0),"AGUARDANDO ANEXO")</f>
        <v>0</v>
      </c>
      <c r="P56" s="22">
        <f>IFERROR(VLOOKUP(C56,'[1]TB DIN INCLUIDOS'!$B:$H,3,0),"AGUARDANDO ANEXO")</f>
        <v>0</v>
      </c>
      <c r="Q56" s="26" cm="1">
        <f t="array" ref="Q56">_xlfn.IFS((P56&gt;N56),(N56*2),(P56&lt;=N56),(P56*2))</f>
        <v>0</v>
      </c>
      <c r="R56" s="22"/>
      <c r="S56" s="26" t="str">
        <f>IFERROR(VLOOKUP(T56,Apoio!A:B,2,0),"")</f>
        <v/>
      </c>
      <c r="T56" s="22">
        <f>IFERROR(VLOOKUP(C56,'[1]TB DIN'!$B:$H,4,0),"AGUARDANDO ANEXO")</f>
        <v>0</v>
      </c>
      <c r="U56" s="22">
        <f>IFERROR(VLOOKUP(C56,'[1]TB DIN INCLUIDOS'!$B:$H,4,0),"AGUARDANDO ANEXO")</f>
        <v>0</v>
      </c>
      <c r="V56" s="26" cm="1">
        <f t="array" ref="V56">_xlfn.IFS((U56&gt;S56),(S56*2),(U56&lt;=S56),(U56*2))</f>
        <v>0</v>
      </c>
      <c r="W56" s="22"/>
      <c r="X56" s="26">
        <f>IFERROR(VLOOKUP(Y56,Apoio!A:B,2,0),"")</f>
        <v>3</v>
      </c>
      <c r="Y56" s="22">
        <v>64</v>
      </c>
      <c r="Z56" s="22">
        <f>IFERROR(VLOOKUP(C56,'[1]TB DIN INCLUIDOS'!$B:$H,5,0),"AGUARDANDO ANEXO")</f>
        <v>0</v>
      </c>
      <c r="AA56" s="26" cm="1">
        <f t="array" ref="AA56">_xlfn.IFS((Z56&gt;X56),(X56*2),(Z56&lt;=X56),(Z56*2))</f>
        <v>0</v>
      </c>
      <c r="AB56" s="22"/>
      <c r="AC56" s="26">
        <f>IFERROR(VLOOKUP(AD56,Apoio!A:B,2,0),"")</f>
        <v>2</v>
      </c>
      <c r="AD56" s="22">
        <v>50</v>
      </c>
      <c r="AE56" s="22">
        <f>IFERROR(VLOOKUP(C56,'[1]TB DIN INCLUIDOS'!$B:$H,6,0),"AGUARDANDO ANEXO")</f>
        <v>1</v>
      </c>
      <c r="AF56" s="26" cm="1">
        <f t="array" ref="AF56">_xlfn.IFS((AE56&gt;AC56),(AC56*2),(AE56&lt;=AC56),(AE56*2))</f>
        <v>2</v>
      </c>
      <c r="AG56" s="22"/>
      <c r="AH56" s="28">
        <f t="shared" si="0"/>
        <v>114</v>
      </c>
      <c r="AI56" s="28">
        <f t="shared" si="1"/>
        <v>1</v>
      </c>
      <c r="AJ56" s="28">
        <f t="shared" si="2"/>
        <v>2</v>
      </c>
      <c r="AK56" s="28">
        <f t="shared" si="3"/>
        <v>0</v>
      </c>
      <c r="AL56" s="28">
        <f t="shared" si="4"/>
        <v>-1</v>
      </c>
      <c r="AM56" s="23" t="s">
        <v>1849</v>
      </c>
      <c r="AN56" s="37">
        <f>VLOOKUP(C56,'[2]MARÇO-2024'!$B:$M,12,0)</f>
        <v>114</v>
      </c>
      <c r="AO56" s="37">
        <f t="shared" si="5"/>
        <v>0</v>
      </c>
      <c r="AP56" s="37" t="str">
        <f t="shared" si="6"/>
        <v/>
      </c>
    </row>
    <row r="57" spans="1:42" ht="13.5" customHeight="1" x14ac:dyDescent="0.25">
      <c r="A57" s="17">
        <v>2</v>
      </c>
      <c r="B57" s="17">
        <v>47</v>
      </c>
      <c r="C57" s="29">
        <v>2057</v>
      </c>
      <c r="D57" s="38">
        <v>33145024</v>
      </c>
      <c r="E57" s="18" t="s">
        <v>371</v>
      </c>
      <c r="F57" s="68" t="s">
        <v>587</v>
      </c>
      <c r="G57" s="66" t="s">
        <v>87</v>
      </c>
      <c r="H57" s="19" t="s">
        <v>884</v>
      </c>
      <c r="I57" s="19" t="s">
        <v>1133</v>
      </c>
      <c r="J57" s="19" t="s">
        <v>1255</v>
      </c>
      <c r="K57" s="20" t="s">
        <v>1546</v>
      </c>
      <c r="L57" s="21">
        <v>60</v>
      </c>
      <c r="M57" s="21"/>
      <c r="N57" s="26" t="str">
        <f>IFERROR(VLOOKUP(O57,Apoio!A:B,2,0),"")</f>
        <v/>
      </c>
      <c r="O57" s="22">
        <f>IFERROR(VLOOKUP(C57,'[1]TB DIN'!$B:$D,3,0),"AGUARDANDO ANEXO")</f>
        <v>0</v>
      </c>
      <c r="P57" s="22">
        <f>IFERROR(VLOOKUP(C57,'[1]TB DIN INCLUIDOS'!$B:$H,3,0),"AGUARDANDO ANEXO")</f>
        <v>0</v>
      </c>
      <c r="Q57" s="26" cm="1">
        <f t="array" ref="Q57">_xlfn.IFS((P57&gt;N57),(N57*2),(P57&lt;=N57),(P57*2))</f>
        <v>0</v>
      </c>
      <c r="R57" s="22"/>
      <c r="S57" s="26" t="str">
        <f>IFERROR(VLOOKUP(T57,Apoio!A:B,2,0),"")</f>
        <v/>
      </c>
      <c r="T57" s="22">
        <f>IFERROR(VLOOKUP(C57,'[1]TB DIN'!$B:$H,4,0),"AGUARDANDO ANEXO")</f>
        <v>0</v>
      </c>
      <c r="U57" s="22">
        <f>IFERROR(VLOOKUP(C57,'[1]TB DIN INCLUIDOS'!$B:$H,4,0),"AGUARDANDO ANEXO")</f>
        <v>0</v>
      </c>
      <c r="V57" s="26" cm="1">
        <f t="array" ref="V57">_xlfn.IFS((U57&gt;S57),(S57*2),(U57&lt;=S57),(U57*2))</f>
        <v>0</v>
      </c>
      <c r="W57" s="22"/>
      <c r="X57" s="26">
        <f>IFERROR(VLOOKUP(Y57,Apoio!A:B,2,0),"")</f>
        <v>1</v>
      </c>
      <c r="Y57" s="22">
        <v>20</v>
      </c>
      <c r="Z57" s="22">
        <f>IFERROR(VLOOKUP(C57,'[1]TB DIN INCLUIDOS'!$B:$H,5,0),"AGUARDANDO ANEXO")</f>
        <v>0</v>
      </c>
      <c r="AA57" s="26" cm="1">
        <f t="array" ref="AA57">_xlfn.IFS((Z57&gt;X57),(X57*2),(Z57&lt;=X57),(Z57*2))</f>
        <v>0</v>
      </c>
      <c r="AB57" s="22"/>
      <c r="AC57" s="26">
        <f>IFERROR(VLOOKUP(AD57,Apoio!A:B,2,0),"")</f>
        <v>1</v>
      </c>
      <c r="AD57" s="22">
        <f>IFERROR(VLOOKUP(C57,'[1]TB DIN'!$B:$H,6,0),"AGUARDANDO ANEXO")</f>
        <v>25</v>
      </c>
      <c r="AE57" s="22">
        <f>IFERROR(VLOOKUP(C57,'[1]TB DIN INCLUIDOS'!$B:$H,6,0),"AGUARDANDO ANEXO")</f>
        <v>0</v>
      </c>
      <c r="AF57" s="26" cm="1">
        <f t="array" ref="AF57">_xlfn.IFS((AE57&gt;AC57),(AC57*2),(AE57&lt;=AC57),(AE57*2))</f>
        <v>0</v>
      </c>
      <c r="AG57" s="22"/>
      <c r="AH57" s="28">
        <f t="shared" si="0"/>
        <v>45</v>
      </c>
      <c r="AI57" s="28">
        <f t="shared" si="1"/>
        <v>0</v>
      </c>
      <c r="AJ57" s="28">
        <f t="shared" si="2"/>
        <v>0</v>
      </c>
      <c r="AK57" s="28">
        <f t="shared" si="3"/>
        <v>15</v>
      </c>
      <c r="AL57" s="28">
        <f t="shared" si="4"/>
        <v>0</v>
      </c>
      <c r="AM57" s="23" t="s">
        <v>1707</v>
      </c>
      <c r="AN57" s="37">
        <f>VLOOKUP(C57,'[2]MARÇO-2024'!$B:$M,12,0)</f>
        <v>44</v>
      </c>
      <c r="AO57" s="37">
        <f t="shared" si="5"/>
        <v>-1</v>
      </c>
      <c r="AP57" s="37" t="str">
        <f t="shared" si="6"/>
        <v/>
      </c>
    </row>
    <row r="58" spans="1:42" ht="13.5" customHeight="1" x14ac:dyDescent="0.25">
      <c r="A58" s="17">
        <v>2</v>
      </c>
      <c r="B58" s="17">
        <v>48</v>
      </c>
      <c r="C58" s="29">
        <v>2058</v>
      </c>
      <c r="D58" s="38">
        <v>33192642</v>
      </c>
      <c r="E58" s="18">
        <v>5575736000101</v>
      </c>
      <c r="F58" s="68">
        <v>20309</v>
      </c>
      <c r="G58" s="62" t="s">
        <v>862</v>
      </c>
      <c r="H58" s="19" t="s">
        <v>1150</v>
      </c>
      <c r="I58" s="19" t="s">
        <v>1150</v>
      </c>
      <c r="J58" s="19" t="s">
        <v>1293</v>
      </c>
      <c r="K58" s="20" t="s">
        <v>1542</v>
      </c>
      <c r="L58" s="21">
        <v>81</v>
      </c>
      <c r="M58" s="21"/>
      <c r="N58" s="26" t="str">
        <f>IFERROR(VLOOKUP(O58,Apoio!A:B,2,0),"")</f>
        <v/>
      </c>
      <c r="O58" s="22">
        <f>IFERROR(VLOOKUP(C58,'[1]TB DIN'!$B:$D,3,0),"AGUARDANDO ANEXO")</f>
        <v>0</v>
      </c>
      <c r="P58" s="22">
        <f>IFERROR(VLOOKUP(C58,'[1]TB DIN INCLUIDOS'!$B:$H,3,0),"AGUARDANDO ANEXO")</f>
        <v>0</v>
      </c>
      <c r="Q58" s="26" cm="1">
        <f t="array" ref="Q58">_xlfn.IFS((P58&gt;N58),(N58*2),(P58&lt;=N58),(P58*2))</f>
        <v>0</v>
      </c>
      <c r="R58" s="22"/>
      <c r="S58" s="26" t="str">
        <f>IFERROR(VLOOKUP(T58,Apoio!A:B,2,0),"")</f>
        <v/>
      </c>
      <c r="T58" s="22">
        <f>IFERROR(VLOOKUP(C58,'[1]TB DIN'!$B:$H,4,0),"AGUARDANDO ANEXO")</f>
        <v>0</v>
      </c>
      <c r="U58" s="22">
        <f>IFERROR(VLOOKUP(C58,'[1]TB DIN INCLUIDOS'!$B:$H,4,0),"AGUARDANDO ANEXO")</f>
        <v>0</v>
      </c>
      <c r="V58" s="26" cm="1">
        <f t="array" ref="V58">_xlfn.IFS((U58&gt;S58),(S58*2),(U58&lt;=S58),(U58*2))</f>
        <v>0</v>
      </c>
      <c r="W58" s="22"/>
      <c r="X58" s="26">
        <f>IFERROR(VLOOKUP(Y58,Apoio!A:B,2,0),"")</f>
        <v>2</v>
      </c>
      <c r="Y58" s="22">
        <f>IFERROR(VLOOKUP(C58,'[1]TB DIN'!$B:$H,5,0),"AGUARDANDO ANEXO")</f>
        <v>40</v>
      </c>
      <c r="Z58" s="22">
        <f>IFERROR(VLOOKUP(C58,'[1]TB DIN INCLUIDOS'!$B:$H,5,0),"AGUARDANDO ANEXO")</f>
        <v>0</v>
      </c>
      <c r="AA58" s="26" cm="1">
        <f t="array" ref="AA58">_xlfn.IFS((Z58&gt;X58),(X58*2),(Z58&lt;=X58),(Z58*2))</f>
        <v>0</v>
      </c>
      <c r="AB58" s="22"/>
      <c r="AC58" s="26">
        <f>IFERROR(VLOOKUP(AD58,Apoio!A:B,2,0),"")</f>
        <v>2</v>
      </c>
      <c r="AD58" s="22">
        <f>IFERROR(VLOOKUP(C58,'[1]TB DIN'!$B:$H,6,0),"AGUARDANDO ANEXO")</f>
        <v>40</v>
      </c>
      <c r="AE58" s="22">
        <f>IFERROR(VLOOKUP(C58,'[1]TB DIN INCLUIDOS'!$B:$H,6,0),"AGUARDANDO ANEXO")</f>
        <v>1</v>
      </c>
      <c r="AF58" s="26" cm="1">
        <f t="array" ref="AF58">_xlfn.IFS((AE58&gt;AC58),(AC58*2),(AE58&lt;=AC58),(AE58*2))</f>
        <v>2</v>
      </c>
      <c r="AG58" s="22"/>
      <c r="AH58" s="28">
        <f t="shared" si="0"/>
        <v>80</v>
      </c>
      <c r="AI58" s="28">
        <f t="shared" si="1"/>
        <v>1</v>
      </c>
      <c r="AJ58" s="28">
        <f t="shared" si="2"/>
        <v>2</v>
      </c>
      <c r="AK58" s="28">
        <f t="shared" si="3"/>
        <v>0</v>
      </c>
      <c r="AL58" s="28">
        <f t="shared" si="4"/>
        <v>-1</v>
      </c>
      <c r="AM58" s="23" t="s">
        <v>1707</v>
      </c>
      <c r="AN58" s="37">
        <f>VLOOKUP(C58,'[2]MARÇO-2024'!$B:$M,12,0)</f>
        <v>80</v>
      </c>
      <c r="AO58" s="37">
        <f t="shared" si="5"/>
        <v>0</v>
      </c>
      <c r="AP58" s="37" t="str">
        <f t="shared" si="6"/>
        <v/>
      </c>
    </row>
    <row r="59" spans="1:42" ht="13.5" customHeight="1" x14ac:dyDescent="0.25">
      <c r="A59" s="17">
        <v>2</v>
      </c>
      <c r="B59" s="17">
        <v>49</v>
      </c>
      <c r="C59" s="29">
        <v>2060</v>
      </c>
      <c r="D59" s="38">
        <v>33198098</v>
      </c>
      <c r="E59" s="18">
        <v>3465953000113</v>
      </c>
      <c r="F59" s="68">
        <v>20276</v>
      </c>
      <c r="G59" s="66" t="s">
        <v>1655</v>
      </c>
      <c r="H59" s="19" t="s">
        <v>1174</v>
      </c>
      <c r="I59" s="19" t="s">
        <v>1174</v>
      </c>
      <c r="J59" s="19" t="s">
        <v>1656</v>
      </c>
      <c r="K59" s="20" t="s">
        <v>1542</v>
      </c>
      <c r="L59" s="21">
        <v>135</v>
      </c>
      <c r="M59" s="21"/>
      <c r="N59" s="26" t="str">
        <f>IFERROR(VLOOKUP(O59,Apoio!A:B,2,0),"")</f>
        <v/>
      </c>
      <c r="O59" s="22">
        <f>IFERROR(VLOOKUP(C59,'[1]TB DIN'!$B:$D,3,0),"AGUARDANDO ANEXO")</f>
        <v>0</v>
      </c>
      <c r="P59" s="22">
        <f>IFERROR(VLOOKUP(C59,'[1]TB DIN INCLUIDOS'!$B:$H,3,0),"AGUARDANDO ANEXO")</f>
        <v>0</v>
      </c>
      <c r="Q59" s="26" cm="1">
        <f t="array" ref="Q59">_xlfn.IFS((P59&gt;N59),(N59*2),(P59&lt;=N59),(P59*2))</f>
        <v>0</v>
      </c>
      <c r="R59" s="22"/>
      <c r="S59" s="26" t="str">
        <f>IFERROR(VLOOKUP(T59,Apoio!A:B,2,0),"")</f>
        <v/>
      </c>
      <c r="T59" s="22">
        <f>IFERROR(VLOOKUP(C59,'[1]TB DIN'!$B:$H,4,0),"AGUARDANDO ANEXO")</f>
        <v>0</v>
      </c>
      <c r="U59" s="22">
        <f>IFERROR(VLOOKUP(C59,'[1]TB DIN INCLUIDOS'!$B:$H,4,0),"AGUARDANDO ANEXO")</f>
        <v>0</v>
      </c>
      <c r="V59" s="26" cm="1">
        <f t="array" ref="V59">_xlfn.IFS((U59&gt;S59),(S59*2),(U59&lt;=S59),(U59*2))</f>
        <v>0</v>
      </c>
      <c r="W59" s="22"/>
      <c r="X59" s="26">
        <f>IFERROR(VLOOKUP(Y59,Apoio!A:B,2,0),"")</f>
        <v>2</v>
      </c>
      <c r="Y59" s="22">
        <v>27</v>
      </c>
      <c r="Z59" s="22">
        <f>IFERROR(VLOOKUP(C59,'[1]TB DIN INCLUIDOS'!$B:$H,5,0),"AGUARDANDO ANEXO")</f>
        <v>0</v>
      </c>
      <c r="AA59" s="26" cm="1">
        <f t="array" ref="AA59">_xlfn.IFS((Z59&gt;X59),(X59*2),(Z59&lt;=X59),(Z59*2))</f>
        <v>0</v>
      </c>
      <c r="AB59" s="22"/>
      <c r="AC59" s="26">
        <f>IFERROR(VLOOKUP(AD59,Apoio!A:B,2,0),"")</f>
        <v>2</v>
      </c>
      <c r="AD59" s="22">
        <v>33</v>
      </c>
      <c r="AE59" s="22">
        <f>IFERROR(VLOOKUP(C59,'[1]TB DIN INCLUIDOS'!$B:$H,6,0),"AGUARDANDO ANEXO")</f>
        <v>0</v>
      </c>
      <c r="AF59" s="26" cm="1">
        <f t="array" ref="AF59">_xlfn.IFS((AE59&gt;AC59),(AC59*2),(AE59&lt;=AC59),(AE59*2))</f>
        <v>0</v>
      </c>
      <c r="AG59" s="22"/>
      <c r="AH59" s="28">
        <f t="shared" si="0"/>
        <v>60</v>
      </c>
      <c r="AI59" s="28">
        <f t="shared" si="1"/>
        <v>0</v>
      </c>
      <c r="AJ59" s="28">
        <f t="shared" si="2"/>
        <v>0</v>
      </c>
      <c r="AK59" s="28">
        <f t="shared" si="3"/>
        <v>75</v>
      </c>
      <c r="AL59" s="28">
        <f t="shared" si="4"/>
        <v>0</v>
      </c>
      <c r="AM59" s="23" t="s">
        <v>1849</v>
      </c>
      <c r="AN59" s="37">
        <f>VLOOKUP(C59,'[2]MARÇO-2024'!$B:$M,12,0)</f>
        <v>67</v>
      </c>
      <c r="AO59" s="37">
        <f t="shared" si="5"/>
        <v>7</v>
      </c>
      <c r="AP59" s="37" t="str">
        <f t="shared" si="6"/>
        <v/>
      </c>
    </row>
    <row r="60" spans="1:42" ht="13.5" customHeight="1" x14ac:dyDescent="0.25">
      <c r="A60" s="17">
        <v>2</v>
      </c>
      <c r="B60" s="17">
        <v>50</v>
      </c>
      <c r="C60" s="29">
        <v>2061</v>
      </c>
      <c r="D60" s="39">
        <v>33199469</v>
      </c>
      <c r="E60" s="18"/>
      <c r="F60" s="68"/>
      <c r="G60" s="62" t="s">
        <v>1734</v>
      </c>
      <c r="H60" s="19" t="s">
        <v>1663</v>
      </c>
      <c r="I60" s="19" t="s">
        <v>1663</v>
      </c>
      <c r="J60" s="19" t="s">
        <v>1776</v>
      </c>
      <c r="K60" s="20" t="s">
        <v>1547</v>
      </c>
      <c r="L60" s="21">
        <v>70</v>
      </c>
      <c r="M60" s="21"/>
      <c r="N60" s="26" t="str">
        <f>IFERROR(VLOOKUP(O60,Apoio!A:B,2,0),"")</f>
        <v/>
      </c>
      <c r="O60" s="22">
        <f>IFERROR(VLOOKUP(C60,'[1]TB DIN'!$B:$D,3,0),"AGUARDANDO ANEXO")</f>
        <v>0</v>
      </c>
      <c r="P60" s="22">
        <f>IFERROR(VLOOKUP(C60,'[1]TB DIN INCLUIDOS'!$B:$H,3,0),"AGUARDANDO ANEXO")</f>
        <v>0</v>
      </c>
      <c r="Q60" s="26" cm="1">
        <f t="array" ref="Q60">_xlfn.IFS((P60&gt;N60),(N60*2),(P60&lt;=N60),(P60*2))</f>
        <v>0</v>
      </c>
      <c r="R60" s="22"/>
      <c r="S60" s="26" t="str">
        <f>IFERROR(VLOOKUP(T60,Apoio!A:B,2,0),"")</f>
        <v/>
      </c>
      <c r="T60" s="22">
        <f>IFERROR(VLOOKUP(C60,'[1]TB DIN'!$B:$H,4,0),"AGUARDANDO ANEXO")</f>
        <v>0</v>
      </c>
      <c r="U60" s="22">
        <f>IFERROR(VLOOKUP(C60,'[1]TB DIN INCLUIDOS'!$B:$H,4,0),"AGUARDANDO ANEXO")</f>
        <v>0</v>
      </c>
      <c r="V60" s="26" cm="1">
        <f t="array" ref="V60">_xlfn.IFS((U60&gt;S60),(S60*2),(U60&lt;=S60),(U60*2))</f>
        <v>0</v>
      </c>
      <c r="W60" s="22"/>
      <c r="X60" s="26">
        <f>IFERROR(VLOOKUP(Y60,Apoio!A:B,2,0),"")</f>
        <v>3</v>
      </c>
      <c r="Y60" s="22">
        <v>63</v>
      </c>
      <c r="Z60" s="22">
        <v>4</v>
      </c>
      <c r="AA60" s="26" cm="1">
        <f t="array" ref="AA60">_xlfn.IFS((Z60&gt;X60),(X60*2),(Z60&lt;=X60),(Z60*2))</f>
        <v>6</v>
      </c>
      <c r="AB60" s="22"/>
      <c r="AC60" s="26">
        <f>IFERROR(VLOOKUP(AD60,Apoio!A:B,2,0),"")</f>
        <v>1</v>
      </c>
      <c r="AD60" s="22">
        <v>12</v>
      </c>
      <c r="AE60" s="22">
        <f>IFERROR(VLOOKUP(C60,'[1]TB DIN INCLUIDOS'!$B:$H,6,0),"AGUARDANDO ANEXO")</f>
        <v>1</v>
      </c>
      <c r="AF60" s="26" cm="1">
        <f t="array" ref="AF60">_xlfn.IFS((AE60&gt;AC60),(AC60*2),(AE60&lt;=AC60),(AE60*2))</f>
        <v>2</v>
      </c>
      <c r="AG60" s="22"/>
      <c r="AH60" s="28">
        <f t="shared" si="0"/>
        <v>75</v>
      </c>
      <c r="AI60" s="28">
        <f t="shared" si="1"/>
        <v>5</v>
      </c>
      <c r="AJ60" s="28">
        <f t="shared" si="2"/>
        <v>8</v>
      </c>
      <c r="AK60" s="28">
        <f t="shared" si="3"/>
        <v>0</v>
      </c>
      <c r="AL60" s="28">
        <f t="shared" si="4"/>
        <v>-13</v>
      </c>
      <c r="AM60" s="23" t="s">
        <v>1708</v>
      </c>
      <c r="AN60" s="37">
        <f>VLOOKUP(C60,'[2]MARÇO-2024'!$B:$M,12,0)</f>
        <v>62</v>
      </c>
      <c r="AO60" s="37">
        <f t="shared" si="5"/>
        <v>-13</v>
      </c>
      <c r="AP60" s="37" t="str">
        <f t="shared" si="6"/>
        <v>Qt de aluno maior que a meta</v>
      </c>
    </row>
    <row r="61" spans="1:42" ht="13.5" customHeight="1" x14ac:dyDescent="0.25">
      <c r="A61" s="17">
        <v>2</v>
      </c>
      <c r="B61" s="17">
        <v>51</v>
      </c>
      <c r="C61" s="29">
        <v>2062</v>
      </c>
      <c r="D61" s="40">
        <v>33196664</v>
      </c>
      <c r="E61" s="18"/>
      <c r="F61" s="68"/>
      <c r="G61" s="66" t="s">
        <v>1721</v>
      </c>
      <c r="H61" s="19" t="s">
        <v>1664</v>
      </c>
      <c r="I61" s="19" t="s">
        <v>1835</v>
      </c>
      <c r="J61" s="19" t="s">
        <v>1777</v>
      </c>
      <c r="K61" s="20" t="s">
        <v>1542</v>
      </c>
      <c r="L61" s="21">
        <v>30</v>
      </c>
      <c r="M61" s="21"/>
      <c r="N61" s="26" t="str">
        <f>IFERROR(VLOOKUP(O61,Apoio!A:B,2,0),"")</f>
        <v/>
      </c>
      <c r="O61" s="22">
        <f>IFERROR(VLOOKUP(C61,'[1]TB DIN'!$B:$D,3,0),"AGUARDANDO ANEXO")</f>
        <v>0</v>
      </c>
      <c r="P61" s="22">
        <f>IFERROR(VLOOKUP(C61,'[1]TB DIN INCLUIDOS'!$B:$H,3,0),"AGUARDANDO ANEXO")</f>
        <v>0</v>
      </c>
      <c r="Q61" s="26" cm="1">
        <f t="array" ref="Q61">_xlfn.IFS((P61&gt;N61),(N61*2),(P61&lt;=N61),(P61*2))</f>
        <v>0</v>
      </c>
      <c r="R61" s="22"/>
      <c r="S61" s="26" t="str">
        <f>IFERROR(VLOOKUP(T61,Apoio!A:B,2,0),"")</f>
        <v/>
      </c>
      <c r="T61" s="22">
        <f>IFERROR(VLOOKUP(C61,'[1]TB DIN'!$B:$H,4,0),"AGUARDANDO ANEXO")</f>
        <v>0</v>
      </c>
      <c r="U61" s="22">
        <f>IFERROR(VLOOKUP(C61,'[1]TB DIN INCLUIDOS'!$B:$H,4,0),"AGUARDANDO ANEXO")</f>
        <v>0</v>
      </c>
      <c r="V61" s="26" cm="1">
        <f t="array" ref="V61">_xlfn.IFS((U61&gt;S61),(S61*2),(U61&lt;=S61),(U61*2))</f>
        <v>0</v>
      </c>
      <c r="W61" s="22"/>
      <c r="X61" s="26">
        <f>IFERROR(VLOOKUP(Y61,Apoio!A:B,2,0),"")</f>
        <v>1</v>
      </c>
      <c r="Y61" s="22">
        <v>8</v>
      </c>
      <c r="Z61" s="22">
        <f>IFERROR(VLOOKUP(C61,'[1]TB DIN INCLUIDOS'!$B:$H,5,0),"AGUARDANDO ANEXO")</f>
        <v>0</v>
      </c>
      <c r="AA61" s="26" cm="1">
        <f t="array" ref="AA61">_xlfn.IFS((Z61&gt;X61),(X61*2),(Z61&lt;=X61),(Z61*2))</f>
        <v>0</v>
      </c>
      <c r="AB61" s="22"/>
      <c r="AC61" s="26">
        <f>IFERROR(VLOOKUP(AD61,Apoio!A:B,2,0),"")</f>
        <v>1</v>
      </c>
      <c r="AD61" s="22">
        <v>6</v>
      </c>
      <c r="AE61" s="22">
        <f>IFERROR(VLOOKUP(C61,'[1]TB DIN INCLUIDOS'!$B:$H,6,0),"AGUARDANDO ANEXO")</f>
        <v>0</v>
      </c>
      <c r="AF61" s="26" cm="1">
        <f t="array" ref="AF61">_xlfn.IFS((AE61&gt;AC61),(AC61*2),(AE61&lt;=AC61),(AE61*2))</f>
        <v>0</v>
      </c>
      <c r="AG61" s="22"/>
      <c r="AH61" s="28">
        <f t="shared" si="0"/>
        <v>14</v>
      </c>
      <c r="AI61" s="28">
        <f t="shared" si="1"/>
        <v>0</v>
      </c>
      <c r="AJ61" s="28">
        <f t="shared" si="2"/>
        <v>0</v>
      </c>
      <c r="AK61" s="28">
        <f t="shared" si="3"/>
        <v>16</v>
      </c>
      <c r="AL61" s="28">
        <f t="shared" si="4"/>
        <v>0</v>
      </c>
      <c r="AM61" s="23" t="s">
        <v>1708</v>
      </c>
      <c r="AN61" s="37">
        <f>VLOOKUP(C61,'[2]MARÇO-2024'!$B:$M,12,0)</f>
        <v>10</v>
      </c>
      <c r="AO61" s="37">
        <f t="shared" si="5"/>
        <v>-4</v>
      </c>
      <c r="AP61" s="37" t="str">
        <f t="shared" si="6"/>
        <v/>
      </c>
    </row>
    <row r="62" spans="1:42" ht="13.5" customHeight="1" x14ac:dyDescent="0.25">
      <c r="A62" s="17">
        <v>2</v>
      </c>
      <c r="B62" s="17">
        <v>52</v>
      </c>
      <c r="C62" s="29">
        <v>2063</v>
      </c>
      <c r="D62" s="40">
        <v>33197768</v>
      </c>
      <c r="E62" s="18"/>
      <c r="F62" s="68"/>
      <c r="G62" s="54" t="s">
        <v>1859</v>
      </c>
      <c r="H62" s="19" t="s">
        <v>1855</v>
      </c>
      <c r="I62" s="15" t="s">
        <v>1854</v>
      </c>
      <c r="J62" s="19" t="s">
        <v>1778</v>
      </c>
      <c r="K62" s="20" t="s">
        <v>1779</v>
      </c>
      <c r="L62" s="21">
        <v>40</v>
      </c>
      <c r="M62" s="21"/>
      <c r="N62" s="26" t="str">
        <f>IFERROR(VLOOKUP(O62,Apoio!A:B,2,0),"")</f>
        <v/>
      </c>
      <c r="O62" s="22">
        <f>IFERROR(VLOOKUP(C62,'[1]TB DIN'!$B:$D,3,0),"AGUARDANDO ANEXO")</f>
        <v>0</v>
      </c>
      <c r="P62" s="22">
        <f>IFERROR(VLOOKUP(C62,'[1]TB DIN INCLUIDOS'!$B:$H,3,0),"AGUARDANDO ANEXO")</f>
        <v>0</v>
      </c>
      <c r="Q62" s="26" cm="1">
        <f t="array" ref="Q62">_xlfn.IFS((P62&gt;N62),(N62*2),(P62&lt;=N62),(P62*2))</f>
        <v>0</v>
      </c>
      <c r="R62" s="22"/>
      <c r="S62" s="26" t="str">
        <f>IFERROR(VLOOKUP(T62,Apoio!A:B,2,0),"")</f>
        <v/>
      </c>
      <c r="T62" s="22">
        <f>IFERROR(VLOOKUP(C62,'[1]TB DIN'!$B:$H,4,0),"AGUARDANDO ANEXO")</f>
        <v>0</v>
      </c>
      <c r="U62" s="22">
        <f>IFERROR(VLOOKUP(C62,'[1]TB DIN INCLUIDOS'!$B:$H,4,0),"AGUARDANDO ANEXO")</f>
        <v>0</v>
      </c>
      <c r="V62" s="26" cm="1">
        <f t="array" ref="V62">_xlfn.IFS((U62&gt;S62),(S62*2),(U62&lt;=S62),(U62*2))</f>
        <v>0</v>
      </c>
      <c r="W62" s="22"/>
      <c r="X62" s="26">
        <f>IFERROR(VLOOKUP(Y62,Apoio!A:B,2,0),"")</f>
        <v>2</v>
      </c>
      <c r="Y62" s="22">
        <f>IFERROR(VLOOKUP(C62,'[1]TB DIN'!$B:$H,5,0),"AGUARDANDO ANEXO")</f>
        <v>27</v>
      </c>
      <c r="Z62" s="22">
        <v>2</v>
      </c>
      <c r="AA62" s="26" cm="1">
        <f t="array" ref="AA62">_xlfn.IFS((Z62&gt;X62),(X62*2),(Z62&lt;=X62),(Z62*2))</f>
        <v>4</v>
      </c>
      <c r="AB62" s="22"/>
      <c r="AC62" s="26">
        <f>IFERROR(VLOOKUP(AD62,Apoio!A:B,2,0),"")</f>
        <v>1</v>
      </c>
      <c r="AD62" s="22">
        <f>IFERROR(VLOOKUP(C62,'[1]TB DIN'!$B:$H,6,0),"AGUARDANDO ANEXO")</f>
        <v>12</v>
      </c>
      <c r="AE62" s="22">
        <f>IFERROR(VLOOKUP(C62,'[1]TB DIN INCLUIDOS'!$B:$H,6,0),"AGUARDANDO ANEXO")</f>
        <v>0</v>
      </c>
      <c r="AF62" s="26" cm="1">
        <f t="array" ref="AF62">_xlfn.IFS((AE62&gt;AC62),(AC62*2),(AE62&lt;=AC62),(AE62*2))</f>
        <v>0</v>
      </c>
      <c r="AG62" s="22"/>
      <c r="AH62" s="28">
        <f t="shared" si="0"/>
        <v>39</v>
      </c>
      <c r="AI62" s="28">
        <f t="shared" si="1"/>
        <v>2</v>
      </c>
      <c r="AJ62" s="28">
        <f t="shared" si="2"/>
        <v>4</v>
      </c>
      <c r="AK62" s="28">
        <f t="shared" si="3"/>
        <v>0</v>
      </c>
      <c r="AL62" s="28">
        <f t="shared" si="4"/>
        <v>-3</v>
      </c>
      <c r="AM62" s="23" t="s">
        <v>1708</v>
      </c>
      <c r="AN62" s="37">
        <f>VLOOKUP(C62,'[2]MARÇO-2024'!$B:$M,12,0)</f>
        <v>39</v>
      </c>
      <c r="AO62" s="37">
        <f t="shared" si="5"/>
        <v>0</v>
      </c>
      <c r="AP62" s="37" t="str">
        <f t="shared" si="6"/>
        <v/>
      </c>
    </row>
    <row r="63" spans="1:42" ht="13.5" customHeight="1" x14ac:dyDescent="0.25">
      <c r="A63" s="17">
        <v>3</v>
      </c>
      <c r="B63" s="17">
        <v>1</v>
      </c>
      <c r="C63" s="29">
        <v>3001</v>
      </c>
      <c r="D63" s="38">
        <v>33161259</v>
      </c>
      <c r="E63" s="18" t="s">
        <v>407</v>
      </c>
      <c r="F63" s="68" t="s">
        <v>625</v>
      </c>
      <c r="G63" s="62" t="s">
        <v>126</v>
      </c>
      <c r="H63" s="19" t="s">
        <v>922</v>
      </c>
      <c r="I63" s="19" t="s">
        <v>922</v>
      </c>
      <c r="J63" s="19" t="s">
        <v>1295</v>
      </c>
      <c r="K63" s="20" t="s">
        <v>1562</v>
      </c>
      <c r="L63" s="21">
        <v>82</v>
      </c>
      <c r="M63" s="21"/>
      <c r="N63" s="26" t="str">
        <f>IFERROR(VLOOKUP(O63,Apoio!A:B,2,0),"")</f>
        <v/>
      </c>
      <c r="O63" s="22">
        <f>IFERROR(VLOOKUP(C63,'[1]TB DIN'!$B:$D,3,0),"AGUARDANDO ANEXO")</f>
        <v>0</v>
      </c>
      <c r="P63" s="22">
        <f>IFERROR(VLOOKUP(C63,'[1]TB DIN INCLUIDOS'!$B:$H,3,0),"AGUARDANDO ANEXO")</f>
        <v>0</v>
      </c>
      <c r="Q63" s="26" cm="1">
        <f t="array" ref="Q63">_xlfn.IFS((P63&gt;N63),(N63*2),(P63&lt;=N63),(P63*2))</f>
        <v>0</v>
      </c>
      <c r="R63" s="22"/>
      <c r="S63" s="26">
        <f>IFERROR(VLOOKUP(T63,Apoio!A:B,2,0),"")</f>
        <v>1</v>
      </c>
      <c r="T63" s="22">
        <f>IFERROR(VLOOKUP(C63,'[1]TB DIN'!$B:$H,4,0),"AGUARDANDO ANEXO")</f>
        <v>12</v>
      </c>
      <c r="U63" s="22">
        <f>IFERROR(VLOOKUP(C63,'[1]TB DIN INCLUIDOS'!$B:$H,4,0),"AGUARDANDO ANEXO")</f>
        <v>0</v>
      </c>
      <c r="V63" s="26" cm="1">
        <f t="array" ref="V63">_xlfn.IFS((U63&gt;S63),(S63*2),(U63&lt;=S63),(U63*2))</f>
        <v>0</v>
      </c>
      <c r="W63" s="22"/>
      <c r="X63" s="26">
        <f>IFERROR(VLOOKUP(Y63,Apoio!A:B,2,0),"")</f>
        <v>1</v>
      </c>
      <c r="Y63" s="22">
        <f>IFERROR(VLOOKUP(C63,'[1]TB DIN'!$B:$H,5,0),"AGUARDANDO ANEXO")</f>
        <v>22</v>
      </c>
      <c r="Z63" s="22">
        <f>IFERROR(VLOOKUP(C63,'[1]TB DIN INCLUIDOS'!$B:$H,5,0),"AGUARDANDO ANEXO")</f>
        <v>0</v>
      </c>
      <c r="AA63" s="26" cm="1">
        <f t="array" ref="AA63">_xlfn.IFS((Z63&gt;X63),(X63*2),(Z63&lt;=X63),(Z63*2))</f>
        <v>0</v>
      </c>
      <c r="AB63" s="22"/>
      <c r="AC63" s="26">
        <f>IFERROR(VLOOKUP(AD63,Apoio!A:B,2,0),"")</f>
        <v>2</v>
      </c>
      <c r="AD63" s="22">
        <v>46</v>
      </c>
      <c r="AE63" s="22">
        <v>0</v>
      </c>
      <c r="AF63" s="26" cm="1">
        <f t="array" ref="AF63">_xlfn.IFS((AE63&gt;AC63),(AC63*2),(AE63&lt;=AC63),(AE63*2))</f>
        <v>0</v>
      </c>
      <c r="AG63" s="22"/>
      <c r="AH63" s="28">
        <f t="shared" si="0"/>
        <v>80</v>
      </c>
      <c r="AI63" s="28">
        <f t="shared" si="1"/>
        <v>0</v>
      </c>
      <c r="AJ63" s="28">
        <f t="shared" si="2"/>
        <v>0</v>
      </c>
      <c r="AK63" s="28">
        <f t="shared" si="3"/>
        <v>2</v>
      </c>
      <c r="AL63" s="28">
        <f t="shared" si="4"/>
        <v>0</v>
      </c>
      <c r="AM63" s="23" t="s">
        <v>1707</v>
      </c>
      <c r="AN63" s="37">
        <f>VLOOKUP(C63,'[2]MARÇO-2024'!$B:$M,12,0)</f>
        <v>80</v>
      </c>
      <c r="AO63" s="37">
        <f t="shared" si="5"/>
        <v>0</v>
      </c>
      <c r="AP63" s="37" t="str">
        <f t="shared" si="6"/>
        <v/>
      </c>
    </row>
    <row r="64" spans="1:42" ht="13.5" customHeight="1" x14ac:dyDescent="0.25">
      <c r="A64" s="17">
        <v>3</v>
      </c>
      <c r="B64" s="17">
        <v>2</v>
      </c>
      <c r="C64" s="29">
        <v>3002</v>
      </c>
      <c r="D64" s="43">
        <v>33107262</v>
      </c>
      <c r="E64" s="18" t="s">
        <v>406</v>
      </c>
      <c r="F64" s="68" t="s">
        <v>624</v>
      </c>
      <c r="G64" s="66" t="s">
        <v>125</v>
      </c>
      <c r="H64" s="19" t="s">
        <v>921</v>
      </c>
      <c r="I64" s="19" t="s">
        <v>1151</v>
      </c>
      <c r="J64" s="19" t="s">
        <v>1294</v>
      </c>
      <c r="K64" s="20" t="s">
        <v>1561</v>
      </c>
      <c r="L64" s="21">
        <v>415</v>
      </c>
      <c r="M64" s="21"/>
      <c r="N64" s="26" t="str">
        <f>IFERROR(VLOOKUP(O64,Apoio!A:B,2,0),"")</f>
        <v/>
      </c>
      <c r="O64" s="22">
        <f>IFERROR(VLOOKUP(C64,'[1]TB DIN'!$B:$D,3,0),"AGUARDANDO ANEXO")</f>
        <v>0</v>
      </c>
      <c r="P64" s="22">
        <f>IFERROR(VLOOKUP(C64,'[1]TB DIN INCLUIDOS'!$B:$H,3,0),"AGUARDANDO ANEXO")</f>
        <v>0</v>
      </c>
      <c r="Q64" s="26" cm="1">
        <f t="array" ref="Q64">_xlfn.IFS((P64&gt;N64),(N64*2),(P64&lt;=N64),(P64*2))</f>
        <v>0</v>
      </c>
      <c r="R64" s="22"/>
      <c r="S64" s="26">
        <f>IFERROR(VLOOKUP(T64,Apoio!A:B,2,0),"")</f>
        <v>4</v>
      </c>
      <c r="T64" s="22">
        <v>99</v>
      </c>
      <c r="U64" s="22">
        <f>IFERROR(VLOOKUP(C64,'[1]TB DIN INCLUIDOS'!$B:$H,4,0),"AGUARDANDO ANEXO")</f>
        <v>0</v>
      </c>
      <c r="V64" s="26" cm="1">
        <f t="array" ref="V64">_xlfn.IFS((U64&gt;S64),(S64*2),(U64&lt;=S64),(U64*2))</f>
        <v>0</v>
      </c>
      <c r="W64" s="22"/>
      <c r="X64" s="26">
        <f>IFERROR(VLOOKUP(Y64,Apoio!A:B,2,0),"")</f>
        <v>5</v>
      </c>
      <c r="Y64" s="22">
        <v>117</v>
      </c>
      <c r="Z64" s="22">
        <f>IFERROR(VLOOKUP(C64,'[1]TB DIN INCLUIDOS'!$B:$H,5,0),"AGUARDANDO ANEXO")</f>
        <v>1</v>
      </c>
      <c r="AA64" s="26" cm="1">
        <f t="array" ref="AA64">_xlfn.IFS((Z64&gt;X64),(X64*2),(Z64&lt;=X64),(Z64*2))</f>
        <v>2</v>
      </c>
      <c r="AB64" s="22"/>
      <c r="AC64" s="26">
        <f>IFERROR(VLOOKUP(AD64,Apoio!A:B,2,0),"")</f>
        <v>7</v>
      </c>
      <c r="AD64" s="22">
        <v>167</v>
      </c>
      <c r="AE64" s="22">
        <f>IFERROR(VLOOKUP(C64,'[1]TB DIN INCLUIDOS'!$B:$H,6,0),"AGUARDANDO ANEXO")</f>
        <v>3</v>
      </c>
      <c r="AF64" s="26" cm="1">
        <f t="array" ref="AF64">_xlfn.IFS((AE64&gt;AC64),(AC64*2),(AE64&lt;=AC64),(AE64*2))</f>
        <v>6</v>
      </c>
      <c r="AG64" s="22"/>
      <c r="AH64" s="28">
        <f t="shared" si="0"/>
        <v>383</v>
      </c>
      <c r="AI64" s="28">
        <f t="shared" si="1"/>
        <v>4</v>
      </c>
      <c r="AJ64" s="28">
        <f t="shared" si="2"/>
        <v>8</v>
      </c>
      <c r="AK64" s="28">
        <f t="shared" si="3"/>
        <v>24</v>
      </c>
      <c r="AL64" s="28">
        <f t="shared" si="4"/>
        <v>0</v>
      </c>
      <c r="AM64" s="23" t="s">
        <v>1707</v>
      </c>
      <c r="AN64" s="37">
        <f>VLOOKUP(C64,'[2]MARÇO-2024'!$B:$M,12,0)</f>
        <v>349</v>
      </c>
      <c r="AO64" s="37">
        <f t="shared" si="5"/>
        <v>-34</v>
      </c>
      <c r="AP64" s="37" t="str">
        <f t="shared" si="6"/>
        <v/>
      </c>
    </row>
    <row r="65" spans="1:42" ht="13.5" customHeight="1" x14ac:dyDescent="0.25">
      <c r="A65" s="17">
        <v>3</v>
      </c>
      <c r="B65" s="17">
        <v>3</v>
      </c>
      <c r="C65" s="29">
        <v>3003</v>
      </c>
      <c r="D65" s="40">
        <v>33141240</v>
      </c>
      <c r="E65" s="18" t="s">
        <v>409</v>
      </c>
      <c r="F65" s="68" t="s">
        <v>627</v>
      </c>
      <c r="G65" s="62" t="s">
        <v>128</v>
      </c>
      <c r="H65" s="19" t="s">
        <v>924</v>
      </c>
      <c r="I65" s="19" t="s">
        <v>924</v>
      </c>
      <c r="J65" s="19" t="s">
        <v>1297</v>
      </c>
      <c r="K65" s="20" t="s">
        <v>1561</v>
      </c>
      <c r="L65" s="21">
        <v>200</v>
      </c>
      <c r="M65" s="21"/>
      <c r="N65" s="26" t="str">
        <f>IFERROR(VLOOKUP(O65,Apoio!A:B,2,0),"")</f>
        <v/>
      </c>
      <c r="O65" s="22">
        <f>IFERROR(VLOOKUP(C65,'[1]TB DIN'!$B:$D,3,0),"AGUARDANDO ANEXO")</f>
        <v>0</v>
      </c>
      <c r="P65" s="22">
        <f>IFERROR(VLOOKUP(C65,'[1]TB DIN INCLUIDOS'!$B:$H,3,0),"AGUARDANDO ANEXO")</f>
        <v>0</v>
      </c>
      <c r="Q65" s="26" cm="1">
        <f t="array" ref="Q65">_xlfn.IFS((P65&gt;N65),(N65*2),(P65&lt;=N65),(P65*2))</f>
        <v>0</v>
      </c>
      <c r="R65" s="22"/>
      <c r="S65" s="26" t="str">
        <f>IFERROR(VLOOKUP(T65,Apoio!A:B,2,0),"")</f>
        <v/>
      </c>
      <c r="T65" s="22">
        <f>IFERROR(VLOOKUP(C65,'[1]TB DIN'!$B:$H,4,0),"AGUARDANDO ANEXO")</f>
        <v>0</v>
      </c>
      <c r="U65" s="22">
        <f>IFERROR(VLOOKUP(C65,'[1]TB DIN INCLUIDOS'!$B:$H,4,0),"AGUARDANDO ANEXO")</f>
        <v>0</v>
      </c>
      <c r="V65" s="26" cm="1">
        <f t="array" ref="V65">_xlfn.IFS((U65&gt;S65),(S65*2),(U65&lt;=S65),(U65*2))</f>
        <v>0</v>
      </c>
      <c r="W65" s="22"/>
      <c r="X65" s="26">
        <f>IFERROR(VLOOKUP(Y65,Apoio!A:B,2,0),"")</f>
        <v>4</v>
      </c>
      <c r="Y65" s="22">
        <v>91</v>
      </c>
      <c r="Z65" s="22">
        <f>IFERROR(VLOOKUP(C65,'[1]TB DIN INCLUIDOS'!$B:$H,5,0),"AGUARDANDO ANEXO")</f>
        <v>2</v>
      </c>
      <c r="AA65" s="26" cm="1">
        <f t="array" ref="AA65">_xlfn.IFS((Z65&gt;X65),(X65*2),(Z65&lt;=X65),(Z65*2))</f>
        <v>4</v>
      </c>
      <c r="AB65" s="22"/>
      <c r="AC65" s="26">
        <f>IFERROR(VLOOKUP(AD65,Apoio!A:B,2,0),"")</f>
        <v>5</v>
      </c>
      <c r="AD65" s="22">
        <v>107</v>
      </c>
      <c r="AE65" s="22">
        <f>IFERROR(VLOOKUP(C65,'[1]TB DIN INCLUIDOS'!$B:$H,6,0),"AGUARDANDO ANEXO")</f>
        <v>2</v>
      </c>
      <c r="AF65" s="26" cm="1">
        <f t="array" ref="AF65">_xlfn.IFS((AE65&gt;AC65),(AC65*2),(AE65&lt;=AC65),(AE65*2))</f>
        <v>4</v>
      </c>
      <c r="AG65" s="22"/>
      <c r="AH65" s="28">
        <f t="shared" si="0"/>
        <v>198</v>
      </c>
      <c r="AI65" s="28">
        <f t="shared" si="1"/>
        <v>4</v>
      </c>
      <c r="AJ65" s="28">
        <f t="shared" si="2"/>
        <v>8</v>
      </c>
      <c r="AK65" s="28">
        <f t="shared" si="3"/>
        <v>0</v>
      </c>
      <c r="AL65" s="28">
        <f t="shared" si="4"/>
        <v>-6</v>
      </c>
      <c r="AM65" s="23" t="s">
        <v>1707</v>
      </c>
      <c r="AN65" s="37">
        <f>VLOOKUP(C65,'[2]MARÇO-2024'!$B:$M,12,0)</f>
        <v>198</v>
      </c>
      <c r="AO65" s="37">
        <f t="shared" si="5"/>
        <v>0</v>
      </c>
      <c r="AP65" s="37" t="str">
        <f t="shared" si="6"/>
        <v/>
      </c>
    </row>
    <row r="66" spans="1:42" ht="13.5" customHeight="1" x14ac:dyDescent="0.25">
      <c r="A66" s="17">
        <v>3</v>
      </c>
      <c r="B66" s="17">
        <v>4</v>
      </c>
      <c r="C66" s="29">
        <v>3004</v>
      </c>
      <c r="D66" s="38">
        <v>33110689</v>
      </c>
      <c r="E66" s="18" t="s">
        <v>410</v>
      </c>
      <c r="F66" s="68" t="s">
        <v>628</v>
      </c>
      <c r="G66" s="62" t="s">
        <v>129</v>
      </c>
      <c r="H66" s="19" t="s">
        <v>925</v>
      </c>
      <c r="I66" s="19" t="s">
        <v>1136</v>
      </c>
      <c r="J66" s="19" t="s">
        <v>1298</v>
      </c>
      <c r="K66" s="20" t="s">
        <v>1564</v>
      </c>
      <c r="L66" s="21">
        <v>48</v>
      </c>
      <c r="M66" s="21"/>
      <c r="N66" s="26" t="str">
        <f>IFERROR(VLOOKUP(O66,Apoio!A:B,2,0),"")</f>
        <v/>
      </c>
      <c r="O66" s="22">
        <f>IFERROR(VLOOKUP(C66,'[1]TB DIN'!$B:$D,3,0),"AGUARDANDO ANEXO")</f>
        <v>0</v>
      </c>
      <c r="P66" s="22">
        <f>IFERROR(VLOOKUP(C66,'[1]TB DIN INCLUIDOS'!$B:$H,3,0),"AGUARDANDO ANEXO")</f>
        <v>0</v>
      </c>
      <c r="Q66" s="26" cm="1">
        <f t="array" ref="Q66">_xlfn.IFS((P66&gt;N66),(N66*2),(P66&lt;=N66),(P66*2))</f>
        <v>0</v>
      </c>
      <c r="R66" s="22"/>
      <c r="S66" s="26" t="str">
        <f>IFERROR(VLOOKUP(T66,Apoio!A:B,2,0),"")</f>
        <v/>
      </c>
      <c r="T66" s="22">
        <f>IFERROR(VLOOKUP(C66,'[1]TB DIN'!$B:$H,4,0),"AGUARDANDO ANEXO")</f>
        <v>0</v>
      </c>
      <c r="U66" s="22">
        <f>IFERROR(VLOOKUP(C66,'[1]TB DIN INCLUIDOS'!$B:$H,4,0),"AGUARDANDO ANEXO")</f>
        <v>0</v>
      </c>
      <c r="V66" s="26" cm="1">
        <f t="array" ref="V66">_xlfn.IFS((U66&gt;S66),(S66*2),(U66&lt;=S66),(U66*2))</f>
        <v>0</v>
      </c>
      <c r="W66" s="22"/>
      <c r="X66" s="26">
        <f>IFERROR(VLOOKUP(Y66,Apoio!A:B,2,0),"")</f>
        <v>1</v>
      </c>
      <c r="Y66" s="22">
        <f>IFERROR(VLOOKUP(C66,'[1]TB DIN'!$B:$H,5,0),"AGUARDANDO ANEXO")</f>
        <v>21</v>
      </c>
      <c r="Z66" s="22">
        <f>IFERROR(VLOOKUP(C66,'[1]TB DIN INCLUIDOS'!$B:$H,5,0),"AGUARDANDO ANEXO")</f>
        <v>0</v>
      </c>
      <c r="AA66" s="26" cm="1">
        <f t="array" ref="AA66">_xlfn.IFS((Z66&gt;X66),(X66*2),(Z66&lt;=X66),(Z66*2))</f>
        <v>0</v>
      </c>
      <c r="AB66" s="22"/>
      <c r="AC66" s="26">
        <f>IFERROR(VLOOKUP(AD66,Apoio!A:B,2,0),"")</f>
        <v>2</v>
      </c>
      <c r="AD66" s="22">
        <f>IFERROR(VLOOKUP(C66,'[1]TB DIN'!$B:$H,6,0),"AGUARDANDO ANEXO")</f>
        <v>27</v>
      </c>
      <c r="AE66" s="22">
        <f>IFERROR(VLOOKUP(C66,'[1]TB DIN INCLUIDOS'!$B:$H,6,0),"AGUARDANDO ANEXO")</f>
        <v>0</v>
      </c>
      <c r="AF66" s="26" cm="1">
        <f t="array" ref="AF66">_xlfn.IFS((AE66&gt;AC66),(AC66*2),(AE66&lt;=AC66),(AE66*2))</f>
        <v>0</v>
      </c>
      <c r="AG66" s="22"/>
      <c r="AH66" s="28">
        <f t="shared" si="0"/>
        <v>48</v>
      </c>
      <c r="AI66" s="28">
        <f t="shared" si="1"/>
        <v>0</v>
      </c>
      <c r="AJ66" s="28">
        <f t="shared" si="2"/>
        <v>0</v>
      </c>
      <c r="AK66" s="28">
        <f t="shared" si="3"/>
        <v>0</v>
      </c>
      <c r="AL66" s="28">
        <f t="shared" si="4"/>
        <v>0</v>
      </c>
      <c r="AM66" s="23" t="s">
        <v>1834</v>
      </c>
      <c r="AN66" s="37">
        <f>VLOOKUP(C66,'[2]MARÇO-2024'!$B:$M,12,0)</f>
        <v>48</v>
      </c>
      <c r="AO66" s="37">
        <f t="shared" si="5"/>
        <v>0</v>
      </c>
      <c r="AP66" s="37" t="str">
        <f t="shared" si="6"/>
        <v/>
      </c>
    </row>
    <row r="67" spans="1:42" ht="13.5" customHeight="1" x14ac:dyDescent="0.25">
      <c r="A67" s="17">
        <v>3</v>
      </c>
      <c r="B67" s="17">
        <v>5</v>
      </c>
      <c r="C67" s="29">
        <v>3005</v>
      </c>
      <c r="D67" s="38">
        <v>33111634</v>
      </c>
      <c r="E67" s="18" t="s">
        <v>414</v>
      </c>
      <c r="F67" s="68" t="s">
        <v>632</v>
      </c>
      <c r="G67" s="66" t="s">
        <v>133</v>
      </c>
      <c r="H67" s="19" t="s">
        <v>929</v>
      </c>
      <c r="I67" s="19" t="s">
        <v>1156</v>
      </c>
      <c r="J67" s="19" t="s">
        <v>1302</v>
      </c>
      <c r="K67" s="20" t="s">
        <v>1568</v>
      </c>
      <c r="L67" s="21">
        <v>150</v>
      </c>
      <c r="M67" s="21"/>
      <c r="N67" s="26" t="str">
        <f>IFERROR(VLOOKUP(O67,Apoio!A:B,2,0),"")</f>
        <v/>
      </c>
      <c r="O67" s="22">
        <f>IFERROR(VLOOKUP(C67,'[1]TB DIN'!$B:$D,3,0),"AGUARDANDO ANEXO")</f>
        <v>0</v>
      </c>
      <c r="P67" s="22">
        <f>IFERROR(VLOOKUP(C67,'[1]TB DIN INCLUIDOS'!$B:$H,3,0),"AGUARDANDO ANEXO")</f>
        <v>0</v>
      </c>
      <c r="Q67" s="26" cm="1">
        <f t="array" ref="Q67">_xlfn.IFS((P67&gt;N67),(N67*2),(P67&lt;=N67),(P67*2))</f>
        <v>0</v>
      </c>
      <c r="R67" s="22"/>
      <c r="S67" s="26" t="str">
        <f>IFERROR(VLOOKUP(T67,Apoio!A:B,2,0),"")</f>
        <v/>
      </c>
      <c r="T67" s="22">
        <f>IFERROR(VLOOKUP(C67,'[1]TB DIN'!$B:$H,4,0),"AGUARDANDO ANEXO")</f>
        <v>0</v>
      </c>
      <c r="U67" s="22">
        <f>IFERROR(VLOOKUP(C67,'[1]TB DIN INCLUIDOS'!$B:$H,4,0),"AGUARDANDO ANEXO")</f>
        <v>0</v>
      </c>
      <c r="V67" s="26" cm="1">
        <f t="array" ref="V67">_xlfn.IFS((U67&gt;S67),(S67*2),(U67&lt;=S67),(U67*2))</f>
        <v>0</v>
      </c>
      <c r="W67" s="22"/>
      <c r="X67" s="26">
        <f>IFERROR(VLOOKUP(Y67,Apoio!A:B,2,0),"")</f>
        <v>3</v>
      </c>
      <c r="Y67" s="22">
        <v>57</v>
      </c>
      <c r="Z67" s="22">
        <f>IFERROR(VLOOKUP(C67,'[1]TB DIN INCLUIDOS'!$B:$H,5,0),"AGUARDANDO ANEXO")</f>
        <v>0</v>
      </c>
      <c r="AA67" s="26" cm="1">
        <f t="array" ref="AA67">_xlfn.IFS((Z67&gt;X67),(X67*2),(Z67&lt;=X67),(Z67*2))</f>
        <v>0</v>
      </c>
      <c r="AB67" s="22"/>
      <c r="AC67" s="26">
        <f>IFERROR(VLOOKUP(AD67,Apoio!A:B,2,0),"")</f>
        <v>3</v>
      </c>
      <c r="AD67" s="22">
        <f>IFERROR(VLOOKUP(C67,'[1]TB DIN'!$B:$H,6,0),"AGUARDANDO ANEXO")</f>
        <v>67</v>
      </c>
      <c r="AE67" s="22">
        <f>IFERROR(VLOOKUP(C67,'[1]TB DIN INCLUIDOS'!$B:$H,6,0),"AGUARDANDO ANEXO")</f>
        <v>6</v>
      </c>
      <c r="AF67" s="26" cm="1">
        <f t="array" ref="AF67">_xlfn.IFS((AE67&gt;AC67),(AC67*2),(AE67&lt;=AC67),(AE67*2))</f>
        <v>6</v>
      </c>
      <c r="AG67" s="22"/>
      <c r="AH67" s="28">
        <f t="shared" si="0"/>
        <v>124</v>
      </c>
      <c r="AI67" s="28">
        <f t="shared" si="1"/>
        <v>6</v>
      </c>
      <c r="AJ67" s="28">
        <f t="shared" si="2"/>
        <v>6</v>
      </c>
      <c r="AK67" s="28">
        <f t="shared" si="3"/>
        <v>20</v>
      </c>
      <c r="AL67" s="28">
        <f t="shared" si="4"/>
        <v>0</v>
      </c>
      <c r="AM67" s="23" t="s">
        <v>1707</v>
      </c>
      <c r="AN67" s="37">
        <f>VLOOKUP(C67,'[2]MARÇO-2024'!$B:$M,12,0)</f>
        <v>124</v>
      </c>
      <c r="AO67" s="37">
        <f t="shared" si="5"/>
        <v>0</v>
      </c>
      <c r="AP67" s="37" t="str">
        <f t="shared" si="6"/>
        <v/>
      </c>
    </row>
    <row r="68" spans="1:42" ht="13.5" customHeight="1" x14ac:dyDescent="0.25">
      <c r="A68" s="17">
        <v>3</v>
      </c>
      <c r="B68" s="17">
        <v>6</v>
      </c>
      <c r="C68" s="29">
        <v>3006</v>
      </c>
      <c r="D68" s="43">
        <v>33183201</v>
      </c>
      <c r="E68" s="18" t="s">
        <v>416</v>
      </c>
      <c r="F68" s="68" t="s">
        <v>635</v>
      </c>
      <c r="G68" s="62" t="s">
        <v>136</v>
      </c>
      <c r="H68" s="19" t="s">
        <v>931</v>
      </c>
      <c r="I68" s="19" t="s">
        <v>1159</v>
      </c>
      <c r="J68" s="19" t="s">
        <v>1305</v>
      </c>
      <c r="K68" s="20" t="s">
        <v>1562</v>
      </c>
      <c r="L68" s="21">
        <v>85</v>
      </c>
      <c r="M68" s="21"/>
      <c r="N68" s="26" t="str">
        <f>IFERROR(VLOOKUP(O68,Apoio!A:B,2,0),"")</f>
        <v/>
      </c>
      <c r="O68" s="22">
        <f>IFERROR(VLOOKUP(C68,'[1]TB DIN'!$B:$D,3,0),"AGUARDANDO ANEXO")</f>
        <v>0</v>
      </c>
      <c r="P68" s="22">
        <f>IFERROR(VLOOKUP(C68,'[1]TB DIN INCLUIDOS'!$B:$H,3,0),"AGUARDANDO ANEXO")</f>
        <v>0</v>
      </c>
      <c r="Q68" s="26" cm="1">
        <f t="array" ref="Q68">_xlfn.IFS((P68&gt;N68),(N68*2),(P68&lt;=N68),(P68*2))</f>
        <v>0</v>
      </c>
      <c r="R68" s="22"/>
      <c r="S68" s="26">
        <f>IFERROR(VLOOKUP(T68,Apoio!A:B,2,0),"")</f>
        <v>1</v>
      </c>
      <c r="T68" s="22">
        <v>14</v>
      </c>
      <c r="U68" s="22">
        <f>IFERROR(VLOOKUP(C68,'[1]TB DIN INCLUIDOS'!$B:$H,4,0),"AGUARDANDO ANEXO")</f>
        <v>0</v>
      </c>
      <c r="V68" s="26" cm="1">
        <f t="array" ref="V68">_xlfn.IFS((U68&gt;S68),(S68*2),(U68&lt;=S68),(U68*2))</f>
        <v>0</v>
      </c>
      <c r="W68" s="22"/>
      <c r="X68" s="26">
        <f>IFERROR(VLOOKUP(Y68,Apoio!A:B,2,0),"")</f>
        <v>2</v>
      </c>
      <c r="Y68" s="22">
        <f>IFERROR(VLOOKUP(C68,'[1]TB DIN'!$B:$H,5,0),"AGUARDANDO ANEXO")</f>
        <v>30</v>
      </c>
      <c r="Z68" s="22">
        <f>IFERROR(VLOOKUP(C68,'[1]TB DIN INCLUIDOS'!$B:$H,5,0),"AGUARDANDO ANEXO")</f>
        <v>0</v>
      </c>
      <c r="AA68" s="26" cm="1">
        <f t="array" ref="AA68">_xlfn.IFS((Z68&gt;X68),(X68*2),(Z68&lt;=X68),(Z68*2))</f>
        <v>0</v>
      </c>
      <c r="AB68" s="22"/>
      <c r="AC68" s="26">
        <f>IFERROR(VLOOKUP(AD68,Apoio!A:B,2,0),"")</f>
        <v>2</v>
      </c>
      <c r="AD68" s="22">
        <f>IFERROR(VLOOKUP(C68,'[1]TB DIN'!$B:$H,6,0),"AGUARDANDO ANEXO")</f>
        <v>40</v>
      </c>
      <c r="AE68" s="22">
        <f>IFERROR(VLOOKUP(C68,'[1]TB DIN INCLUIDOS'!$B:$H,6,0),"AGUARDANDO ANEXO")</f>
        <v>1</v>
      </c>
      <c r="AF68" s="26" cm="1">
        <f t="array" ref="AF68">_xlfn.IFS((AE68&gt;AC68),(AC68*2),(AE68&lt;=AC68),(AE68*2))</f>
        <v>2</v>
      </c>
      <c r="AG68" s="22"/>
      <c r="AH68" s="28">
        <f t="shared" si="0"/>
        <v>84</v>
      </c>
      <c r="AI68" s="28">
        <f t="shared" si="1"/>
        <v>1</v>
      </c>
      <c r="AJ68" s="28">
        <f t="shared" si="2"/>
        <v>2</v>
      </c>
      <c r="AK68" s="28">
        <f t="shared" si="3"/>
        <v>0</v>
      </c>
      <c r="AL68" s="28">
        <f t="shared" si="4"/>
        <v>-1</v>
      </c>
      <c r="AM68" s="23" t="s">
        <v>1707</v>
      </c>
      <c r="AN68" s="37">
        <f>VLOOKUP(C68,'[2]MARÇO-2024'!$B:$M,12,0)</f>
        <v>85</v>
      </c>
      <c r="AO68" s="37">
        <f t="shared" si="5"/>
        <v>1</v>
      </c>
      <c r="AP68" s="37" t="str">
        <f t="shared" si="6"/>
        <v/>
      </c>
    </row>
    <row r="69" spans="1:42" ht="13.5" customHeight="1" x14ac:dyDescent="0.25">
      <c r="A69" s="17">
        <v>3</v>
      </c>
      <c r="B69" s="17">
        <v>7</v>
      </c>
      <c r="C69" s="29">
        <v>3007</v>
      </c>
      <c r="D69" s="38">
        <v>33109184</v>
      </c>
      <c r="E69" s="18" t="s">
        <v>417</v>
      </c>
      <c r="F69" s="68" t="s">
        <v>636</v>
      </c>
      <c r="G69" s="62" t="s">
        <v>137</v>
      </c>
      <c r="H69" s="19" t="s">
        <v>932</v>
      </c>
      <c r="I69" s="19" t="s">
        <v>1160</v>
      </c>
      <c r="J69" s="19" t="s">
        <v>1306</v>
      </c>
      <c r="K69" s="20" t="s">
        <v>1569</v>
      </c>
      <c r="L69" s="21">
        <v>65</v>
      </c>
      <c r="M69" s="21"/>
      <c r="N69" s="26" t="str">
        <f>IFERROR(VLOOKUP(O69,Apoio!A:B,2,0),"")</f>
        <v/>
      </c>
      <c r="O69" s="22">
        <f>IFERROR(VLOOKUP(C69,'[1]TB DIN'!$B:$D,3,0),"AGUARDANDO ANEXO")</f>
        <v>0</v>
      </c>
      <c r="P69" s="22">
        <f>IFERROR(VLOOKUP(C69,'[1]TB DIN INCLUIDOS'!$B:$H,3,0),"AGUARDANDO ANEXO")</f>
        <v>0</v>
      </c>
      <c r="Q69" s="26" cm="1">
        <f t="array" ref="Q69">_xlfn.IFS((P69&gt;N69),(N69*2),(P69&lt;=N69),(P69*2))</f>
        <v>0</v>
      </c>
      <c r="R69" s="22"/>
      <c r="S69" s="26">
        <f>IFERROR(VLOOKUP(T69,Apoio!A:B,2,0),"")</f>
        <v>1</v>
      </c>
      <c r="T69" s="22">
        <f>IFERROR(VLOOKUP(C69,'[1]TB DIN'!$B:$H,4,0),"AGUARDANDO ANEXO")</f>
        <v>20</v>
      </c>
      <c r="U69" s="22">
        <f>IFERROR(VLOOKUP(C69,'[1]TB DIN INCLUIDOS'!$B:$H,4,0),"AGUARDANDO ANEXO")</f>
        <v>0</v>
      </c>
      <c r="V69" s="26" cm="1">
        <f t="array" ref="V69">_xlfn.IFS((U69&gt;S69),(S69*2),(U69&lt;=S69),(U69*2))</f>
        <v>0</v>
      </c>
      <c r="W69" s="22"/>
      <c r="X69" s="26">
        <f>IFERROR(VLOOKUP(Y69,Apoio!A:B,2,0),"")</f>
        <v>2</v>
      </c>
      <c r="Y69" s="22">
        <f>IFERROR(VLOOKUP(C69,'[1]TB DIN'!$B:$H,5,0),"AGUARDANDO ANEXO")</f>
        <v>27</v>
      </c>
      <c r="Z69" s="22">
        <f>IFERROR(VLOOKUP(C69,'[1]TB DIN INCLUIDOS'!$B:$H,5,0),"AGUARDANDO ANEXO")</f>
        <v>0</v>
      </c>
      <c r="AA69" s="26" cm="1">
        <f t="array" ref="AA69">_xlfn.IFS((Z69&gt;X69),(X69*2),(Z69&lt;=X69),(Z69*2))</f>
        <v>0</v>
      </c>
      <c r="AB69" s="22"/>
      <c r="AC69" s="26">
        <f>IFERROR(VLOOKUP(AD69,Apoio!A:B,2,0),"")</f>
        <v>1</v>
      </c>
      <c r="AD69" s="22">
        <f>IFERROR(VLOOKUP(C69,'[1]TB DIN'!$B:$H,6,0),"AGUARDANDO ANEXO")</f>
        <v>17</v>
      </c>
      <c r="AE69" s="22">
        <f>IFERROR(VLOOKUP(C69,'[1]TB DIN INCLUIDOS'!$B:$H,6,0),"AGUARDANDO ANEXO")</f>
        <v>0</v>
      </c>
      <c r="AF69" s="26" cm="1">
        <f t="array" ref="AF69">_xlfn.IFS((AE69&gt;AC69),(AC69*2),(AE69&lt;=AC69),(AE69*2))</f>
        <v>0</v>
      </c>
      <c r="AG69" s="22"/>
      <c r="AH69" s="28">
        <f t="shared" ref="AH69:AH132" si="7">SUM(O69,T69,Y69,AD69)</f>
        <v>64</v>
      </c>
      <c r="AI69" s="28">
        <f t="shared" ref="AI69:AI132" si="8">SUM(P69,U69,Z69,AE69)</f>
        <v>0</v>
      </c>
      <c r="AJ69" s="28">
        <f t="shared" ref="AJ69:AJ132" si="9">SUM(Q69,V69,AA69,AF69)</f>
        <v>0</v>
      </c>
      <c r="AK69" s="28">
        <f t="shared" ref="AK69:AK132" si="10">IF(L69-AH69-Q69-V69-AA69-AF69&gt;0,L69-AH69-Q69-V69-AA69-AF69,0)</f>
        <v>1</v>
      </c>
      <c r="AL69" s="28">
        <f t="shared" ref="AL69:AL132" si="11">IF(L69-O69-Q69-T69-V69-Y69-AA69-AD69-AF69&lt;0,L69-O69-Q69-T69-V69-Y69-AA69-AD69-AF69,0)</f>
        <v>0</v>
      </c>
      <c r="AM69" s="23" t="s">
        <v>1707</v>
      </c>
      <c r="AN69" s="37">
        <f>VLOOKUP(C69,'[2]MARÇO-2024'!$B:$M,12,0)</f>
        <v>63</v>
      </c>
      <c r="AO69" s="37">
        <f t="shared" ref="AO69:AO132" si="12">AN69-AH69</f>
        <v>-1</v>
      </c>
      <c r="AP69" s="37" t="str">
        <f t="shared" ref="AP69:AP132" si="13">IF(AH69&gt;L69,"Qt de aluno maior que a meta","")</f>
        <v/>
      </c>
    </row>
    <row r="70" spans="1:42" ht="13.5" customHeight="1" x14ac:dyDescent="0.25">
      <c r="A70" s="17">
        <v>3</v>
      </c>
      <c r="B70" s="17">
        <v>8</v>
      </c>
      <c r="C70" s="29">
        <v>3008</v>
      </c>
      <c r="D70" s="38">
        <v>33068712</v>
      </c>
      <c r="E70" s="18" t="s">
        <v>418</v>
      </c>
      <c r="F70" s="68" t="s">
        <v>637</v>
      </c>
      <c r="G70" s="66" t="s">
        <v>138</v>
      </c>
      <c r="H70" s="19" t="s">
        <v>933</v>
      </c>
      <c r="I70" s="19" t="s">
        <v>1161</v>
      </c>
      <c r="J70" s="19" t="s">
        <v>1307</v>
      </c>
      <c r="K70" s="20" t="s">
        <v>1570</v>
      </c>
      <c r="L70" s="21">
        <v>104</v>
      </c>
      <c r="M70" s="21"/>
      <c r="N70" s="26" t="str">
        <f>IFERROR(VLOOKUP(O70,Apoio!A:B,2,0),"")</f>
        <v/>
      </c>
      <c r="O70" s="22">
        <f>IFERROR(VLOOKUP(C70,'[1]TB DIN'!$B:$D,3,0),"AGUARDANDO ANEXO")</f>
        <v>0</v>
      </c>
      <c r="P70" s="22">
        <f>IFERROR(VLOOKUP(C70,'[1]TB DIN INCLUIDOS'!$B:$H,3,0),"AGUARDANDO ANEXO")</f>
        <v>0</v>
      </c>
      <c r="Q70" s="26" cm="1">
        <f t="array" ref="Q70">_xlfn.IFS((P70&gt;N70),(N70*2),(P70&lt;=N70),(P70*2))</f>
        <v>0</v>
      </c>
      <c r="R70" s="22"/>
      <c r="S70" s="26">
        <f>IFERROR(VLOOKUP(T70,Apoio!A:B,2,0),"")</f>
        <v>1</v>
      </c>
      <c r="T70" s="22">
        <v>24</v>
      </c>
      <c r="U70" s="22">
        <f>IFERROR(VLOOKUP(C70,'[1]TB DIN INCLUIDOS'!$B:$H,4,0),"AGUARDANDO ANEXO")</f>
        <v>0</v>
      </c>
      <c r="V70" s="26" cm="1">
        <f t="array" ref="V70">_xlfn.IFS((U70&gt;S70),(S70*2),(U70&lt;=S70),(U70*2))</f>
        <v>0</v>
      </c>
      <c r="W70" s="22"/>
      <c r="X70" s="26">
        <f>IFERROR(VLOOKUP(Y70,Apoio!A:B,2,0),"")</f>
        <v>2</v>
      </c>
      <c r="Y70" s="22">
        <v>29</v>
      </c>
      <c r="Z70" s="22">
        <v>1</v>
      </c>
      <c r="AA70" s="26" cm="1">
        <f t="array" ref="AA70">_xlfn.IFS((Z70&gt;X70),(X70*2),(Z70&lt;=X70),(Z70*2))</f>
        <v>2</v>
      </c>
      <c r="AB70" s="22"/>
      <c r="AC70" s="26">
        <f>IFERROR(VLOOKUP(AD70,Apoio!A:B,2,0),"")</f>
        <v>2</v>
      </c>
      <c r="AD70" s="22">
        <f>IFERROR(VLOOKUP(C70,'[1]TB DIN'!$B:$H,6,0),"AGUARDANDO ANEXO")</f>
        <v>37</v>
      </c>
      <c r="AE70" s="22">
        <v>1</v>
      </c>
      <c r="AF70" s="26" cm="1">
        <f t="array" ref="AF70">_xlfn.IFS((AE70&gt;AC70),(AC70*2),(AE70&lt;=AC70),(AE70*2))</f>
        <v>2</v>
      </c>
      <c r="AG70" s="22"/>
      <c r="AH70" s="28">
        <f t="shared" si="7"/>
        <v>90</v>
      </c>
      <c r="AI70" s="28">
        <f t="shared" si="8"/>
        <v>2</v>
      </c>
      <c r="AJ70" s="28">
        <f t="shared" si="9"/>
        <v>4</v>
      </c>
      <c r="AK70" s="28">
        <f t="shared" si="10"/>
        <v>10</v>
      </c>
      <c r="AL70" s="28">
        <f t="shared" si="11"/>
        <v>0</v>
      </c>
      <c r="AM70" s="23" t="s">
        <v>1707</v>
      </c>
      <c r="AN70" s="37">
        <f>VLOOKUP(C70,'[2]MARÇO-2024'!$B:$M,12,0)</f>
        <v>88</v>
      </c>
      <c r="AO70" s="37">
        <f t="shared" si="12"/>
        <v>-2</v>
      </c>
      <c r="AP70" s="37" t="str">
        <f t="shared" si="13"/>
        <v/>
      </c>
    </row>
    <row r="71" spans="1:42" ht="13.5" customHeight="1" x14ac:dyDescent="0.25">
      <c r="A71" s="17">
        <v>3</v>
      </c>
      <c r="B71" s="17">
        <v>9</v>
      </c>
      <c r="C71" s="29">
        <v>3009</v>
      </c>
      <c r="D71" s="43">
        <v>33109036</v>
      </c>
      <c r="E71" s="18" t="s">
        <v>419</v>
      </c>
      <c r="F71" s="68" t="s">
        <v>638</v>
      </c>
      <c r="G71" s="62" t="s">
        <v>139</v>
      </c>
      <c r="H71" s="19" t="s">
        <v>934</v>
      </c>
      <c r="I71" s="19" t="s">
        <v>1162</v>
      </c>
      <c r="J71" s="19" t="s">
        <v>1833</v>
      </c>
      <c r="K71" s="20" t="s">
        <v>1570</v>
      </c>
      <c r="L71" s="21">
        <v>80</v>
      </c>
      <c r="M71" s="21"/>
      <c r="N71" s="26" t="str">
        <f>IFERROR(VLOOKUP(O71,Apoio!A:B,2,0),"")</f>
        <v/>
      </c>
      <c r="O71" s="22">
        <f>IFERROR(VLOOKUP(C71,'[1]TB DIN'!$B:$D,3,0),"AGUARDANDO ANEXO")</f>
        <v>0</v>
      </c>
      <c r="P71" s="22">
        <f>IFERROR(VLOOKUP(C71,'[1]TB DIN INCLUIDOS'!$B:$H,3,0),"AGUARDANDO ANEXO")</f>
        <v>0</v>
      </c>
      <c r="Q71" s="26" cm="1">
        <f t="array" ref="Q71">_xlfn.IFS((P71&gt;N71),(N71*2),(P71&lt;=N71),(P71*2))</f>
        <v>0</v>
      </c>
      <c r="R71" s="22"/>
      <c r="S71" s="26" t="str">
        <f>IFERROR(VLOOKUP(T71,Apoio!A:B,2,0),"")</f>
        <v/>
      </c>
      <c r="T71" s="22">
        <f>IFERROR(VLOOKUP(C71,'[1]TB DIN'!$B:$H,4,0),"AGUARDANDO ANEXO")</f>
        <v>0</v>
      </c>
      <c r="U71" s="22">
        <f>IFERROR(VLOOKUP(C71,'[1]TB DIN INCLUIDOS'!$B:$H,4,0),"AGUARDANDO ANEXO")</f>
        <v>0</v>
      </c>
      <c r="V71" s="26" cm="1">
        <f t="array" ref="V71">_xlfn.IFS((U71&gt;S71),(S71*2),(U71&lt;=S71),(U71*2))</f>
        <v>0</v>
      </c>
      <c r="W71" s="22"/>
      <c r="X71" s="26">
        <f>IFERROR(VLOOKUP(Y71,Apoio!A:B,2,0),"")</f>
        <v>1</v>
      </c>
      <c r="Y71" s="22">
        <v>25</v>
      </c>
      <c r="Z71" s="22">
        <f>IFERROR(VLOOKUP(C71,'[1]TB DIN INCLUIDOS'!$B:$H,5,0),"AGUARDANDO ANEXO")</f>
        <v>0</v>
      </c>
      <c r="AA71" s="26" cm="1">
        <f t="array" ref="AA71">_xlfn.IFS((Z71&gt;X71),(X71*2),(Z71&lt;=X71),(Z71*2))</f>
        <v>0</v>
      </c>
      <c r="AB71" s="22"/>
      <c r="AC71" s="26">
        <f>IFERROR(VLOOKUP(AD71,Apoio!A:B,2,0),"")</f>
        <v>3</v>
      </c>
      <c r="AD71" s="22">
        <v>51</v>
      </c>
      <c r="AE71" s="22">
        <f>IFERROR(VLOOKUP(C71,'[1]TB DIN INCLUIDOS'!$B:$H,6,0),"AGUARDANDO ANEXO")</f>
        <v>1</v>
      </c>
      <c r="AF71" s="26" cm="1">
        <f t="array" ref="AF71">_xlfn.IFS((AE71&gt;AC71),(AC71*2),(AE71&lt;=AC71),(AE71*2))</f>
        <v>2</v>
      </c>
      <c r="AG71" s="22"/>
      <c r="AH71" s="28">
        <f t="shared" si="7"/>
        <v>76</v>
      </c>
      <c r="AI71" s="28">
        <f t="shared" si="8"/>
        <v>1</v>
      </c>
      <c r="AJ71" s="28">
        <f t="shared" si="9"/>
        <v>2</v>
      </c>
      <c r="AK71" s="28">
        <f t="shared" si="10"/>
        <v>2</v>
      </c>
      <c r="AL71" s="28">
        <f t="shared" si="11"/>
        <v>0</v>
      </c>
      <c r="AM71" s="23" t="s">
        <v>1707</v>
      </c>
      <c r="AN71" s="37">
        <f>VLOOKUP(C71,'[2]MARÇO-2024'!$B:$M,12,0)</f>
        <v>72</v>
      </c>
      <c r="AO71" s="37">
        <f t="shared" si="12"/>
        <v>-4</v>
      </c>
      <c r="AP71" s="37" t="str">
        <f t="shared" si="13"/>
        <v/>
      </c>
    </row>
    <row r="72" spans="1:42" ht="13.5" customHeight="1" x14ac:dyDescent="0.25">
      <c r="A72" s="17">
        <v>3</v>
      </c>
      <c r="B72" s="17">
        <v>10</v>
      </c>
      <c r="C72" s="29">
        <v>3010</v>
      </c>
      <c r="D72" s="43">
        <v>33556210</v>
      </c>
      <c r="E72" s="18" t="s">
        <v>421</v>
      </c>
      <c r="F72" s="68" t="s">
        <v>642</v>
      </c>
      <c r="G72" s="62" t="s">
        <v>143</v>
      </c>
      <c r="H72" s="19" t="s">
        <v>938</v>
      </c>
      <c r="I72" s="19" t="s">
        <v>938</v>
      </c>
      <c r="J72" s="19" t="s">
        <v>1311</v>
      </c>
      <c r="K72" s="20" t="s">
        <v>1566</v>
      </c>
      <c r="L72" s="21">
        <v>76</v>
      </c>
      <c r="M72" s="21"/>
      <c r="N72" s="26" t="str">
        <f>IFERROR(VLOOKUP(O72,Apoio!A:B,2,0),"")</f>
        <v/>
      </c>
      <c r="O72" s="22">
        <f>IFERROR(VLOOKUP(C72,'[1]TB DIN'!$B:$D,3,0),"AGUARDANDO ANEXO")</f>
        <v>0</v>
      </c>
      <c r="P72" s="22">
        <f>IFERROR(VLOOKUP(C72,'[1]TB DIN INCLUIDOS'!$B:$H,3,0),"AGUARDANDO ANEXO")</f>
        <v>0</v>
      </c>
      <c r="Q72" s="26" cm="1">
        <f t="array" ref="Q72">_xlfn.IFS((P72&gt;N72),(N72*2),(P72&lt;=N72),(P72*2))</f>
        <v>0</v>
      </c>
      <c r="R72" s="22"/>
      <c r="S72" s="26" t="str">
        <f>IFERROR(VLOOKUP(T72,Apoio!A:B,2,0),"")</f>
        <v/>
      </c>
      <c r="T72" s="22">
        <f>IFERROR(VLOOKUP(C72,'[1]TB DIN'!$B:$H,4,0),"AGUARDANDO ANEXO")</f>
        <v>0</v>
      </c>
      <c r="U72" s="22">
        <f>IFERROR(VLOOKUP(C72,'[1]TB DIN INCLUIDOS'!$B:$H,4,0),"AGUARDANDO ANEXO")</f>
        <v>0</v>
      </c>
      <c r="V72" s="26" cm="1">
        <f t="array" ref="V72">_xlfn.IFS((U72&gt;S72),(S72*2),(U72&lt;=S72),(U72*2))</f>
        <v>0</v>
      </c>
      <c r="W72" s="22"/>
      <c r="X72" s="26">
        <f>IFERROR(VLOOKUP(Y72,Apoio!A:B,2,0),"")</f>
        <v>2</v>
      </c>
      <c r="Y72" s="22">
        <f>IFERROR(VLOOKUP(C72,'[1]TB DIN'!$B:$H,5,0),"AGUARDANDO ANEXO")</f>
        <v>27</v>
      </c>
      <c r="Z72" s="22">
        <f>IFERROR(VLOOKUP(C72,'[1]TB DIN INCLUIDOS'!$B:$H,5,0),"AGUARDANDO ANEXO")</f>
        <v>0</v>
      </c>
      <c r="AA72" s="26" cm="1">
        <f t="array" ref="AA72">_xlfn.IFS((Z72&gt;X72),(X72*2),(Z72&lt;=X72),(Z72*2))</f>
        <v>0</v>
      </c>
      <c r="AB72" s="22"/>
      <c r="AC72" s="26">
        <f>IFERROR(VLOOKUP(AD72,Apoio!A:B,2,0),"")</f>
        <v>2</v>
      </c>
      <c r="AD72" s="22">
        <f>IFERROR(VLOOKUP(C72,'[1]TB DIN'!$B:$H,6,0),"AGUARDANDO ANEXO")</f>
        <v>49</v>
      </c>
      <c r="AE72" s="22">
        <f>IFERROR(VLOOKUP(C72,'[1]TB DIN INCLUIDOS'!$B:$H,6,0),"AGUARDANDO ANEXO")</f>
        <v>0</v>
      </c>
      <c r="AF72" s="26" cm="1">
        <f t="array" ref="AF72">_xlfn.IFS((AE72&gt;AC72),(AC72*2),(AE72&lt;=AC72),(AE72*2))</f>
        <v>0</v>
      </c>
      <c r="AG72" s="22"/>
      <c r="AH72" s="28">
        <f t="shared" si="7"/>
        <v>76</v>
      </c>
      <c r="AI72" s="28">
        <f t="shared" si="8"/>
        <v>0</v>
      </c>
      <c r="AJ72" s="28">
        <f t="shared" si="9"/>
        <v>0</v>
      </c>
      <c r="AK72" s="28">
        <f t="shared" si="10"/>
        <v>0</v>
      </c>
      <c r="AL72" s="28">
        <f t="shared" si="11"/>
        <v>0</v>
      </c>
      <c r="AM72" s="23" t="s">
        <v>1707</v>
      </c>
      <c r="AN72" s="37">
        <f>VLOOKUP(C72,'[2]MARÇO-2024'!$B:$M,12,0)</f>
        <v>76</v>
      </c>
      <c r="AO72" s="37">
        <f t="shared" si="12"/>
        <v>0</v>
      </c>
      <c r="AP72" s="37" t="str">
        <f t="shared" si="13"/>
        <v/>
      </c>
    </row>
    <row r="73" spans="1:42" ht="13.5" customHeight="1" x14ac:dyDescent="0.25">
      <c r="A73" s="17">
        <v>3</v>
      </c>
      <c r="B73" s="17">
        <v>11</v>
      </c>
      <c r="C73" s="29">
        <v>3011</v>
      </c>
      <c r="D73" s="38">
        <v>33144613</v>
      </c>
      <c r="E73" s="18" t="s">
        <v>420</v>
      </c>
      <c r="F73" s="68" t="s">
        <v>640</v>
      </c>
      <c r="G73" s="66" t="s">
        <v>141</v>
      </c>
      <c r="H73" s="19" t="s">
        <v>936</v>
      </c>
      <c r="I73" s="19" t="s">
        <v>1136</v>
      </c>
      <c r="J73" s="19" t="s">
        <v>1309</v>
      </c>
      <c r="K73" s="20" t="s">
        <v>1570</v>
      </c>
      <c r="L73" s="21">
        <v>74</v>
      </c>
      <c r="M73" s="21"/>
      <c r="N73" s="26" t="str">
        <f>IFERROR(VLOOKUP(O73,Apoio!A:B,2,0),"")</f>
        <v/>
      </c>
      <c r="O73" s="22">
        <f>IFERROR(VLOOKUP(C73,'[1]TB DIN'!$B:$D,3,0),"AGUARDANDO ANEXO")</f>
        <v>0</v>
      </c>
      <c r="P73" s="22">
        <f>IFERROR(VLOOKUP(C73,'[1]TB DIN INCLUIDOS'!$B:$H,3,0),"AGUARDANDO ANEXO")</f>
        <v>0</v>
      </c>
      <c r="Q73" s="26" cm="1">
        <f t="array" ref="Q73">_xlfn.IFS((P73&gt;N73),(N73*2),(P73&lt;=N73),(P73*2))</f>
        <v>0</v>
      </c>
      <c r="R73" s="22"/>
      <c r="S73" s="26" t="str">
        <f>IFERROR(VLOOKUP(T73,Apoio!A:B,2,0),"")</f>
        <v/>
      </c>
      <c r="T73" s="22">
        <f>IFERROR(VLOOKUP(C73,'[1]TB DIN'!$B:$H,4,0),"AGUARDANDO ANEXO")</f>
        <v>0</v>
      </c>
      <c r="U73" s="22">
        <f>IFERROR(VLOOKUP(C73,'[1]TB DIN INCLUIDOS'!$B:$H,4,0),"AGUARDANDO ANEXO")</f>
        <v>0</v>
      </c>
      <c r="V73" s="26" cm="1">
        <f t="array" ref="V73">_xlfn.IFS((U73&gt;S73),(S73*2),(U73&lt;=S73),(U73*2))</f>
        <v>0</v>
      </c>
      <c r="W73" s="22"/>
      <c r="X73" s="26">
        <f>IFERROR(VLOOKUP(Y73,Apoio!A:B,2,0),"")</f>
        <v>1</v>
      </c>
      <c r="Y73" s="22">
        <f>IFERROR(VLOOKUP(C73,'[1]TB DIN'!$B:$H,5,0),"AGUARDANDO ANEXO")</f>
        <v>21</v>
      </c>
      <c r="Z73" s="22">
        <f>IFERROR(VLOOKUP(C73,'[1]TB DIN INCLUIDOS'!$B:$H,5,0),"AGUARDANDO ANEXO")</f>
        <v>0</v>
      </c>
      <c r="AA73" s="26" cm="1">
        <f t="array" ref="AA73">_xlfn.IFS((Z73&gt;X73),(X73*2),(Z73&lt;=X73),(Z73*2))</f>
        <v>0</v>
      </c>
      <c r="AB73" s="22"/>
      <c r="AC73" s="26">
        <f>IFERROR(VLOOKUP(AD73,Apoio!A:B,2,0),"")</f>
        <v>2</v>
      </c>
      <c r="AD73" s="22">
        <v>29</v>
      </c>
      <c r="AE73" s="22">
        <f>IFERROR(VLOOKUP(C73,'[1]TB DIN INCLUIDOS'!$B:$H,6,0),"AGUARDANDO ANEXO")</f>
        <v>0</v>
      </c>
      <c r="AF73" s="26" cm="1">
        <f t="array" ref="AF73">_xlfn.IFS((AE73&gt;AC73),(AC73*2),(AE73&lt;=AC73),(AE73*2))</f>
        <v>0</v>
      </c>
      <c r="AG73" s="22"/>
      <c r="AH73" s="28">
        <f t="shared" si="7"/>
        <v>50</v>
      </c>
      <c r="AI73" s="28">
        <f t="shared" si="8"/>
        <v>0</v>
      </c>
      <c r="AJ73" s="28">
        <f t="shared" si="9"/>
        <v>0</v>
      </c>
      <c r="AK73" s="28">
        <f t="shared" si="10"/>
        <v>24</v>
      </c>
      <c r="AL73" s="28">
        <f t="shared" si="11"/>
        <v>0</v>
      </c>
      <c r="AM73" s="23" t="s">
        <v>1849</v>
      </c>
      <c r="AN73" s="37">
        <f>VLOOKUP(C73,'[2]MARÇO-2024'!$B:$M,12,0)</f>
        <v>55</v>
      </c>
      <c r="AO73" s="37">
        <f t="shared" si="12"/>
        <v>5</v>
      </c>
      <c r="AP73" s="37" t="str">
        <f t="shared" si="13"/>
        <v/>
      </c>
    </row>
    <row r="74" spans="1:42" ht="13.5" customHeight="1" x14ac:dyDescent="0.25">
      <c r="A74" s="17">
        <v>3</v>
      </c>
      <c r="B74" s="17">
        <v>12</v>
      </c>
      <c r="C74" s="29">
        <v>3012</v>
      </c>
      <c r="D74" s="38">
        <v>33129240</v>
      </c>
      <c r="E74" s="18" t="s">
        <v>422</v>
      </c>
      <c r="F74" s="68" t="s">
        <v>643</v>
      </c>
      <c r="G74" s="62" t="s">
        <v>144</v>
      </c>
      <c r="H74" s="19" t="s">
        <v>939</v>
      </c>
      <c r="I74" s="19" t="s">
        <v>1136</v>
      </c>
      <c r="J74" s="19" t="s">
        <v>1312</v>
      </c>
      <c r="K74" s="20" t="s">
        <v>1572</v>
      </c>
      <c r="L74" s="21">
        <v>255</v>
      </c>
      <c r="M74" s="21"/>
      <c r="N74" s="26" t="str">
        <f>IFERROR(VLOOKUP(O74,Apoio!A:B,2,0),"")</f>
        <v/>
      </c>
      <c r="O74" s="22">
        <f>IFERROR(VLOOKUP(C74,'[1]TB DIN'!$B:$D,3,0),"AGUARDANDO ANEXO")</f>
        <v>0</v>
      </c>
      <c r="P74" s="22">
        <f>IFERROR(VLOOKUP(C74,'[1]TB DIN INCLUIDOS'!$B:$H,3,0),"AGUARDANDO ANEXO")</f>
        <v>0</v>
      </c>
      <c r="Q74" s="26" cm="1">
        <f t="array" ref="Q74">_xlfn.IFS((P74&gt;N74),(N74*2),(P74&lt;=N74),(P74*2))</f>
        <v>0</v>
      </c>
      <c r="R74" s="22"/>
      <c r="S74" s="26" t="str">
        <f>IFERROR(VLOOKUP(T74,Apoio!A:B,2,0),"")</f>
        <v/>
      </c>
      <c r="T74" s="22">
        <f>IFERROR(VLOOKUP(C74,'[1]TB DIN'!$B:$H,4,0),"AGUARDANDO ANEXO")</f>
        <v>0</v>
      </c>
      <c r="U74" s="22">
        <f>IFERROR(VLOOKUP(C74,'[1]TB DIN INCLUIDOS'!$B:$H,4,0),"AGUARDANDO ANEXO")</f>
        <v>0</v>
      </c>
      <c r="V74" s="26" cm="1">
        <f t="array" ref="V74">_xlfn.IFS((U74&gt;S74),(S74*2),(U74&lt;=S74),(U74*2))</f>
        <v>0</v>
      </c>
      <c r="W74" s="22"/>
      <c r="X74" s="26">
        <f>IFERROR(VLOOKUP(Y74,Apoio!A:B,2,0),"")</f>
        <v>6</v>
      </c>
      <c r="Y74" s="22">
        <f>IFERROR(VLOOKUP(C74,'[1]TB DIN'!$B:$H,5,0),"AGUARDANDO ANEXO")</f>
        <v>135</v>
      </c>
      <c r="Z74" s="22">
        <f>IFERROR(VLOOKUP(C74,'[1]TB DIN INCLUIDOS'!$B:$H,5,0),"AGUARDANDO ANEXO")</f>
        <v>0</v>
      </c>
      <c r="AA74" s="26" cm="1">
        <f t="array" ref="AA74">_xlfn.IFS((Z74&gt;X74),(X74*2),(Z74&lt;=X74),(Z74*2))</f>
        <v>0</v>
      </c>
      <c r="AB74" s="22"/>
      <c r="AC74" s="26">
        <f>IFERROR(VLOOKUP(AD74,Apoio!A:B,2,0),"")</f>
        <v>5</v>
      </c>
      <c r="AD74" s="22">
        <f>IFERROR(VLOOKUP(C74,'[1]TB DIN'!$B:$H,6,0),"AGUARDANDO ANEXO")</f>
        <v>120</v>
      </c>
      <c r="AE74" s="22">
        <f>IFERROR(VLOOKUP(C74,'[1]TB DIN INCLUIDOS'!$B:$H,6,0),"AGUARDANDO ANEXO")</f>
        <v>0</v>
      </c>
      <c r="AF74" s="26" cm="1">
        <f t="array" ref="AF74">_xlfn.IFS((AE74&gt;AC74),(AC74*2),(AE74&lt;=AC74),(AE74*2))</f>
        <v>0</v>
      </c>
      <c r="AG74" s="22"/>
      <c r="AH74" s="28">
        <f t="shared" si="7"/>
        <v>255</v>
      </c>
      <c r="AI74" s="28">
        <f t="shared" si="8"/>
        <v>0</v>
      </c>
      <c r="AJ74" s="28">
        <f t="shared" si="9"/>
        <v>0</v>
      </c>
      <c r="AK74" s="28">
        <f t="shared" si="10"/>
        <v>0</v>
      </c>
      <c r="AL74" s="28">
        <f t="shared" si="11"/>
        <v>0</v>
      </c>
      <c r="AM74" s="23" t="s">
        <v>1707</v>
      </c>
      <c r="AN74" s="37">
        <f>VLOOKUP(C74,'[2]MARÇO-2024'!$B:$M,12,0)</f>
        <v>255</v>
      </c>
      <c r="AO74" s="37">
        <f t="shared" si="12"/>
        <v>0</v>
      </c>
      <c r="AP74" s="37" t="str">
        <f t="shared" si="13"/>
        <v/>
      </c>
    </row>
    <row r="75" spans="1:42" ht="13.5" customHeight="1" x14ac:dyDescent="0.25">
      <c r="A75" s="17">
        <v>3</v>
      </c>
      <c r="B75" s="17">
        <v>13</v>
      </c>
      <c r="C75" s="29">
        <v>3013</v>
      </c>
      <c r="D75" s="38">
        <v>33172021</v>
      </c>
      <c r="E75" s="18" t="s">
        <v>359</v>
      </c>
      <c r="F75" s="68" t="s">
        <v>641</v>
      </c>
      <c r="G75" s="62" t="s">
        <v>1860</v>
      </c>
      <c r="H75" s="19" t="s">
        <v>937</v>
      </c>
      <c r="I75" s="19" t="s">
        <v>1164</v>
      </c>
      <c r="J75" s="19" t="s">
        <v>1310</v>
      </c>
      <c r="K75" s="20" t="s">
        <v>1564</v>
      </c>
      <c r="L75" s="21">
        <v>231</v>
      </c>
      <c r="M75" s="21"/>
      <c r="N75" s="26" t="str">
        <f>IFERROR(VLOOKUP(O75,Apoio!A:B,2,0),"")</f>
        <v/>
      </c>
      <c r="O75" s="22">
        <f>IFERROR(VLOOKUP(C75,'[1]TB DIN'!$B:$D,3,0),"AGUARDANDO ANEXO")</f>
        <v>0</v>
      </c>
      <c r="P75" s="22">
        <f>IFERROR(VLOOKUP(C75,'[1]TB DIN INCLUIDOS'!$B:$H,3,0),"AGUARDANDO ANEXO")</f>
        <v>0</v>
      </c>
      <c r="Q75" s="26" cm="1">
        <f t="array" ref="Q75">_xlfn.IFS((P75&gt;N75),(N75*2),(P75&lt;=N75),(P75*2))</f>
        <v>0</v>
      </c>
      <c r="R75" s="22"/>
      <c r="S75" s="26">
        <f>IFERROR(VLOOKUP(T75,Apoio!A:B,2,0),"")</f>
        <v>3</v>
      </c>
      <c r="T75" s="22">
        <f>IFERROR(VLOOKUP(C75,'[1]TB DIN'!$B:$H,4,0),"AGUARDANDO ANEXO")</f>
        <v>55</v>
      </c>
      <c r="U75" s="22">
        <f>IFERROR(VLOOKUP(C75,'[1]TB DIN INCLUIDOS'!$B:$H,4,0),"AGUARDANDO ANEXO")</f>
        <v>0</v>
      </c>
      <c r="V75" s="26" cm="1">
        <f t="array" ref="V75">_xlfn.IFS((U75&gt;S75),(S75*2),(U75&lt;=S75),(U75*2))</f>
        <v>0</v>
      </c>
      <c r="W75" s="22"/>
      <c r="X75" s="26">
        <f>IFERROR(VLOOKUP(Y75,Apoio!A:B,2,0),"")</f>
        <v>4</v>
      </c>
      <c r="Y75" s="22">
        <f>IFERROR(VLOOKUP(C75,'[1]TB DIN'!$B:$H,5,0),"AGUARDANDO ANEXO")</f>
        <v>95</v>
      </c>
      <c r="Z75" s="22">
        <f>IFERROR(VLOOKUP(C75,'[1]TB DIN INCLUIDOS'!$B:$H,5,0),"AGUARDANDO ANEXO")</f>
        <v>0</v>
      </c>
      <c r="AA75" s="26" cm="1">
        <f t="array" ref="AA75">_xlfn.IFS((Z75&gt;X75),(X75*2),(Z75&lt;=X75),(Z75*2))</f>
        <v>0</v>
      </c>
      <c r="AB75" s="22"/>
      <c r="AC75" s="26">
        <f>IFERROR(VLOOKUP(AD75,Apoio!A:B,2,0),"")</f>
        <v>4</v>
      </c>
      <c r="AD75" s="22">
        <f>IFERROR(VLOOKUP(C75,'[1]TB DIN'!$B:$H,6,0),"AGUARDANDO ANEXO")</f>
        <v>80</v>
      </c>
      <c r="AE75" s="22">
        <f>IFERROR(VLOOKUP(C75,'[1]TB DIN INCLUIDOS'!$B:$H,6,0),"AGUARDANDO ANEXO")</f>
        <v>1</v>
      </c>
      <c r="AF75" s="26" cm="1">
        <f t="array" ref="AF75">_xlfn.IFS((AE75&gt;AC75),(AC75*2),(AE75&lt;=AC75),(AE75*2))</f>
        <v>2</v>
      </c>
      <c r="AG75" s="22"/>
      <c r="AH75" s="28">
        <f t="shared" si="7"/>
        <v>230</v>
      </c>
      <c r="AI75" s="28">
        <f t="shared" si="8"/>
        <v>1</v>
      </c>
      <c r="AJ75" s="28">
        <f t="shared" si="9"/>
        <v>2</v>
      </c>
      <c r="AK75" s="28">
        <f t="shared" si="10"/>
        <v>0</v>
      </c>
      <c r="AL75" s="28">
        <f t="shared" si="11"/>
        <v>-1</v>
      </c>
      <c r="AM75" s="23" t="s">
        <v>1707</v>
      </c>
      <c r="AN75" s="37">
        <f>VLOOKUP(C75,'[2]MARÇO-2024'!$B:$M,12,0)</f>
        <v>229</v>
      </c>
      <c r="AO75" s="37">
        <f t="shared" si="12"/>
        <v>-1</v>
      </c>
      <c r="AP75" s="37" t="str">
        <f t="shared" si="13"/>
        <v/>
      </c>
    </row>
    <row r="76" spans="1:42" ht="13.5" customHeight="1" x14ac:dyDescent="0.25">
      <c r="A76" s="17">
        <v>3</v>
      </c>
      <c r="B76" s="17">
        <v>14</v>
      </c>
      <c r="C76" s="29">
        <v>3014</v>
      </c>
      <c r="D76" s="38">
        <v>33114528</v>
      </c>
      <c r="E76" s="18" t="s">
        <v>408</v>
      </c>
      <c r="F76" s="68" t="s">
        <v>645</v>
      </c>
      <c r="G76" s="66" t="s">
        <v>146</v>
      </c>
      <c r="H76" s="19" t="s">
        <v>941</v>
      </c>
      <c r="I76" s="19" t="s">
        <v>1152</v>
      </c>
      <c r="J76" s="19" t="s">
        <v>1314</v>
      </c>
      <c r="K76" s="20" t="s">
        <v>1573</v>
      </c>
      <c r="L76" s="21">
        <v>180</v>
      </c>
      <c r="M76" s="21"/>
      <c r="N76" s="26">
        <f>IFERROR(VLOOKUP(O76,Apoio!A:B,2,0),"")</f>
        <v>1</v>
      </c>
      <c r="O76" s="22">
        <v>1</v>
      </c>
      <c r="P76" s="22">
        <f>IFERROR(VLOOKUP(C76,'[1]TB DIN INCLUIDOS'!$B:$H,3,0),"AGUARDANDO ANEXO")</f>
        <v>0</v>
      </c>
      <c r="Q76" s="26" cm="1">
        <f t="array" ref="Q76">_xlfn.IFS((P76&gt;N76),(N76*2),(P76&lt;=N76),(P76*2))</f>
        <v>0</v>
      </c>
      <c r="R76" s="22"/>
      <c r="S76" s="26">
        <f>IFERROR(VLOOKUP(T76,Apoio!A:B,2,0),"")</f>
        <v>2</v>
      </c>
      <c r="T76" s="22">
        <v>34</v>
      </c>
      <c r="U76" s="22">
        <f>IFERROR(VLOOKUP(C76,'[1]TB DIN INCLUIDOS'!$B:$H,4,0),"AGUARDANDO ANEXO")</f>
        <v>1</v>
      </c>
      <c r="V76" s="26" cm="1">
        <f t="array" ref="V76">_xlfn.IFS((U76&gt;S76),(S76*2),(U76&lt;=S76),(U76*2))</f>
        <v>2</v>
      </c>
      <c r="W76" s="22"/>
      <c r="X76" s="26">
        <f>IFERROR(VLOOKUP(Y76,Apoio!A:B,2,0),"")</f>
        <v>3</v>
      </c>
      <c r="Y76" s="22">
        <v>70</v>
      </c>
      <c r="Z76" s="22">
        <f>IFERROR(VLOOKUP(C76,'[1]TB DIN INCLUIDOS'!$B:$H,5,0),"AGUARDANDO ANEXO")</f>
        <v>3</v>
      </c>
      <c r="AA76" s="26" cm="1">
        <f t="array" ref="AA76">_xlfn.IFS((Z76&gt;X76),(X76*2),(Z76&lt;=X76),(Z76*2))</f>
        <v>6</v>
      </c>
      <c r="AB76" s="22"/>
      <c r="AC76" s="26">
        <f>IFERROR(VLOOKUP(AD76,Apoio!A:B,2,0),"")</f>
        <v>3</v>
      </c>
      <c r="AD76" s="22">
        <v>63</v>
      </c>
      <c r="AE76" s="22">
        <f>IFERROR(VLOOKUP(C76,'[1]TB DIN INCLUIDOS'!$B:$H,6,0),"AGUARDANDO ANEXO")</f>
        <v>8</v>
      </c>
      <c r="AF76" s="26" cm="1">
        <f t="array" ref="AF76">_xlfn.IFS((AE76&gt;AC76),(AC76*2),(AE76&lt;=AC76),(AE76*2))</f>
        <v>6</v>
      </c>
      <c r="AG76" s="22"/>
      <c r="AH76" s="28">
        <f t="shared" si="7"/>
        <v>168</v>
      </c>
      <c r="AI76" s="28">
        <f t="shared" si="8"/>
        <v>12</v>
      </c>
      <c r="AJ76" s="28">
        <f t="shared" si="9"/>
        <v>14</v>
      </c>
      <c r="AK76" s="28">
        <f t="shared" si="10"/>
        <v>0</v>
      </c>
      <c r="AL76" s="28">
        <f t="shared" si="11"/>
        <v>-2</v>
      </c>
      <c r="AM76" s="23" t="s">
        <v>1707</v>
      </c>
      <c r="AN76" s="37">
        <f>VLOOKUP(C76,'[2]MARÇO-2024'!$B:$M,12,0)</f>
        <v>167</v>
      </c>
      <c r="AO76" s="37">
        <f t="shared" si="12"/>
        <v>-1</v>
      </c>
      <c r="AP76" s="37" t="str">
        <f t="shared" si="13"/>
        <v/>
      </c>
    </row>
    <row r="77" spans="1:42" ht="13.5" customHeight="1" x14ac:dyDescent="0.25">
      <c r="A77" s="17">
        <v>3</v>
      </c>
      <c r="B77" s="17">
        <v>15</v>
      </c>
      <c r="C77" s="29">
        <v>3015</v>
      </c>
      <c r="D77" s="38">
        <v>33124728</v>
      </c>
      <c r="E77" s="18" t="s">
        <v>423</v>
      </c>
      <c r="F77" s="68" t="s">
        <v>644</v>
      </c>
      <c r="G77" s="66" t="s">
        <v>145</v>
      </c>
      <c r="H77" s="19" t="s">
        <v>940</v>
      </c>
      <c r="I77" s="19" t="s">
        <v>1165</v>
      </c>
      <c r="J77" s="19" t="s">
        <v>1313</v>
      </c>
      <c r="K77" s="20" t="s">
        <v>1561</v>
      </c>
      <c r="L77" s="21">
        <v>75</v>
      </c>
      <c r="M77" s="21"/>
      <c r="N77" s="26" t="str">
        <f>IFERROR(VLOOKUP(O77,Apoio!A:B,2,0),"")</f>
        <v/>
      </c>
      <c r="O77" s="22">
        <f>IFERROR(VLOOKUP(C77,'[1]TB DIN'!$B:$D,3,0),"AGUARDANDO ANEXO")</f>
        <v>0</v>
      </c>
      <c r="P77" s="22">
        <f>IFERROR(VLOOKUP(C77,'[1]TB DIN INCLUIDOS'!$B:$H,3,0),"AGUARDANDO ANEXO")</f>
        <v>0</v>
      </c>
      <c r="Q77" s="26" cm="1">
        <f t="array" ref="Q77">_xlfn.IFS((P77&gt;N77),(N77*2),(P77&lt;=N77),(P77*2))</f>
        <v>0</v>
      </c>
      <c r="R77" s="22"/>
      <c r="S77" s="26">
        <f>IFERROR(VLOOKUP(T77,Apoio!A:B,2,0),"")</f>
        <v>1</v>
      </c>
      <c r="T77" s="22">
        <v>25</v>
      </c>
      <c r="U77" s="22">
        <f>IFERROR(VLOOKUP(C77,'[1]TB DIN INCLUIDOS'!$B:$H,4,0),"AGUARDANDO ANEXO")</f>
        <v>0</v>
      </c>
      <c r="V77" s="26" cm="1">
        <f t="array" ref="V77">_xlfn.IFS((U77&gt;S77),(S77*2),(U77&lt;=S77),(U77*2))</f>
        <v>0</v>
      </c>
      <c r="W77" s="22"/>
      <c r="X77" s="26">
        <f>IFERROR(VLOOKUP(Y77,Apoio!A:B,2,0),"")</f>
        <v>1</v>
      </c>
      <c r="Y77" s="22">
        <v>20</v>
      </c>
      <c r="Z77" s="22">
        <f>IFERROR(VLOOKUP(C77,'[1]TB DIN INCLUIDOS'!$B:$H,5,0),"AGUARDANDO ANEXO")</f>
        <v>0</v>
      </c>
      <c r="AA77" s="26" cm="1">
        <f t="array" ref="AA77">_xlfn.IFS((Z77&gt;X77),(X77*2),(Z77&lt;=X77),(Z77*2))</f>
        <v>0</v>
      </c>
      <c r="AB77" s="22"/>
      <c r="AC77" s="26">
        <f>IFERROR(VLOOKUP(AD77,Apoio!A:B,2,0),"")</f>
        <v>1</v>
      </c>
      <c r="AD77" s="22">
        <v>20</v>
      </c>
      <c r="AE77" s="22">
        <f>IFERROR(VLOOKUP(C77,'[1]TB DIN INCLUIDOS'!$B:$H,6,0),"AGUARDANDO ANEXO")</f>
        <v>0</v>
      </c>
      <c r="AF77" s="26" cm="1">
        <f t="array" ref="AF77">_xlfn.IFS((AE77&gt;AC77),(AC77*2),(AE77&lt;=AC77),(AE77*2))</f>
        <v>0</v>
      </c>
      <c r="AG77" s="22"/>
      <c r="AH77" s="28">
        <f t="shared" si="7"/>
        <v>65</v>
      </c>
      <c r="AI77" s="28">
        <f t="shared" si="8"/>
        <v>0</v>
      </c>
      <c r="AJ77" s="28">
        <f t="shared" si="9"/>
        <v>0</v>
      </c>
      <c r="AK77" s="28">
        <f t="shared" si="10"/>
        <v>10</v>
      </c>
      <c r="AL77" s="28">
        <f t="shared" si="11"/>
        <v>0</v>
      </c>
      <c r="AM77" s="23" t="s">
        <v>1707</v>
      </c>
      <c r="AN77" s="37">
        <f>VLOOKUP(C77,'[2]MARÇO-2024'!$B:$M,12,0)</f>
        <v>68</v>
      </c>
      <c r="AO77" s="37">
        <f t="shared" si="12"/>
        <v>3</v>
      </c>
      <c r="AP77" s="37" t="str">
        <f t="shared" si="13"/>
        <v/>
      </c>
    </row>
    <row r="78" spans="1:42" ht="13.5" customHeight="1" x14ac:dyDescent="0.25">
      <c r="A78" s="17">
        <v>3</v>
      </c>
      <c r="B78" s="17">
        <v>16</v>
      </c>
      <c r="C78" s="29">
        <v>3016</v>
      </c>
      <c r="D78" s="38">
        <v>33095264</v>
      </c>
      <c r="E78" s="18" t="s">
        <v>425</v>
      </c>
      <c r="F78" s="68" t="s">
        <v>647</v>
      </c>
      <c r="G78" s="66" t="s">
        <v>148</v>
      </c>
      <c r="H78" s="19" t="s">
        <v>943</v>
      </c>
      <c r="I78" s="19" t="s">
        <v>1167</v>
      </c>
      <c r="J78" s="19" t="s">
        <v>1316</v>
      </c>
      <c r="K78" s="20" t="s">
        <v>1570</v>
      </c>
      <c r="L78" s="21">
        <v>100</v>
      </c>
      <c r="M78" s="21"/>
      <c r="N78" s="26" t="str">
        <f>IFERROR(VLOOKUP(O78,Apoio!A:B,2,0),"")</f>
        <v/>
      </c>
      <c r="O78" s="22">
        <f>IFERROR(VLOOKUP(C78,'[1]TB DIN'!$B:$D,3,0),"AGUARDANDO ANEXO")</f>
        <v>0</v>
      </c>
      <c r="P78" s="22">
        <f>IFERROR(VLOOKUP(C78,'[1]TB DIN INCLUIDOS'!$B:$H,3,0),"AGUARDANDO ANEXO")</f>
        <v>0</v>
      </c>
      <c r="Q78" s="26" cm="1">
        <f t="array" ref="Q78">_xlfn.IFS((P78&gt;N78),(N78*2),(P78&lt;=N78),(P78*2))</f>
        <v>0</v>
      </c>
      <c r="R78" s="22"/>
      <c r="S78" s="26">
        <f>IFERROR(VLOOKUP(T78,Apoio!A:B,2,0),"")</f>
        <v>2</v>
      </c>
      <c r="T78" s="22">
        <v>28</v>
      </c>
      <c r="U78" s="22">
        <f>IFERROR(VLOOKUP(C78,'[1]TB DIN INCLUIDOS'!$B:$H,4,0),"AGUARDANDO ANEXO")</f>
        <v>0</v>
      </c>
      <c r="V78" s="26" cm="1">
        <f t="array" ref="V78">_xlfn.IFS((U78&gt;S78),(S78*2),(U78&lt;=S78),(U78*2))</f>
        <v>0</v>
      </c>
      <c r="W78" s="22"/>
      <c r="X78" s="26">
        <f>IFERROR(VLOOKUP(Y78,Apoio!A:B,2,0),"")</f>
        <v>2</v>
      </c>
      <c r="Y78" s="22">
        <v>31</v>
      </c>
      <c r="Z78" s="22">
        <f>IFERROR(VLOOKUP(C78,'[1]TB DIN INCLUIDOS'!$B:$H,5,0),"AGUARDANDO ANEXO")</f>
        <v>0</v>
      </c>
      <c r="AA78" s="26" cm="1">
        <f t="array" ref="AA78">_xlfn.IFS((Z78&gt;X78),(X78*2),(Z78&lt;=X78),(Z78*2))</f>
        <v>0</v>
      </c>
      <c r="AB78" s="22"/>
      <c r="AC78" s="26">
        <f>IFERROR(VLOOKUP(AD78,Apoio!A:B,2,0),"")</f>
        <v>2</v>
      </c>
      <c r="AD78" s="22">
        <f>IFERROR(VLOOKUP(C78,'[1]TB DIN'!$B:$H,6,0),"AGUARDANDO ANEXO")</f>
        <v>32</v>
      </c>
      <c r="AE78" s="22">
        <f>IFERROR(VLOOKUP(C78,'[1]TB DIN INCLUIDOS'!$B:$H,6,0),"AGUARDANDO ANEXO")</f>
        <v>1</v>
      </c>
      <c r="AF78" s="26" cm="1">
        <f t="array" ref="AF78">_xlfn.IFS((AE78&gt;AC78),(AC78*2),(AE78&lt;=AC78),(AE78*2))</f>
        <v>2</v>
      </c>
      <c r="AG78" s="22"/>
      <c r="AH78" s="28">
        <f t="shared" si="7"/>
        <v>91</v>
      </c>
      <c r="AI78" s="28">
        <f t="shared" si="8"/>
        <v>1</v>
      </c>
      <c r="AJ78" s="28">
        <f t="shared" si="9"/>
        <v>2</v>
      </c>
      <c r="AK78" s="28">
        <f t="shared" si="10"/>
        <v>7</v>
      </c>
      <c r="AL78" s="28">
        <f t="shared" si="11"/>
        <v>0</v>
      </c>
      <c r="AM78" s="23" t="s">
        <v>1707</v>
      </c>
      <c r="AN78" s="37">
        <f>VLOOKUP(C78,'[2]MARÇO-2024'!$B:$M,12,0)</f>
        <v>90</v>
      </c>
      <c r="AO78" s="37">
        <f t="shared" si="12"/>
        <v>-1</v>
      </c>
      <c r="AP78" s="37" t="str">
        <f t="shared" si="13"/>
        <v/>
      </c>
    </row>
    <row r="79" spans="1:42" ht="13.5" customHeight="1" x14ac:dyDescent="0.25">
      <c r="A79" s="17">
        <v>3</v>
      </c>
      <c r="B79" s="17">
        <v>17</v>
      </c>
      <c r="C79" s="29">
        <v>3017</v>
      </c>
      <c r="D79" s="38">
        <v>33127786</v>
      </c>
      <c r="E79" s="18" t="s">
        <v>417</v>
      </c>
      <c r="F79" s="68" t="s">
        <v>648</v>
      </c>
      <c r="G79" s="62" t="s">
        <v>149</v>
      </c>
      <c r="H79" s="19" t="s">
        <v>944</v>
      </c>
      <c r="I79" s="19" t="s">
        <v>1160</v>
      </c>
      <c r="J79" s="19" t="s">
        <v>1317</v>
      </c>
      <c r="K79" s="20" t="s">
        <v>1569</v>
      </c>
      <c r="L79" s="21">
        <v>45</v>
      </c>
      <c r="M79" s="21"/>
      <c r="N79" s="26" t="str">
        <f>IFERROR(VLOOKUP(O79,Apoio!A:B,2,0),"")</f>
        <v/>
      </c>
      <c r="O79" s="22">
        <f>IFERROR(VLOOKUP(C79,'[1]TB DIN'!$B:$D,3,0),"AGUARDANDO ANEXO")</f>
        <v>0</v>
      </c>
      <c r="P79" s="22">
        <f>IFERROR(VLOOKUP(C79,'[1]TB DIN INCLUIDOS'!$B:$H,3,0),"AGUARDANDO ANEXO")</f>
        <v>0</v>
      </c>
      <c r="Q79" s="26" cm="1">
        <f t="array" ref="Q79">_xlfn.IFS((P79&gt;N79),(N79*2),(P79&lt;=N79),(P79*2))</f>
        <v>0</v>
      </c>
      <c r="R79" s="22"/>
      <c r="S79" s="26" t="str">
        <f>IFERROR(VLOOKUP(T79,Apoio!A:B,2,0),"")</f>
        <v/>
      </c>
      <c r="T79" s="22">
        <f>IFERROR(VLOOKUP(C79,'[1]TB DIN'!$B:$H,4,0),"AGUARDANDO ANEXO")</f>
        <v>0</v>
      </c>
      <c r="U79" s="22">
        <f>IFERROR(VLOOKUP(C79,'[1]TB DIN INCLUIDOS'!$B:$H,4,0),"AGUARDANDO ANEXO")</f>
        <v>0</v>
      </c>
      <c r="V79" s="26" cm="1">
        <f t="array" ref="V79">_xlfn.IFS((U79&gt;S79),(S79*2),(U79&lt;=S79),(U79*2))</f>
        <v>0</v>
      </c>
      <c r="W79" s="22"/>
      <c r="X79" s="26">
        <f>IFERROR(VLOOKUP(Y79,Apoio!A:B,2,0),"")</f>
        <v>1</v>
      </c>
      <c r="Y79" s="22">
        <f>IFERROR(VLOOKUP(C79,'[1]TB DIN'!$B:$H,5,0),"AGUARDANDO ANEXO")</f>
        <v>23</v>
      </c>
      <c r="Z79" s="22">
        <f>IFERROR(VLOOKUP(C79,'[1]TB DIN INCLUIDOS'!$B:$H,5,0),"AGUARDANDO ANEXO")</f>
        <v>0</v>
      </c>
      <c r="AA79" s="26" cm="1">
        <f t="array" ref="AA79">_xlfn.IFS((Z79&gt;X79),(X79*2),(Z79&lt;=X79),(Z79*2))</f>
        <v>0</v>
      </c>
      <c r="AB79" s="22"/>
      <c r="AC79" s="26">
        <f>IFERROR(VLOOKUP(AD79,Apoio!A:B,2,0),"")</f>
        <v>1</v>
      </c>
      <c r="AD79" s="22">
        <v>16</v>
      </c>
      <c r="AE79" s="22">
        <f>IFERROR(VLOOKUP(C79,'[1]TB DIN INCLUIDOS'!$B:$H,6,0),"AGUARDANDO ANEXO")</f>
        <v>0</v>
      </c>
      <c r="AF79" s="26" cm="1">
        <f t="array" ref="AF79">_xlfn.IFS((AE79&gt;AC79),(AC79*2),(AE79&lt;=AC79),(AE79*2))</f>
        <v>0</v>
      </c>
      <c r="AG79" s="22"/>
      <c r="AH79" s="28">
        <f t="shared" si="7"/>
        <v>39</v>
      </c>
      <c r="AI79" s="28">
        <f t="shared" si="8"/>
        <v>0</v>
      </c>
      <c r="AJ79" s="28">
        <f t="shared" si="9"/>
        <v>0</v>
      </c>
      <c r="AK79" s="28">
        <f t="shared" si="10"/>
        <v>6</v>
      </c>
      <c r="AL79" s="28">
        <f t="shared" si="11"/>
        <v>0</v>
      </c>
      <c r="AM79" s="23" t="s">
        <v>1707</v>
      </c>
      <c r="AN79" s="37">
        <f>VLOOKUP(C79,'[2]MARÇO-2024'!$B:$M,12,0)</f>
        <v>38</v>
      </c>
      <c r="AO79" s="37">
        <f t="shared" si="12"/>
        <v>-1</v>
      </c>
      <c r="AP79" s="37" t="str">
        <f t="shared" si="13"/>
        <v/>
      </c>
    </row>
    <row r="80" spans="1:42" ht="13.5" customHeight="1" x14ac:dyDescent="0.25">
      <c r="A80" s="17">
        <v>3</v>
      </c>
      <c r="B80" s="17">
        <v>18</v>
      </c>
      <c r="C80" s="29">
        <v>3018</v>
      </c>
      <c r="D80" s="38">
        <v>33123217</v>
      </c>
      <c r="E80" s="18" t="s">
        <v>428</v>
      </c>
      <c r="F80" s="68" t="s">
        <v>652</v>
      </c>
      <c r="G80" s="62" t="s">
        <v>153</v>
      </c>
      <c r="H80" s="19" t="s">
        <v>948</v>
      </c>
      <c r="I80" s="19" t="s">
        <v>948</v>
      </c>
      <c r="J80" s="19" t="s">
        <v>1321</v>
      </c>
      <c r="K80" s="20" t="s">
        <v>1576</v>
      </c>
      <c r="L80" s="21">
        <v>47</v>
      </c>
      <c r="M80" s="21"/>
      <c r="N80" s="26" t="str">
        <f>IFERROR(VLOOKUP(O80,Apoio!A:B,2,0),"")</f>
        <v/>
      </c>
      <c r="O80" s="22">
        <f>IFERROR(VLOOKUP(C80,'[1]TB DIN'!$B:$D,3,0),"AGUARDANDO ANEXO")</f>
        <v>0</v>
      </c>
      <c r="P80" s="22">
        <f>IFERROR(VLOOKUP(C80,'[1]TB DIN INCLUIDOS'!$B:$H,3,0),"AGUARDANDO ANEXO")</f>
        <v>0</v>
      </c>
      <c r="Q80" s="26" cm="1">
        <f t="array" ref="Q80">_xlfn.IFS((P80&gt;N80),(N80*2),(P80&lt;=N80),(P80*2))</f>
        <v>0</v>
      </c>
      <c r="R80" s="22"/>
      <c r="S80" s="26" t="str">
        <f>IFERROR(VLOOKUP(T80,Apoio!A:B,2,0),"")</f>
        <v/>
      </c>
      <c r="T80" s="22">
        <f>IFERROR(VLOOKUP(C80,'[1]TB DIN'!$B:$H,4,0),"AGUARDANDO ANEXO")</f>
        <v>0</v>
      </c>
      <c r="U80" s="22">
        <f>IFERROR(VLOOKUP(C80,'[1]TB DIN INCLUIDOS'!$B:$H,4,0),"AGUARDANDO ANEXO")</f>
        <v>0</v>
      </c>
      <c r="V80" s="26" cm="1">
        <f t="array" ref="V80">_xlfn.IFS((U80&gt;S80),(S80*2),(U80&lt;=S80),(U80*2))</f>
        <v>0</v>
      </c>
      <c r="W80" s="22"/>
      <c r="X80" s="26">
        <f>IFERROR(VLOOKUP(Y80,Apoio!A:B,2,0),"")</f>
        <v>1</v>
      </c>
      <c r="Y80" s="22">
        <f>IFERROR(VLOOKUP(C80,'[1]TB DIN'!$B:$H,5,0),"AGUARDANDO ANEXO")</f>
        <v>23</v>
      </c>
      <c r="Z80" s="22">
        <f>IFERROR(VLOOKUP(C80,'[1]TB DIN INCLUIDOS'!$B:$H,5,0),"AGUARDANDO ANEXO")</f>
        <v>1</v>
      </c>
      <c r="AA80" s="26" cm="1">
        <f t="array" ref="AA80">_xlfn.IFS((Z80&gt;X80),(X80*2),(Z80&lt;=X80),(Z80*2))</f>
        <v>2</v>
      </c>
      <c r="AB80" s="22"/>
      <c r="AC80" s="26">
        <f>IFERROR(VLOOKUP(AD80,Apoio!A:B,2,0),"")</f>
        <v>1</v>
      </c>
      <c r="AD80" s="22">
        <f>IFERROR(VLOOKUP(C80,'[1]TB DIN'!$B:$H,6,0),"AGUARDANDO ANEXO")</f>
        <v>22</v>
      </c>
      <c r="AE80" s="22">
        <f>IFERROR(VLOOKUP(C80,'[1]TB DIN INCLUIDOS'!$B:$H,6,0),"AGUARDANDO ANEXO")</f>
        <v>1</v>
      </c>
      <c r="AF80" s="26" cm="1">
        <f t="array" ref="AF80">_xlfn.IFS((AE80&gt;AC80),(AC80*2),(AE80&lt;=AC80),(AE80*2))</f>
        <v>2</v>
      </c>
      <c r="AG80" s="22"/>
      <c r="AH80" s="28">
        <f t="shared" si="7"/>
        <v>45</v>
      </c>
      <c r="AI80" s="28">
        <f t="shared" si="8"/>
        <v>2</v>
      </c>
      <c r="AJ80" s="28">
        <f t="shared" si="9"/>
        <v>4</v>
      </c>
      <c r="AK80" s="28">
        <f t="shared" si="10"/>
        <v>0</v>
      </c>
      <c r="AL80" s="28">
        <f t="shared" si="11"/>
        <v>-2</v>
      </c>
      <c r="AM80" s="23" t="s">
        <v>1707</v>
      </c>
      <c r="AN80" s="37">
        <f>VLOOKUP(C80,'[2]MARÇO-2024'!$B:$M,12,0)</f>
        <v>45</v>
      </c>
      <c r="AO80" s="37">
        <f t="shared" si="12"/>
        <v>0</v>
      </c>
      <c r="AP80" s="37" t="str">
        <f t="shared" si="13"/>
        <v/>
      </c>
    </row>
    <row r="81" spans="1:42" ht="13.5" customHeight="1" x14ac:dyDescent="0.25">
      <c r="A81" s="17">
        <v>3</v>
      </c>
      <c r="B81" s="17">
        <v>19</v>
      </c>
      <c r="C81" s="29">
        <v>3019</v>
      </c>
      <c r="D81" s="38">
        <v>33168768</v>
      </c>
      <c r="E81" s="18" t="s">
        <v>430</v>
      </c>
      <c r="F81" s="68" t="s">
        <v>654</v>
      </c>
      <c r="G81" s="62" t="s">
        <v>155</v>
      </c>
      <c r="H81" s="19" t="s">
        <v>950</v>
      </c>
      <c r="I81" s="19" t="s">
        <v>1170</v>
      </c>
      <c r="J81" s="19" t="s">
        <v>1323</v>
      </c>
      <c r="K81" s="20" t="s">
        <v>1570</v>
      </c>
      <c r="L81" s="21">
        <v>85</v>
      </c>
      <c r="M81" s="21"/>
      <c r="N81" s="26" t="str">
        <f>IFERROR(VLOOKUP(O81,Apoio!A:B,2,0),"")</f>
        <v/>
      </c>
      <c r="O81" s="22">
        <f>IFERROR(VLOOKUP(C81,'[1]TB DIN'!$B:$D,3,0),"AGUARDANDO ANEXO")</f>
        <v>0</v>
      </c>
      <c r="P81" s="22">
        <f>IFERROR(VLOOKUP(C81,'[1]TB DIN INCLUIDOS'!$B:$H,3,0),"AGUARDANDO ANEXO")</f>
        <v>0</v>
      </c>
      <c r="Q81" s="26" cm="1">
        <f t="array" ref="Q81">_xlfn.IFS((P81&gt;N81),(N81*2),(P81&lt;=N81),(P81*2))</f>
        <v>0</v>
      </c>
      <c r="R81" s="22"/>
      <c r="S81" s="26">
        <f>IFERROR(VLOOKUP(T81,Apoio!A:B,2,0),"")</f>
        <v>1</v>
      </c>
      <c r="T81" s="22">
        <v>25</v>
      </c>
      <c r="U81" s="22">
        <f>IFERROR(VLOOKUP(C81,'[1]TB DIN INCLUIDOS'!$B:$H,4,0),"AGUARDANDO ANEXO")</f>
        <v>0</v>
      </c>
      <c r="V81" s="26" cm="1">
        <f t="array" ref="V81">_xlfn.IFS((U81&gt;S81),(S81*2),(U81&lt;=S81),(U81*2))</f>
        <v>0</v>
      </c>
      <c r="W81" s="22"/>
      <c r="X81" s="26">
        <f>IFERROR(VLOOKUP(Y81,Apoio!A:B,2,0),"")</f>
        <v>1</v>
      </c>
      <c r="Y81" s="22">
        <f>IFERROR(VLOOKUP(C81,'[1]TB DIN'!$B:$H,5,0),"AGUARDANDO ANEXO")</f>
        <v>24</v>
      </c>
      <c r="Z81" s="22">
        <f>IFERROR(VLOOKUP(C81,'[1]TB DIN INCLUIDOS'!$B:$H,5,0),"AGUARDANDO ANEXO")</f>
        <v>0</v>
      </c>
      <c r="AA81" s="26" cm="1">
        <f t="array" ref="AA81">_xlfn.IFS((Z81&gt;X81),(X81*2),(Z81&lt;=X81),(Z81*2))</f>
        <v>0</v>
      </c>
      <c r="AB81" s="22"/>
      <c r="AC81" s="26">
        <f>IFERROR(VLOOKUP(AD81,Apoio!A:B,2,0),"")</f>
        <v>2</v>
      </c>
      <c r="AD81" s="22">
        <v>36</v>
      </c>
      <c r="AE81" s="22">
        <f>IFERROR(VLOOKUP(C81,'[1]TB DIN INCLUIDOS'!$B:$H,6,0),"AGUARDANDO ANEXO")</f>
        <v>0</v>
      </c>
      <c r="AF81" s="26" cm="1">
        <f t="array" ref="AF81">_xlfn.IFS((AE81&gt;AC81),(AC81*2),(AE81&lt;=AC81),(AE81*2))</f>
        <v>0</v>
      </c>
      <c r="AG81" s="22"/>
      <c r="AH81" s="28">
        <f t="shared" si="7"/>
        <v>85</v>
      </c>
      <c r="AI81" s="28">
        <f t="shared" si="8"/>
        <v>0</v>
      </c>
      <c r="AJ81" s="28">
        <f t="shared" si="9"/>
        <v>0</v>
      </c>
      <c r="AK81" s="28">
        <f t="shared" si="10"/>
        <v>0</v>
      </c>
      <c r="AL81" s="28">
        <f t="shared" si="11"/>
        <v>0</v>
      </c>
      <c r="AM81" s="23" t="s">
        <v>1707</v>
      </c>
      <c r="AN81" s="37">
        <f>VLOOKUP(C81,'[2]MARÇO-2024'!$B:$M,12,0)</f>
        <v>85</v>
      </c>
      <c r="AO81" s="37">
        <f t="shared" si="12"/>
        <v>0</v>
      </c>
      <c r="AP81" s="37" t="str">
        <f t="shared" si="13"/>
        <v/>
      </c>
    </row>
    <row r="82" spans="1:42" ht="13.5" customHeight="1" x14ac:dyDescent="0.25">
      <c r="A82" s="17">
        <v>3</v>
      </c>
      <c r="B82" s="17">
        <v>20</v>
      </c>
      <c r="C82" s="29">
        <v>3020</v>
      </c>
      <c r="D82" s="38">
        <v>33123098</v>
      </c>
      <c r="E82" s="18" t="s">
        <v>432</v>
      </c>
      <c r="F82" s="68" t="s">
        <v>656</v>
      </c>
      <c r="G82" s="66" t="s">
        <v>157</v>
      </c>
      <c r="H82" s="19" t="s">
        <v>952</v>
      </c>
      <c r="I82" s="19" t="s">
        <v>1136</v>
      </c>
      <c r="J82" s="19" t="s">
        <v>1325</v>
      </c>
      <c r="K82" s="20" t="s">
        <v>1566</v>
      </c>
      <c r="L82" s="21">
        <v>125</v>
      </c>
      <c r="M82" s="21"/>
      <c r="N82" s="26" t="str">
        <f>IFERROR(VLOOKUP(O82,Apoio!A:B,2,0),"")</f>
        <v/>
      </c>
      <c r="O82" s="22">
        <f>IFERROR(VLOOKUP(C82,'[1]TB DIN'!$B:$D,3,0),"AGUARDANDO ANEXO")</f>
        <v>0</v>
      </c>
      <c r="P82" s="22">
        <f>IFERROR(VLOOKUP(C82,'[1]TB DIN INCLUIDOS'!$B:$H,3,0),"AGUARDANDO ANEXO")</f>
        <v>0</v>
      </c>
      <c r="Q82" s="26" cm="1">
        <f t="array" ref="Q82">_xlfn.IFS((P82&gt;N82),(N82*2),(P82&lt;=N82),(P82*2))</f>
        <v>0</v>
      </c>
      <c r="R82" s="22"/>
      <c r="S82" s="26" t="str">
        <f>IFERROR(VLOOKUP(T82,Apoio!A:B,2,0),"")</f>
        <v/>
      </c>
      <c r="T82" s="22">
        <f>IFERROR(VLOOKUP(C82,'[1]TB DIN'!$B:$H,4,0),"AGUARDANDO ANEXO")</f>
        <v>0</v>
      </c>
      <c r="U82" s="22">
        <f>IFERROR(VLOOKUP(C82,'[1]TB DIN INCLUIDOS'!$B:$H,4,0),"AGUARDANDO ANEXO")</f>
        <v>0</v>
      </c>
      <c r="V82" s="26" cm="1">
        <f t="array" ref="V82">_xlfn.IFS((U82&gt;S82),(S82*2),(U82&lt;=S82),(U82*2))</f>
        <v>0</v>
      </c>
      <c r="W82" s="22"/>
      <c r="X82" s="26">
        <f>IFERROR(VLOOKUP(Y82,Apoio!A:B,2,0),"")</f>
        <v>2</v>
      </c>
      <c r="Y82" s="22">
        <v>44</v>
      </c>
      <c r="Z82" s="22">
        <f>IFERROR(VLOOKUP(C82,'[1]TB DIN INCLUIDOS'!$B:$H,5,0),"AGUARDANDO ANEXO")</f>
        <v>0</v>
      </c>
      <c r="AA82" s="26" cm="1">
        <f t="array" ref="AA82">_xlfn.IFS((Z82&gt;X82),(X82*2),(Z82&lt;=X82),(Z82*2))</f>
        <v>0</v>
      </c>
      <c r="AB82" s="22"/>
      <c r="AC82" s="26">
        <f>IFERROR(VLOOKUP(AD82,Apoio!A:B,2,0),"")</f>
        <v>3</v>
      </c>
      <c r="AD82" s="22">
        <v>62</v>
      </c>
      <c r="AE82" s="22">
        <v>3</v>
      </c>
      <c r="AF82" s="26" cm="1">
        <f t="array" ref="AF82">_xlfn.IFS((AE82&gt;AC82),(AC82*2),(AE82&lt;=AC82),(AE82*2))</f>
        <v>6</v>
      </c>
      <c r="AG82" s="22"/>
      <c r="AH82" s="28">
        <f t="shared" si="7"/>
        <v>106</v>
      </c>
      <c r="AI82" s="28">
        <f t="shared" si="8"/>
        <v>3</v>
      </c>
      <c r="AJ82" s="28">
        <f t="shared" si="9"/>
        <v>6</v>
      </c>
      <c r="AK82" s="28">
        <f t="shared" si="10"/>
        <v>13</v>
      </c>
      <c r="AL82" s="28">
        <f t="shared" si="11"/>
        <v>0</v>
      </c>
      <c r="AM82" s="23" t="s">
        <v>1707</v>
      </c>
      <c r="AN82" s="37">
        <f>VLOOKUP(C82,'[2]MARÇO-2024'!$B:$M,12,0)</f>
        <v>107</v>
      </c>
      <c r="AO82" s="37">
        <f t="shared" si="12"/>
        <v>1</v>
      </c>
      <c r="AP82" s="37" t="str">
        <f t="shared" si="13"/>
        <v/>
      </c>
    </row>
    <row r="83" spans="1:42" ht="13.5" customHeight="1" x14ac:dyDescent="0.25">
      <c r="A83" s="17">
        <v>3</v>
      </c>
      <c r="B83" s="17">
        <v>21</v>
      </c>
      <c r="C83" s="29">
        <v>3021</v>
      </c>
      <c r="D83" s="38">
        <v>33161399</v>
      </c>
      <c r="E83" s="18" t="s">
        <v>415</v>
      </c>
      <c r="F83" s="68" t="s">
        <v>639</v>
      </c>
      <c r="G83" s="62" t="s">
        <v>140</v>
      </c>
      <c r="H83" s="19" t="s">
        <v>935</v>
      </c>
      <c r="I83" s="19" t="s">
        <v>1163</v>
      </c>
      <c r="J83" s="19" t="s">
        <v>1308</v>
      </c>
      <c r="K83" s="20" t="s">
        <v>1571</v>
      </c>
      <c r="L83" s="21">
        <v>180</v>
      </c>
      <c r="M83" s="21"/>
      <c r="N83" s="26" t="str">
        <f>IFERROR(VLOOKUP(O83,Apoio!A:B,2,0),"")</f>
        <v/>
      </c>
      <c r="O83" s="22">
        <f>IFERROR(VLOOKUP(C83,'[1]TB DIN'!$B:$D,3,0),"AGUARDANDO ANEXO")</f>
        <v>0</v>
      </c>
      <c r="P83" s="22">
        <f>IFERROR(VLOOKUP(C83,'[1]TB DIN INCLUIDOS'!$B:$H,3,0),"AGUARDANDO ANEXO")</f>
        <v>0</v>
      </c>
      <c r="Q83" s="26" cm="1">
        <f t="array" ref="Q83">_xlfn.IFS((P83&gt;N83),(N83*2),(P83&lt;=N83),(P83*2))</f>
        <v>0</v>
      </c>
      <c r="R83" s="22"/>
      <c r="S83" s="26">
        <f>IFERROR(VLOOKUP(T83,Apoio!A:B,2,0),"")</f>
        <v>2</v>
      </c>
      <c r="T83" s="22">
        <f>IFERROR(VLOOKUP(C83,'[1]TB DIN'!$B:$H,4,0),"AGUARDANDO ANEXO")</f>
        <v>50</v>
      </c>
      <c r="U83" s="22">
        <f>IFERROR(VLOOKUP(C83,'[1]TB DIN INCLUIDOS'!$B:$H,4,0),"AGUARDANDO ANEXO")</f>
        <v>1</v>
      </c>
      <c r="V83" s="26" cm="1">
        <f t="array" ref="V83">_xlfn.IFS((U83&gt;S83),(S83*2),(U83&lt;=S83),(U83*2))</f>
        <v>2</v>
      </c>
      <c r="W83" s="22"/>
      <c r="X83" s="26">
        <f>IFERROR(VLOOKUP(Y83,Apoio!A:B,2,0),"")</f>
        <v>3</v>
      </c>
      <c r="Y83" s="22">
        <v>53</v>
      </c>
      <c r="Z83" s="22">
        <f>IFERROR(VLOOKUP(C83,'[1]TB DIN INCLUIDOS'!$B:$H,5,0),"AGUARDANDO ANEXO")</f>
        <v>0</v>
      </c>
      <c r="AA83" s="26" cm="1">
        <f t="array" ref="AA83">_xlfn.IFS((Z83&gt;X83),(X83*2),(Z83&lt;=X83),(Z83*2))</f>
        <v>0</v>
      </c>
      <c r="AB83" s="22"/>
      <c r="AC83" s="26">
        <f>IFERROR(VLOOKUP(AD83,Apoio!A:B,2,0),"")</f>
        <v>3</v>
      </c>
      <c r="AD83" s="22">
        <v>73</v>
      </c>
      <c r="AE83" s="22">
        <f>IFERROR(VLOOKUP(C83,'[1]TB DIN INCLUIDOS'!$B:$H,6,0),"AGUARDANDO ANEXO")</f>
        <v>0</v>
      </c>
      <c r="AF83" s="26" cm="1">
        <f t="array" ref="AF83">_xlfn.IFS((AE83&gt;AC83),(AC83*2),(AE83&lt;=AC83),(AE83*2))</f>
        <v>0</v>
      </c>
      <c r="AG83" s="22"/>
      <c r="AH83" s="28">
        <f t="shared" si="7"/>
        <v>176</v>
      </c>
      <c r="AI83" s="28">
        <f t="shared" si="8"/>
        <v>1</v>
      </c>
      <c r="AJ83" s="28">
        <f t="shared" si="9"/>
        <v>2</v>
      </c>
      <c r="AK83" s="28">
        <f t="shared" si="10"/>
        <v>2</v>
      </c>
      <c r="AL83" s="28">
        <f t="shared" si="11"/>
        <v>0</v>
      </c>
      <c r="AM83" s="23" t="s">
        <v>1707</v>
      </c>
      <c r="AN83" s="37">
        <f>VLOOKUP(C83,'[2]MARÇO-2024'!$B:$M,12,0)</f>
        <v>179</v>
      </c>
      <c r="AO83" s="37">
        <f t="shared" si="12"/>
        <v>3</v>
      </c>
      <c r="AP83" s="37" t="str">
        <f t="shared" si="13"/>
        <v/>
      </c>
    </row>
    <row r="84" spans="1:42" ht="13.5" customHeight="1" x14ac:dyDescent="0.25">
      <c r="A84" s="17">
        <v>3</v>
      </c>
      <c r="B84" s="17">
        <v>22</v>
      </c>
      <c r="C84" s="29">
        <v>3022</v>
      </c>
      <c r="D84" s="38">
        <v>33181853</v>
      </c>
      <c r="E84" s="18" t="s">
        <v>429</v>
      </c>
      <c r="F84" s="68" t="s">
        <v>653</v>
      </c>
      <c r="G84" s="62" t="s">
        <v>154</v>
      </c>
      <c r="H84" s="19" t="s">
        <v>949</v>
      </c>
      <c r="I84" s="19" t="s">
        <v>949</v>
      </c>
      <c r="J84" s="19" t="s">
        <v>1322</v>
      </c>
      <c r="K84" s="20" t="s">
        <v>1574</v>
      </c>
      <c r="L84" s="21">
        <v>122</v>
      </c>
      <c r="M84" s="21"/>
      <c r="N84" s="26">
        <f>IFERROR(VLOOKUP(O84,Apoio!A:B,2,0),"")</f>
        <v>1</v>
      </c>
      <c r="O84" s="22">
        <v>6</v>
      </c>
      <c r="P84" s="22">
        <f>IFERROR(VLOOKUP(C84,'[1]TB DIN INCLUIDOS'!$B:$H,3,0),"AGUARDANDO ANEXO")</f>
        <v>0</v>
      </c>
      <c r="Q84" s="26" cm="1">
        <f t="array" ref="Q84">_xlfn.IFS((P84&gt;N84),(N84*2),(P84&lt;=N84),(P84*2))</f>
        <v>0</v>
      </c>
      <c r="R84" s="22"/>
      <c r="S84" s="26">
        <f>IFERROR(VLOOKUP(T84,Apoio!A:B,2,0),"")</f>
        <v>1</v>
      </c>
      <c r="T84" s="22">
        <v>25</v>
      </c>
      <c r="U84" s="22">
        <f>IFERROR(VLOOKUP(C84,'[1]TB DIN INCLUIDOS'!$B:$H,4,0),"AGUARDANDO ANEXO")</f>
        <v>0</v>
      </c>
      <c r="V84" s="26" cm="1">
        <f t="array" ref="V84">_xlfn.IFS((U84&gt;S84),(S84*2),(U84&lt;=S84),(U84*2))</f>
        <v>0</v>
      </c>
      <c r="W84" s="22"/>
      <c r="X84" s="26">
        <f>IFERROR(VLOOKUP(Y84,Apoio!A:B,2,0),"")</f>
        <v>2</v>
      </c>
      <c r="Y84" s="22">
        <v>44</v>
      </c>
      <c r="Z84" s="22">
        <f>IFERROR(VLOOKUP(C84,'[1]TB DIN INCLUIDOS'!$B:$H,5,0),"AGUARDANDO ANEXO")</f>
        <v>0</v>
      </c>
      <c r="AA84" s="26" cm="1">
        <f t="array" ref="AA84">_xlfn.IFS((Z84&gt;X84),(X84*2),(Z84&lt;=X84),(Z84*2))</f>
        <v>0</v>
      </c>
      <c r="AB84" s="22"/>
      <c r="AC84" s="26">
        <f>IFERROR(VLOOKUP(AD84,Apoio!A:B,2,0),"")</f>
        <v>2</v>
      </c>
      <c r="AD84" s="22">
        <f>IFERROR(VLOOKUP(C84,'[1]TB DIN'!$B:$H,6,0),"AGUARDANDO ANEXO")</f>
        <v>47</v>
      </c>
      <c r="AE84" s="22">
        <f>IFERROR(VLOOKUP(C84,'[1]TB DIN INCLUIDOS'!$B:$H,6,0),"AGUARDANDO ANEXO")</f>
        <v>1</v>
      </c>
      <c r="AF84" s="26" cm="1">
        <f t="array" ref="AF84">_xlfn.IFS((AE84&gt;AC84),(AC84*2),(AE84&lt;=AC84),(AE84*2))</f>
        <v>2</v>
      </c>
      <c r="AG84" s="22"/>
      <c r="AH84" s="28">
        <f t="shared" si="7"/>
        <v>122</v>
      </c>
      <c r="AI84" s="28">
        <f t="shared" si="8"/>
        <v>1</v>
      </c>
      <c r="AJ84" s="28">
        <f t="shared" si="9"/>
        <v>2</v>
      </c>
      <c r="AK84" s="28">
        <f t="shared" si="10"/>
        <v>0</v>
      </c>
      <c r="AL84" s="28">
        <f t="shared" si="11"/>
        <v>-2</v>
      </c>
      <c r="AM84" s="23" t="s">
        <v>1707</v>
      </c>
      <c r="AN84" s="37">
        <f>VLOOKUP(C84,'[2]MARÇO-2024'!$B:$M,12,0)</f>
        <v>120</v>
      </c>
      <c r="AO84" s="37">
        <f t="shared" si="12"/>
        <v>-2</v>
      </c>
      <c r="AP84" s="37" t="str">
        <f t="shared" si="13"/>
        <v/>
      </c>
    </row>
    <row r="85" spans="1:42" ht="13.5" customHeight="1" x14ac:dyDescent="0.25">
      <c r="A85" s="17">
        <v>3</v>
      </c>
      <c r="B85" s="17">
        <v>23</v>
      </c>
      <c r="C85" s="29">
        <v>3023</v>
      </c>
      <c r="D85" s="38">
        <v>33183236</v>
      </c>
      <c r="E85" s="18" t="s">
        <v>433</v>
      </c>
      <c r="F85" s="68" t="s">
        <v>657</v>
      </c>
      <c r="G85" s="66" t="s">
        <v>158</v>
      </c>
      <c r="H85" s="19" t="s">
        <v>953</v>
      </c>
      <c r="I85" s="19" t="s">
        <v>953</v>
      </c>
      <c r="J85" s="19" t="s">
        <v>1326</v>
      </c>
      <c r="K85" s="20" t="s">
        <v>1561</v>
      </c>
      <c r="L85" s="21">
        <v>92</v>
      </c>
      <c r="M85" s="21"/>
      <c r="N85" s="26" t="str">
        <f>IFERROR(VLOOKUP(O85,Apoio!A:B,2,0),"")</f>
        <v/>
      </c>
      <c r="O85" s="22">
        <f>IFERROR(VLOOKUP(C85,'[1]TB DIN'!$B:$D,3,0),"AGUARDANDO ANEXO")</f>
        <v>0</v>
      </c>
      <c r="P85" s="22">
        <f>IFERROR(VLOOKUP(C85,'[1]TB DIN INCLUIDOS'!$B:$H,3,0),"AGUARDANDO ANEXO")</f>
        <v>0</v>
      </c>
      <c r="Q85" s="26" cm="1">
        <f t="array" ref="Q85">_xlfn.IFS((P85&gt;N85),(N85*2),(P85&lt;=N85),(P85*2))</f>
        <v>0</v>
      </c>
      <c r="R85" s="22"/>
      <c r="S85" s="26" t="str">
        <f>IFERROR(VLOOKUP(T85,Apoio!A:B,2,0),"")</f>
        <v/>
      </c>
      <c r="T85" s="22">
        <f>IFERROR(VLOOKUP(C85,'[1]TB DIN'!$B:$H,4,0),"AGUARDANDO ANEXO")</f>
        <v>0</v>
      </c>
      <c r="U85" s="22">
        <f>IFERROR(VLOOKUP(C85,'[1]TB DIN INCLUIDOS'!$B:$H,4,0),"AGUARDANDO ANEXO")</f>
        <v>0</v>
      </c>
      <c r="V85" s="26" cm="1">
        <f t="array" ref="V85">_xlfn.IFS((U85&gt;S85),(S85*2),(U85&lt;=S85),(U85*2))</f>
        <v>0</v>
      </c>
      <c r="W85" s="22"/>
      <c r="X85" s="26">
        <f>IFERROR(VLOOKUP(Y85,Apoio!A:B,2,0),"")</f>
        <v>1</v>
      </c>
      <c r="Y85" s="22">
        <f>IFERROR(VLOOKUP(C85,'[1]TB DIN'!$B:$H,5,0),"AGUARDANDO ANEXO")</f>
        <v>16</v>
      </c>
      <c r="Z85" s="22">
        <v>1</v>
      </c>
      <c r="AA85" s="26" cm="1">
        <f t="array" ref="AA85">_xlfn.IFS((Z85&gt;X85),(X85*2),(Z85&lt;=X85),(Z85*2))</f>
        <v>2</v>
      </c>
      <c r="AB85" s="22"/>
      <c r="AC85" s="26">
        <f>IFERROR(VLOOKUP(AD85,Apoio!A:B,2,0),"")</f>
        <v>2</v>
      </c>
      <c r="AD85" s="22">
        <v>26</v>
      </c>
      <c r="AE85" s="22">
        <f>IFERROR(VLOOKUP(C85,'[1]TB DIN INCLUIDOS'!$B:$H,6,0),"AGUARDANDO ANEXO")</f>
        <v>1</v>
      </c>
      <c r="AF85" s="26" cm="1">
        <f t="array" ref="AF85">_xlfn.IFS((AE85&gt;AC85),(AC85*2),(AE85&lt;=AC85),(AE85*2))</f>
        <v>2</v>
      </c>
      <c r="AG85" s="22"/>
      <c r="AH85" s="28">
        <f t="shared" si="7"/>
        <v>42</v>
      </c>
      <c r="AI85" s="28">
        <f t="shared" si="8"/>
        <v>2</v>
      </c>
      <c r="AJ85" s="28">
        <f t="shared" si="9"/>
        <v>4</v>
      </c>
      <c r="AK85" s="28">
        <f t="shared" si="10"/>
        <v>46</v>
      </c>
      <c r="AL85" s="28">
        <f t="shared" si="11"/>
        <v>0</v>
      </c>
      <c r="AM85" s="23" t="s">
        <v>1707</v>
      </c>
      <c r="AN85" s="37">
        <f>VLOOKUP(C85,'[2]MARÇO-2024'!$B:$M,12,0)</f>
        <v>44</v>
      </c>
      <c r="AO85" s="37">
        <f t="shared" si="12"/>
        <v>2</v>
      </c>
      <c r="AP85" s="37" t="str">
        <f t="shared" si="13"/>
        <v/>
      </c>
    </row>
    <row r="86" spans="1:42" ht="13.5" customHeight="1" x14ac:dyDescent="0.25">
      <c r="A86" s="17">
        <v>3</v>
      </c>
      <c r="B86" s="17">
        <v>24</v>
      </c>
      <c r="C86" s="29">
        <v>3024</v>
      </c>
      <c r="D86" s="38">
        <v>33177422</v>
      </c>
      <c r="E86" s="18" t="s">
        <v>408</v>
      </c>
      <c r="F86" s="68" t="s">
        <v>626</v>
      </c>
      <c r="G86" s="62" t="s">
        <v>127</v>
      </c>
      <c r="H86" s="19" t="s">
        <v>923</v>
      </c>
      <c r="I86" s="19" t="s">
        <v>1152</v>
      </c>
      <c r="J86" s="19" t="s">
        <v>1296</v>
      </c>
      <c r="K86" s="20" t="s">
        <v>1563</v>
      </c>
      <c r="L86" s="21">
        <v>135</v>
      </c>
      <c r="M86" s="21"/>
      <c r="N86" s="26" t="str">
        <f>IFERROR(VLOOKUP(O86,Apoio!A:B,2,0),"")</f>
        <v/>
      </c>
      <c r="O86" s="22">
        <f>IFERROR(VLOOKUP(C86,'[1]TB DIN'!$B:$D,3,0),"AGUARDANDO ANEXO")</f>
        <v>0</v>
      </c>
      <c r="P86" s="22">
        <f>IFERROR(VLOOKUP(C86,'[1]TB DIN INCLUIDOS'!$B:$H,3,0),"AGUARDANDO ANEXO")</f>
        <v>0</v>
      </c>
      <c r="Q86" s="26" cm="1">
        <f t="array" ref="Q86">_xlfn.IFS((P86&gt;N86),(N86*2),(P86&lt;=N86),(P86*2))</f>
        <v>0</v>
      </c>
      <c r="R86" s="22"/>
      <c r="S86" s="26">
        <f>IFERROR(VLOOKUP(T86,Apoio!A:B,2,0),"")</f>
        <v>2</v>
      </c>
      <c r="T86" s="22">
        <v>36</v>
      </c>
      <c r="U86" s="22">
        <f>IFERROR(VLOOKUP(C86,'[1]TB DIN INCLUIDOS'!$B:$H,4,0),"AGUARDANDO ANEXO")</f>
        <v>0</v>
      </c>
      <c r="V86" s="26" cm="1">
        <f t="array" ref="V86">_xlfn.IFS((U86&gt;S86),(S86*2),(U86&lt;=S86),(U86*2))</f>
        <v>0</v>
      </c>
      <c r="W86" s="22"/>
      <c r="X86" s="26">
        <f>IFERROR(VLOOKUP(Y86,Apoio!A:B,2,0),"")</f>
        <v>2</v>
      </c>
      <c r="Y86" s="22">
        <v>49</v>
      </c>
      <c r="Z86" s="22">
        <f>IFERROR(VLOOKUP(C86,'[1]TB DIN INCLUIDOS'!$B:$H,5,0),"AGUARDANDO ANEXO")</f>
        <v>1</v>
      </c>
      <c r="AA86" s="26" cm="1">
        <f t="array" ref="AA86">_xlfn.IFS((Z86&gt;X86),(X86*2),(Z86&lt;=X86),(Z86*2))</f>
        <v>2</v>
      </c>
      <c r="AB86" s="22"/>
      <c r="AC86" s="26">
        <f>IFERROR(VLOOKUP(AD86,Apoio!A:B,2,0),"")</f>
        <v>2</v>
      </c>
      <c r="AD86" s="22">
        <f>IFERROR(VLOOKUP(C86,'[1]TB DIN'!$B:$H,6,0),"AGUARDANDO ANEXO")</f>
        <v>48</v>
      </c>
      <c r="AE86" s="22">
        <f>IFERROR(VLOOKUP(C86,'[1]TB DIN INCLUIDOS'!$B:$H,6,0),"AGUARDANDO ANEXO")</f>
        <v>2</v>
      </c>
      <c r="AF86" s="26" cm="1">
        <f t="array" ref="AF86">_xlfn.IFS((AE86&gt;AC86),(AC86*2),(AE86&lt;=AC86),(AE86*2))</f>
        <v>4</v>
      </c>
      <c r="AG86" s="22"/>
      <c r="AH86" s="28">
        <f t="shared" si="7"/>
        <v>133</v>
      </c>
      <c r="AI86" s="28">
        <f t="shared" si="8"/>
        <v>3</v>
      </c>
      <c r="AJ86" s="28">
        <f t="shared" si="9"/>
        <v>6</v>
      </c>
      <c r="AK86" s="28">
        <f t="shared" si="10"/>
        <v>0</v>
      </c>
      <c r="AL86" s="28">
        <f t="shared" si="11"/>
        <v>-4</v>
      </c>
      <c r="AM86" s="23" t="s">
        <v>1707</v>
      </c>
      <c r="AN86" s="37">
        <f>VLOOKUP(C86,'[2]MARÇO-2024'!$B:$M,12,0)</f>
        <v>131</v>
      </c>
      <c r="AO86" s="37">
        <f t="shared" si="12"/>
        <v>-2</v>
      </c>
      <c r="AP86" s="37" t="str">
        <f t="shared" si="13"/>
        <v/>
      </c>
    </row>
    <row r="87" spans="1:42" ht="13.5" customHeight="1" x14ac:dyDescent="0.25">
      <c r="A87" s="17">
        <v>3</v>
      </c>
      <c r="B87" s="17">
        <v>25</v>
      </c>
      <c r="C87" s="29">
        <v>3025</v>
      </c>
      <c r="D87" s="38">
        <v>33184488</v>
      </c>
      <c r="E87" s="18" t="s">
        <v>411</v>
      </c>
      <c r="F87" s="68" t="s">
        <v>629</v>
      </c>
      <c r="G87" s="62" t="s">
        <v>130</v>
      </c>
      <c r="H87" s="19" t="s">
        <v>926</v>
      </c>
      <c r="I87" s="19" t="s">
        <v>1153</v>
      </c>
      <c r="J87" s="19" t="s">
        <v>1299</v>
      </c>
      <c r="K87" s="20" t="s">
        <v>1565</v>
      </c>
      <c r="L87" s="21">
        <v>157</v>
      </c>
      <c r="M87" s="21"/>
      <c r="N87" s="26" t="str">
        <f>IFERROR(VLOOKUP(O87,Apoio!A:B,2,0),"")</f>
        <v/>
      </c>
      <c r="O87" s="22">
        <f>IFERROR(VLOOKUP(C87,'[1]TB DIN'!$B:$D,3,0),"AGUARDANDO ANEXO")</f>
        <v>0</v>
      </c>
      <c r="P87" s="22">
        <f>IFERROR(VLOOKUP(C87,'[1]TB DIN INCLUIDOS'!$B:$H,3,0),"AGUARDANDO ANEXO")</f>
        <v>0</v>
      </c>
      <c r="Q87" s="26" cm="1">
        <f t="array" ref="Q87">_xlfn.IFS((P87&gt;N87),(N87*2),(P87&lt;=N87),(P87*2))</f>
        <v>0</v>
      </c>
      <c r="R87" s="22"/>
      <c r="S87" s="26">
        <f>IFERROR(VLOOKUP(T87,Apoio!A:B,2,0),"")</f>
        <v>2</v>
      </c>
      <c r="T87" s="22">
        <v>46</v>
      </c>
      <c r="U87" s="22">
        <f>IFERROR(VLOOKUP(C87,'[1]TB DIN INCLUIDOS'!$B:$H,4,0),"AGUARDANDO ANEXO")</f>
        <v>0</v>
      </c>
      <c r="V87" s="26" cm="1">
        <f t="array" ref="V87">_xlfn.IFS((U87&gt;S87),(S87*2),(U87&lt;=S87),(U87*2))</f>
        <v>0</v>
      </c>
      <c r="W87" s="22"/>
      <c r="X87" s="26">
        <f>IFERROR(VLOOKUP(Y87,Apoio!A:B,2,0),"")</f>
        <v>3</v>
      </c>
      <c r="Y87" s="22">
        <v>57</v>
      </c>
      <c r="Z87" s="22">
        <f>IFERROR(VLOOKUP(C87,'[1]TB DIN INCLUIDOS'!$B:$H,5,0),"AGUARDANDO ANEXO")</f>
        <v>0</v>
      </c>
      <c r="AA87" s="26" cm="1">
        <f t="array" ref="AA87">_xlfn.IFS((Z87&gt;X87),(X87*2),(Z87&lt;=X87),(Z87*2))</f>
        <v>0</v>
      </c>
      <c r="AB87" s="22"/>
      <c r="AC87" s="26">
        <f>IFERROR(VLOOKUP(AD87,Apoio!A:B,2,0),"")</f>
        <v>3</v>
      </c>
      <c r="AD87" s="22">
        <v>58</v>
      </c>
      <c r="AE87" s="22">
        <f>IFERROR(VLOOKUP(C87,'[1]TB DIN INCLUIDOS'!$B:$H,6,0),"AGUARDANDO ANEXO")</f>
        <v>0</v>
      </c>
      <c r="AF87" s="26" cm="1">
        <f t="array" ref="AF87">_xlfn.IFS((AE87&gt;AC87),(AC87*2),(AE87&lt;=AC87),(AE87*2))</f>
        <v>0</v>
      </c>
      <c r="AG87" s="22"/>
      <c r="AH87" s="28">
        <f t="shared" si="7"/>
        <v>161</v>
      </c>
      <c r="AI87" s="28">
        <f t="shared" si="8"/>
        <v>0</v>
      </c>
      <c r="AJ87" s="28">
        <f t="shared" si="9"/>
        <v>0</v>
      </c>
      <c r="AK87" s="28">
        <f t="shared" si="10"/>
        <v>0</v>
      </c>
      <c r="AL87" s="28">
        <f t="shared" si="11"/>
        <v>-4</v>
      </c>
      <c r="AM87" s="23" t="s">
        <v>1707</v>
      </c>
      <c r="AN87" s="37">
        <f>VLOOKUP(C87,'[2]MARÇO-2024'!$B:$M,12,0)</f>
        <v>157</v>
      </c>
      <c r="AO87" s="37">
        <f t="shared" si="12"/>
        <v>-4</v>
      </c>
      <c r="AP87" s="37" t="str">
        <f t="shared" si="13"/>
        <v>Qt de aluno maior que a meta</v>
      </c>
    </row>
    <row r="88" spans="1:42" ht="13.5" customHeight="1" x14ac:dyDescent="0.25">
      <c r="A88" s="17">
        <v>3</v>
      </c>
      <c r="B88" s="17">
        <v>26</v>
      </c>
      <c r="C88" s="29">
        <v>3026</v>
      </c>
      <c r="D88" s="38">
        <v>33180547</v>
      </c>
      <c r="E88" s="18" t="s">
        <v>413</v>
      </c>
      <c r="F88" s="68" t="s">
        <v>631</v>
      </c>
      <c r="G88" s="62" t="s">
        <v>132</v>
      </c>
      <c r="H88" s="19" t="s">
        <v>928</v>
      </c>
      <c r="I88" s="19" t="s">
        <v>1155</v>
      </c>
      <c r="J88" s="19" t="s">
        <v>1301</v>
      </c>
      <c r="K88" s="20" t="s">
        <v>1567</v>
      </c>
      <c r="L88" s="21">
        <v>243</v>
      </c>
      <c r="M88" s="21"/>
      <c r="N88" s="26">
        <f>IFERROR(VLOOKUP(O88,Apoio!A:B,2,0),"")</f>
        <v>1</v>
      </c>
      <c r="O88" s="22">
        <f>IFERROR(VLOOKUP(C88,'[1]TB DIN'!$B:$D,3,0),"AGUARDANDO ANEXO")</f>
        <v>5</v>
      </c>
      <c r="P88" s="22">
        <f>IFERROR(VLOOKUP(C88,'[1]TB DIN INCLUIDOS'!$B:$H,3,0),"AGUARDANDO ANEXO")</f>
        <v>0</v>
      </c>
      <c r="Q88" s="26" cm="1">
        <f t="array" ref="Q88">_xlfn.IFS((P88&gt;N88),(N88*2),(P88&lt;=N88),(P88*2))</f>
        <v>0</v>
      </c>
      <c r="R88" s="22"/>
      <c r="S88" s="26">
        <f>IFERROR(VLOOKUP(T88,Apoio!A:B,2,0),"")</f>
        <v>2</v>
      </c>
      <c r="T88" s="22">
        <v>45</v>
      </c>
      <c r="U88" s="22">
        <f>IFERROR(VLOOKUP(C88,'[1]TB DIN INCLUIDOS'!$B:$H,4,0),"AGUARDANDO ANEXO")</f>
        <v>0</v>
      </c>
      <c r="V88" s="26" cm="1">
        <f t="array" ref="V88">_xlfn.IFS((U88&gt;S88),(S88*2),(U88&lt;=S88),(U88*2))</f>
        <v>0</v>
      </c>
      <c r="W88" s="22"/>
      <c r="X88" s="26">
        <f>IFERROR(VLOOKUP(Y88,Apoio!A:B,2,0),"")</f>
        <v>5</v>
      </c>
      <c r="Y88" s="22">
        <v>108</v>
      </c>
      <c r="Z88" s="22">
        <v>1</v>
      </c>
      <c r="AA88" s="26" cm="1">
        <f t="array" ref="AA88">_xlfn.IFS((Z88&gt;X88),(X88*2),(Z88&lt;=X88),(Z88*2))</f>
        <v>2</v>
      </c>
      <c r="AB88" s="22"/>
      <c r="AC88" s="26">
        <f>IFERROR(VLOOKUP(AD88,Apoio!A:B,2,0),"")</f>
        <v>4</v>
      </c>
      <c r="AD88" s="22">
        <v>79</v>
      </c>
      <c r="AE88" s="22">
        <f>IFERROR(VLOOKUP(C88,'[1]TB DIN INCLUIDOS'!$B:$H,6,0),"AGUARDANDO ANEXO")</f>
        <v>3</v>
      </c>
      <c r="AF88" s="26" cm="1">
        <f t="array" ref="AF88">_xlfn.IFS((AE88&gt;AC88),(AC88*2),(AE88&lt;=AC88),(AE88*2))</f>
        <v>6</v>
      </c>
      <c r="AG88" s="22"/>
      <c r="AH88" s="28">
        <f t="shared" si="7"/>
        <v>237</v>
      </c>
      <c r="AI88" s="28">
        <f t="shared" si="8"/>
        <v>4</v>
      </c>
      <c r="AJ88" s="28">
        <f t="shared" si="9"/>
        <v>8</v>
      </c>
      <c r="AK88" s="28">
        <f t="shared" si="10"/>
        <v>0</v>
      </c>
      <c r="AL88" s="28">
        <f t="shared" si="11"/>
        <v>-2</v>
      </c>
      <c r="AM88" s="23" t="s">
        <v>1707</v>
      </c>
      <c r="AN88" s="37">
        <f>VLOOKUP(C88,'[2]MARÇO-2024'!$B:$M,12,0)</f>
        <v>237</v>
      </c>
      <c r="AO88" s="37">
        <f t="shared" si="12"/>
        <v>0</v>
      </c>
      <c r="AP88" s="37" t="str">
        <f t="shared" si="13"/>
        <v/>
      </c>
    </row>
    <row r="89" spans="1:42" ht="13.5" customHeight="1" x14ac:dyDescent="0.25">
      <c r="A89" s="17">
        <v>3</v>
      </c>
      <c r="B89" s="17">
        <v>27</v>
      </c>
      <c r="C89" s="29">
        <v>3027</v>
      </c>
      <c r="D89" s="38">
        <v>33188173</v>
      </c>
      <c r="E89" s="18" t="s">
        <v>411</v>
      </c>
      <c r="F89" s="68" t="s">
        <v>633</v>
      </c>
      <c r="G89" s="66" t="s">
        <v>134</v>
      </c>
      <c r="H89" s="19" t="s">
        <v>1665</v>
      </c>
      <c r="I89" s="19" t="s">
        <v>1157</v>
      </c>
      <c r="J89" s="19" t="s">
        <v>1303</v>
      </c>
      <c r="K89" s="20" t="s">
        <v>1568</v>
      </c>
      <c r="L89" s="21">
        <v>269</v>
      </c>
      <c r="M89" s="21"/>
      <c r="N89" s="26" t="str">
        <f>IFERROR(VLOOKUP(O89,Apoio!A:B,2,0),"")</f>
        <v/>
      </c>
      <c r="O89" s="22">
        <f>IFERROR(VLOOKUP(C89,'[1]TB DIN'!$B:$D,3,0),"AGUARDANDO ANEXO")</f>
        <v>0</v>
      </c>
      <c r="P89" s="22">
        <f>IFERROR(VLOOKUP(C89,'[1]TB DIN INCLUIDOS'!$B:$H,3,0),"AGUARDANDO ANEXO")</f>
        <v>0</v>
      </c>
      <c r="Q89" s="26" cm="1">
        <f t="array" ref="Q89">_xlfn.IFS((P89&gt;N89),(N89*2),(P89&lt;=N89),(P89*2))</f>
        <v>0</v>
      </c>
      <c r="R89" s="22"/>
      <c r="S89" s="26">
        <f>IFERROR(VLOOKUP(T89,Apoio!A:B,2,0),"")</f>
        <v>4</v>
      </c>
      <c r="T89" s="22">
        <v>96</v>
      </c>
      <c r="U89" s="22">
        <f>IFERROR(VLOOKUP(C89,'[1]TB DIN INCLUIDOS'!$B:$H,4,0),"AGUARDANDO ANEXO")</f>
        <v>0</v>
      </c>
      <c r="V89" s="26" cm="1">
        <f t="array" ref="V89">_xlfn.IFS((U89&gt;S89),(S89*2),(U89&lt;=S89),(U89*2))</f>
        <v>0</v>
      </c>
      <c r="W89" s="22"/>
      <c r="X89" s="26">
        <f>IFERROR(VLOOKUP(Y89,Apoio!A:B,2,0),"")</f>
        <v>3</v>
      </c>
      <c r="Y89" s="22">
        <f>IFERROR(VLOOKUP(C89,'[1]TB DIN'!$B:$H,5,0),"AGUARDANDO ANEXO")</f>
        <v>63</v>
      </c>
      <c r="Z89" s="22">
        <f>IFERROR(VLOOKUP(C89,'[1]TB DIN INCLUIDOS'!$B:$H,5,0),"AGUARDANDO ANEXO")</f>
        <v>0</v>
      </c>
      <c r="AA89" s="26" cm="1">
        <f t="array" ref="AA89">_xlfn.IFS((Z89&gt;X89),(X89*2),(Z89&lt;=X89),(Z89*2))</f>
        <v>0</v>
      </c>
      <c r="AB89" s="22"/>
      <c r="AC89" s="26">
        <f>IFERROR(VLOOKUP(AD89,Apoio!A:B,2,0),"")</f>
        <v>4</v>
      </c>
      <c r="AD89" s="22">
        <v>91</v>
      </c>
      <c r="AE89" s="22">
        <f>IFERROR(VLOOKUP(C89,'[1]TB DIN INCLUIDOS'!$B:$H,6,0),"AGUARDANDO ANEXO")</f>
        <v>0</v>
      </c>
      <c r="AF89" s="26" cm="1">
        <f t="array" ref="AF89">_xlfn.IFS((AE89&gt;AC89),(AC89*2),(AE89&lt;=AC89),(AE89*2))</f>
        <v>0</v>
      </c>
      <c r="AG89" s="22"/>
      <c r="AH89" s="28">
        <f t="shared" si="7"/>
        <v>250</v>
      </c>
      <c r="AI89" s="28">
        <f t="shared" si="8"/>
        <v>0</v>
      </c>
      <c r="AJ89" s="28">
        <f t="shared" si="9"/>
        <v>0</v>
      </c>
      <c r="AK89" s="28">
        <f t="shared" si="10"/>
        <v>19</v>
      </c>
      <c r="AL89" s="28">
        <f t="shared" si="11"/>
        <v>0</v>
      </c>
      <c r="AM89" s="23" t="s">
        <v>1707</v>
      </c>
      <c r="AN89" s="37">
        <f>VLOOKUP(C89,'[2]MARÇO-2024'!$B:$M,12,0)</f>
        <v>220</v>
      </c>
      <c r="AO89" s="37">
        <f t="shared" si="12"/>
        <v>-30</v>
      </c>
      <c r="AP89" s="37" t="str">
        <f t="shared" si="13"/>
        <v/>
      </c>
    </row>
    <row r="90" spans="1:42" ht="13.5" customHeight="1" x14ac:dyDescent="0.25">
      <c r="A90" s="17">
        <v>3</v>
      </c>
      <c r="B90" s="17">
        <v>28</v>
      </c>
      <c r="C90" s="29">
        <v>3028</v>
      </c>
      <c r="D90" s="38">
        <v>33191999</v>
      </c>
      <c r="E90" s="18" t="s">
        <v>427</v>
      </c>
      <c r="F90" s="68" t="s">
        <v>651</v>
      </c>
      <c r="G90" s="62" t="s">
        <v>152</v>
      </c>
      <c r="H90" s="19" t="s">
        <v>947</v>
      </c>
      <c r="I90" s="19" t="s">
        <v>1169</v>
      </c>
      <c r="J90" s="19" t="s">
        <v>1320</v>
      </c>
      <c r="K90" s="20" t="s">
        <v>1572</v>
      </c>
      <c r="L90" s="21">
        <v>100</v>
      </c>
      <c r="M90" s="21"/>
      <c r="N90" s="26" t="str">
        <f>IFERROR(VLOOKUP(O90,Apoio!A:B,2,0),"")</f>
        <v/>
      </c>
      <c r="O90" s="22">
        <f>IFERROR(VLOOKUP(C90,'[1]TB DIN'!$B:$D,3,0),"AGUARDANDO ANEXO")</f>
        <v>0</v>
      </c>
      <c r="P90" s="22">
        <f>IFERROR(VLOOKUP(C90,'[1]TB DIN INCLUIDOS'!$B:$H,3,0),"AGUARDANDO ANEXO")</f>
        <v>0</v>
      </c>
      <c r="Q90" s="26" cm="1">
        <f t="array" ref="Q90">_xlfn.IFS((P90&gt;N90),(N90*2),(P90&lt;=N90),(P90*2))</f>
        <v>0</v>
      </c>
      <c r="R90" s="22"/>
      <c r="S90" s="26" t="str">
        <f>IFERROR(VLOOKUP(T90,Apoio!A:B,2,0),"")</f>
        <v/>
      </c>
      <c r="T90" s="22">
        <f>IFERROR(VLOOKUP(C90,'[1]TB DIN'!$B:$H,4,0),"AGUARDANDO ANEXO")</f>
        <v>0</v>
      </c>
      <c r="U90" s="22">
        <f>IFERROR(VLOOKUP(C90,'[1]TB DIN INCLUIDOS'!$B:$H,4,0),"AGUARDANDO ANEXO")</f>
        <v>0</v>
      </c>
      <c r="V90" s="26" cm="1">
        <f t="array" ref="V90">_xlfn.IFS((U90&gt;S90),(S90*2),(U90&lt;=S90),(U90*2))</f>
        <v>0</v>
      </c>
      <c r="W90" s="22"/>
      <c r="X90" s="26">
        <f>IFERROR(VLOOKUP(Y90,Apoio!A:B,2,0),"")</f>
        <v>3</v>
      </c>
      <c r="Y90" s="22">
        <f>IFERROR(VLOOKUP(C90,'[1]TB DIN'!$B:$H,5,0),"AGUARDANDO ANEXO")</f>
        <v>57</v>
      </c>
      <c r="Z90" s="22">
        <f>IFERROR(VLOOKUP(C90,'[1]TB DIN INCLUIDOS'!$B:$H,5,0),"AGUARDANDO ANEXO")</f>
        <v>0</v>
      </c>
      <c r="AA90" s="26" cm="1">
        <f t="array" ref="AA90">_xlfn.IFS((Z90&gt;X90),(X90*2),(Z90&lt;=X90),(Z90*2))</f>
        <v>0</v>
      </c>
      <c r="AB90" s="22"/>
      <c r="AC90" s="26">
        <f>IFERROR(VLOOKUP(AD90,Apoio!A:B,2,0),"")</f>
        <v>2</v>
      </c>
      <c r="AD90" s="22">
        <f>IFERROR(VLOOKUP(C90,'[1]TB DIN'!$B:$H,6,0),"AGUARDANDO ANEXO")</f>
        <v>43</v>
      </c>
      <c r="AE90" s="22">
        <f>IFERROR(VLOOKUP(C90,'[1]TB DIN INCLUIDOS'!$B:$H,6,0),"AGUARDANDO ANEXO")</f>
        <v>2</v>
      </c>
      <c r="AF90" s="26" cm="1">
        <f t="array" ref="AF90">_xlfn.IFS((AE90&gt;AC90),(AC90*2),(AE90&lt;=AC90),(AE90*2))</f>
        <v>4</v>
      </c>
      <c r="AG90" s="22"/>
      <c r="AH90" s="28">
        <f t="shared" si="7"/>
        <v>100</v>
      </c>
      <c r="AI90" s="28">
        <f t="shared" si="8"/>
        <v>2</v>
      </c>
      <c r="AJ90" s="28">
        <f t="shared" si="9"/>
        <v>4</v>
      </c>
      <c r="AK90" s="28">
        <f t="shared" si="10"/>
        <v>0</v>
      </c>
      <c r="AL90" s="28">
        <f t="shared" si="11"/>
        <v>-4</v>
      </c>
      <c r="AM90" s="23" t="s">
        <v>1707</v>
      </c>
      <c r="AN90" s="37">
        <f>VLOOKUP(C90,'[2]MARÇO-2024'!$B:$M,12,0)</f>
        <v>94</v>
      </c>
      <c r="AO90" s="37">
        <f t="shared" si="12"/>
        <v>-6</v>
      </c>
      <c r="AP90" s="37" t="str">
        <f t="shared" si="13"/>
        <v/>
      </c>
    </row>
    <row r="91" spans="1:42" ht="13.5" customHeight="1" x14ac:dyDescent="0.25">
      <c r="A91" s="17">
        <v>3</v>
      </c>
      <c r="B91" s="17">
        <v>29</v>
      </c>
      <c r="C91" s="29">
        <v>3029</v>
      </c>
      <c r="D91" s="38">
        <v>33191980</v>
      </c>
      <c r="E91" s="18" t="s">
        <v>415</v>
      </c>
      <c r="F91" s="68" t="s">
        <v>634</v>
      </c>
      <c r="G91" s="62" t="s">
        <v>1861</v>
      </c>
      <c r="H91" s="19" t="s">
        <v>930</v>
      </c>
      <c r="I91" s="19" t="s">
        <v>1158</v>
      </c>
      <c r="J91" s="19" t="s">
        <v>1304</v>
      </c>
      <c r="K91" s="20" t="s">
        <v>1562</v>
      </c>
      <c r="L91" s="21">
        <v>90</v>
      </c>
      <c r="M91" s="21"/>
      <c r="N91" s="26" t="str">
        <f>IFERROR(VLOOKUP(O91,Apoio!A:B,2,0),"")</f>
        <v/>
      </c>
      <c r="O91" s="22">
        <f>IFERROR(VLOOKUP(C91,'[1]TB DIN'!$B:$D,3,0),"AGUARDANDO ANEXO")</f>
        <v>0</v>
      </c>
      <c r="P91" s="22">
        <f>IFERROR(VLOOKUP(C91,'[1]TB DIN INCLUIDOS'!$B:$H,3,0),"AGUARDANDO ANEXO")</f>
        <v>0</v>
      </c>
      <c r="Q91" s="26" cm="1">
        <f t="array" ref="Q91">_xlfn.IFS((P91&gt;N91),(N91*2),(P91&lt;=N91),(P91*2))</f>
        <v>0</v>
      </c>
      <c r="R91" s="22"/>
      <c r="S91" s="26">
        <f>IFERROR(VLOOKUP(T91,Apoio!A:B,2,0),"")</f>
        <v>2</v>
      </c>
      <c r="T91" s="22">
        <f>IFERROR(VLOOKUP(C91,'[1]TB DIN'!$B:$H,4,0),"AGUARDANDO ANEXO")</f>
        <v>26</v>
      </c>
      <c r="U91" s="22">
        <f>IFERROR(VLOOKUP(C91,'[1]TB DIN INCLUIDOS'!$B:$H,4,0),"AGUARDANDO ANEXO")</f>
        <v>0</v>
      </c>
      <c r="V91" s="26" cm="1">
        <f t="array" ref="V91">_xlfn.IFS((U91&gt;S91),(S91*2),(U91&lt;=S91),(U91*2))</f>
        <v>0</v>
      </c>
      <c r="W91" s="22"/>
      <c r="X91" s="26">
        <f>IFERROR(VLOOKUP(Y91,Apoio!A:B,2,0),"")</f>
        <v>2</v>
      </c>
      <c r="Y91" s="22">
        <f>IFERROR(VLOOKUP(C91,'[1]TB DIN'!$B:$H,5,0),"AGUARDANDO ANEXO")</f>
        <v>34</v>
      </c>
      <c r="Z91" s="22">
        <f>IFERROR(VLOOKUP(C91,'[1]TB DIN INCLUIDOS'!$B:$H,5,0),"AGUARDANDO ANEXO")</f>
        <v>0</v>
      </c>
      <c r="AA91" s="26" cm="1">
        <f t="array" ref="AA91">_xlfn.IFS((Z91&gt;X91),(X91*2),(Z91&lt;=X91),(Z91*2))</f>
        <v>0</v>
      </c>
      <c r="AB91" s="22"/>
      <c r="AC91" s="26">
        <f>IFERROR(VLOOKUP(AD91,Apoio!A:B,2,0),"")</f>
        <v>2</v>
      </c>
      <c r="AD91" s="22">
        <f>IFERROR(VLOOKUP(C91,'[1]TB DIN'!$B:$H,6,0),"AGUARDANDO ANEXO")</f>
        <v>29</v>
      </c>
      <c r="AE91" s="22">
        <f>IFERROR(VLOOKUP(C91,'[1]TB DIN INCLUIDOS'!$B:$H,6,0),"AGUARDANDO ANEXO")</f>
        <v>0</v>
      </c>
      <c r="AF91" s="26" cm="1">
        <f t="array" ref="AF91">_xlfn.IFS((AE91&gt;AC91),(AC91*2),(AE91&lt;=AC91),(AE91*2))</f>
        <v>0</v>
      </c>
      <c r="AG91" s="22"/>
      <c r="AH91" s="28">
        <f t="shared" si="7"/>
        <v>89</v>
      </c>
      <c r="AI91" s="28">
        <f t="shared" si="8"/>
        <v>0</v>
      </c>
      <c r="AJ91" s="28">
        <f t="shared" si="9"/>
        <v>0</v>
      </c>
      <c r="AK91" s="28">
        <f t="shared" si="10"/>
        <v>1</v>
      </c>
      <c r="AL91" s="28">
        <f t="shared" si="11"/>
        <v>0</v>
      </c>
      <c r="AM91" s="23" t="s">
        <v>1707</v>
      </c>
      <c r="AN91" s="37">
        <f>VLOOKUP(C91,'[2]MARÇO-2024'!$B:$M,12,0)</f>
        <v>92</v>
      </c>
      <c r="AO91" s="37">
        <f t="shared" si="12"/>
        <v>3</v>
      </c>
      <c r="AP91" s="37" t="str">
        <f t="shared" si="13"/>
        <v/>
      </c>
    </row>
    <row r="92" spans="1:42" ht="13.5" customHeight="1" x14ac:dyDescent="0.25">
      <c r="A92" s="17">
        <v>3</v>
      </c>
      <c r="B92" s="17">
        <v>30</v>
      </c>
      <c r="C92" s="29">
        <v>3030</v>
      </c>
      <c r="D92" s="38">
        <v>33192669</v>
      </c>
      <c r="E92" s="18" t="s">
        <v>415</v>
      </c>
      <c r="F92" s="68" t="s">
        <v>649</v>
      </c>
      <c r="G92" s="66" t="s">
        <v>150</v>
      </c>
      <c r="H92" s="19" t="s">
        <v>945</v>
      </c>
      <c r="I92" s="19" t="s">
        <v>1158</v>
      </c>
      <c r="J92" s="19" t="s">
        <v>1318</v>
      </c>
      <c r="K92" s="20" t="s">
        <v>1575</v>
      </c>
      <c r="L92" s="21">
        <v>80</v>
      </c>
      <c r="M92" s="21"/>
      <c r="N92" s="26">
        <f>IFERROR(VLOOKUP(O92,Apoio!A:B,2,0),"")</f>
        <v>1</v>
      </c>
      <c r="O92" s="22">
        <v>1</v>
      </c>
      <c r="P92" s="22">
        <f>IFERROR(VLOOKUP(C92,'[1]TB DIN INCLUIDOS'!$B:$H,3,0),"AGUARDANDO ANEXO")</f>
        <v>0</v>
      </c>
      <c r="Q92" s="26" cm="1">
        <f t="array" ref="Q92">_xlfn.IFS((P92&gt;N92),(N92*2),(P92&lt;=N92),(P92*2))</f>
        <v>0</v>
      </c>
      <c r="R92" s="22"/>
      <c r="S92" s="26">
        <f>IFERROR(VLOOKUP(T92,Apoio!A:B,2,0),"")</f>
        <v>1</v>
      </c>
      <c r="T92" s="22">
        <v>23</v>
      </c>
      <c r="U92" s="22">
        <f>IFERROR(VLOOKUP(C92,'[1]TB DIN INCLUIDOS'!$B:$H,4,0),"AGUARDANDO ANEXO")</f>
        <v>0</v>
      </c>
      <c r="V92" s="26" cm="1">
        <f t="array" ref="V92">_xlfn.IFS((U92&gt;S92),(S92*2),(U92&lt;=S92),(U92*2))</f>
        <v>0</v>
      </c>
      <c r="W92" s="22"/>
      <c r="X92" s="26">
        <f>IFERROR(VLOOKUP(Y92,Apoio!A:B,2,0),"")</f>
        <v>2</v>
      </c>
      <c r="Y92" s="22">
        <v>29</v>
      </c>
      <c r="Z92" s="22">
        <f>IFERROR(VLOOKUP(C92,'[1]TB DIN INCLUIDOS'!$B:$H,5,0),"AGUARDANDO ANEXO")</f>
        <v>0</v>
      </c>
      <c r="AA92" s="26" cm="1">
        <f t="array" ref="AA92">_xlfn.IFS((Z92&gt;X92),(X92*2),(Z92&lt;=X92),(Z92*2))</f>
        <v>0</v>
      </c>
      <c r="AB92" s="22"/>
      <c r="AC92" s="26">
        <f>IFERROR(VLOOKUP(AD92,Apoio!A:B,2,0),"")</f>
        <v>2</v>
      </c>
      <c r="AD92" s="22">
        <v>27</v>
      </c>
      <c r="AE92" s="22">
        <f>IFERROR(VLOOKUP(C92,'[1]TB DIN INCLUIDOS'!$B:$H,6,0),"AGUARDANDO ANEXO")</f>
        <v>0</v>
      </c>
      <c r="AF92" s="26" cm="1">
        <f t="array" ref="AF92">_xlfn.IFS((AE92&gt;AC92),(AC92*2),(AE92&lt;=AC92),(AE92*2))</f>
        <v>0</v>
      </c>
      <c r="AG92" s="22"/>
      <c r="AH92" s="28">
        <f t="shared" si="7"/>
        <v>80</v>
      </c>
      <c r="AI92" s="28">
        <f t="shared" si="8"/>
        <v>0</v>
      </c>
      <c r="AJ92" s="28">
        <f t="shared" si="9"/>
        <v>0</v>
      </c>
      <c r="AK92" s="28">
        <f t="shared" si="10"/>
        <v>0</v>
      </c>
      <c r="AL92" s="28">
        <f t="shared" si="11"/>
        <v>0</v>
      </c>
      <c r="AM92" s="23" t="s">
        <v>1707</v>
      </c>
      <c r="AN92" s="37">
        <f>VLOOKUP(C92,'[2]MARÇO-2024'!$B:$M,12,0)</f>
        <v>69</v>
      </c>
      <c r="AO92" s="37">
        <f t="shared" si="12"/>
        <v>-11</v>
      </c>
      <c r="AP92" s="37" t="str">
        <f t="shared" si="13"/>
        <v/>
      </c>
    </row>
    <row r="93" spans="1:42" ht="13.5" customHeight="1" x14ac:dyDescent="0.25">
      <c r="A93" s="17">
        <v>3</v>
      </c>
      <c r="B93" s="17">
        <v>31</v>
      </c>
      <c r="C93" s="29">
        <v>3031</v>
      </c>
      <c r="D93" s="38">
        <v>33192715</v>
      </c>
      <c r="E93" s="18" t="s">
        <v>426</v>
      </c>
      <c r="F93" s="68" t="s">
        <v>650</v>
      </c>
      <c r="G93" s="62" t="s">
        <v>151</v>
      </c>
      <c r="H93" s="19" t="s">
        <v>946</v>
      </c>
      <c r="I93" s="19" t="s">
        <v>1168</v>
      </c>
      <c r="J93" s="19" t="s">
        <v>1319</v>
      </c>
      <c r="K93" s="20" t="s">
        <v>1569</v>
      </c>
      <c r="L93" s="21">
        <v>88</v>
      </c>
      <c r="M93" s="21"/>
      <c r="N93" s="26" t="str">
        <f>IFERROR(VLOOKUP(O93,Apoio!A:B,2,0),"")</f>
        <v/>
      </c>
      <c r="O93" s="22">
        <f>IFERROR(VLOOKUP(C93,'[1]TB DIN'!$B:$D,3,0),"AGUARDANDO ANEXO")</f>
        <v>0</v>
      </c>
      <c r="P93" s="22">
        <f>IFERROR(VLOOKUP(C93,'[1]TB DIN INCLUIDOS'!$B:$H,3,0),"AGUARDANDO ANEXO")</f>
        <v>0</v>
      </c>
      <c r="Q93" s="26" cm="1">
        <f t="array" ref="Q93">_xlfn.IFS((P93&gt;N93),(N93*2),(P93&lt;=N93),(P93*2))</f>
        <v>0</v>
      </c>
      <c r="R93" s="22"/>
      <c r="S93" s="26" t="str">
        <f>IFERROR(VLOOKUP(T93,Apoio!A:B,2,0),"")</f>
        <v/>
      </c>
      <c r="T93" s="22">
        <f>IFERROR(VLOOKUP(C93,'[1]TB DIN'!$B:$H,4,0),"AGUARDANDO ANEXO")</f>
        <v>0</v>
      </c>
      <c r="U93" s="22">
        <f>IFERROR(VLOOKUP(C93,'[1]TB DIN INCLUIDOS'!$B:$H,4,0),"AGUARDANDO ANEXO")</f>
        <v>0</v>
      </c>
      <c r="V93" s="26" cm="1">
        <f t="array" ref="V93">_xlfn.IFS((U93&gt;S93),(S93*2),(U93&lt;=S93),(U93*2))</f>
        <v>0</v>
      </c>
      <c r="W93" s="22"/>
      <c r="X93" s="26">
        <f>IFERROR(VLOOKUP(Y93,Apoio!A:B,2,0),"")</f>
        <v>2</v>
      </c>
      <c r="Y93" s="22">
        <f>IFERROR(VLOOKUP(C93,'[1]TB DIN'!$B:$H,5,0),"AGUARDANDO ANEXO")</f>
        <v>46</v>
      </c>
      <c r="Z93" s="22">
        <f>IFERROR(VLOOKUP(C93,'[1]TB DIN INCLUIDOS'!$B:$H,5,0),"AGUARDANDO ANEXO")</f>
        <v>0</v>
      </c>
      <c r="AA93" s="26" cm="1">
        <f t="array" ref="AA93">_xlfn.IFS((Z93&gt;X93),(X93*2),(Z93&lt;=X93),(Z93*2))</f>
        <v>0</v>
      </c>
      <c r="AB93" s="22"/>
      <c r="AC93" s="26">
        <f>IFERROR(VLOOKUP(AD93,Apoio!A:B,2,0),"")</f>
        <v>2</v>
      </c>
      <c r="AD93" s="22">
        <v>36</v>
      </c>
      <c r="AE93" s="22">
        <v>2</v>
      </c>
      <c r="AF93" s="26" cm="1">
        <f t="array" ref="AF93">_xlfn.IFS((AE93&gt;AC93),(AC93*2),(AE93&lt;=AC93),(AE93*2))</f>
        <v>4</v>
      </c>
      <c r="AG93" s="22"/>
      <c r="AH93" s="28">
        <f t="shared" si="7"/>
        <v>82</v>
      </c>
      <c r="AI93" s="28">
        <f t="shared" si="8"/>
        <v>2</v>
      </c>
      <c r="AJ93" s="28">
        <f t="shared" si="9"/>
        <v>4</v>
      </c>
      <c r="AK93" s="28">
        <f t="shared" si="10"/>
        <v>2</v>
      </c>
      <c r="AL93" s="28">
        <f t="shared" si="11"/>
        <v>0</v>
      </c>
      <c r="AM93" s="23" t="s">
        <v>1707</v>
      </c>
      <c r="AN93" s="37">
        <f>VLOOKUP(C93,'[2]MARÇO-2024'!$B:$M,12,0)</f>
        <v>83</v>
      </c>
      <c r="AO93" s="37">
        <f t="shared" si="12"/>
        <v>1</v>
      </c>
      <c r="AP93" s="37" t="str">
        <f t="shared" si="13"/>
        <v/>
      </c>
    </row>
    <row r="94" spans="1:42" ht="13.5" customHeight="1" x14ac:dyDescent="0.25">
      <c r="A94" s="17">
        <v>3</v>
      </c>
      <c r="B94" s="17">
        <v>32</v>
      </c>
      <c r="C94" s="29">
        <v>3032</v>
      </c>
      <c r="D94" s="38">
        <v>33191948</v>
      </c>
      <c r="E94" s="18" t="s">
        <v>434</v>
      </c>
      <c r="F94" s="68" t="s">
        <v>658</v>
      </c>
      <c r="G94" s="62" t="s">
        <v>159</v>
      </c>
      <c r="H94" s="19" t="s">
        <v>954</v>
      </c>
      <c r="I94" s="19" t="s">
        <v>1172</v>
      </c>
      <c r="J94" s="19" t="s">
        <v>1327</v>
      </c>
      <c r="K94" s="20" t="s">
        <v>1574</v>
      </c>
      <c r="L94" s="21">
        <v>34</v>
      </c>
      <c r="M94" s="21"/>
      <c r="N94" s="26" t="str">
        <f>IFERROR(VLOOKUP(O94,Apoio!A:B,2,0),"")</f>
        <v/>
      </c>
      <c r="O94" s="22">
        <f>IFERROR(VLOOKUP(C94,'[1]TB DIN'!$B:$D,3,0),"AGUARDANDO ANEXO")</f>
        <v>0</v>
      </c>
      <c r="P94" s="22">
        <f>IFERROR(VLOOKUP(C94,'[1]TB DIN INCLUIDOS'!$B:$H,3,0),"AGUARDANDO ANEXO")</f>
        <v>0</v>
      </c>
      <c r="Q94" s="26" cm="1">
        <f t="array" ref="Q94">_xlfn.IFS((P94&gt;N94),(N94*2),(P94&lt;=N94),(P94*2))</f>
        <v>0</v>
      </c>
      <c r="R94" s="22"/>
      <c r="S94" s="26" t="str">
        <f>IFERROR(VLOOKUP(T94,Apoio!A:B,2,0),"")</f>
        <v/>
      </c>
      <c r="T94" s="22">
        <f>IFERROR(VLOOKUP(C94,'[1]TB DIN'!$B:$H,4,0),"AGUARDANDO ANEXO")</f>
        <v>0</v>
      </c>
      <c r="U94" s="22">
        <f>IFERROR(VLOOKUP(C94,'[1]TB DIN INCLUIDOS'!$B:$H,4,0),"AGUARDANDO ANEXO")</f>
        <v>0</v>
      </c>
      <c r="V94" s="26" cm="1">
        <f t="array" ref="V94">_xlfn.IFS((U94&gt;S94),(S94*2),(U94&lt;=S94),(U94*2))</f>
        <v>0</v>
      </c>
      <c r="W94" s="22"/>
      <c r="X94" s="26">
        <f>IFERROR(VLOOKUP(Y94,Apoio!A:B,2,0),"")</f>
        <v>1</v>
      </c>
      <c r="Y94" s="22">
        <f>IFERROR(VLOOKUP(C94,'[1]TB DIN'!$B:$H,5,0),"AGUARDANDO ANEXO")</f>
        <v>13</v>
      </c>
      <c r="Z94" s="22">
        <f>IFERROR(VLOOKUP(C94,'[1]TB DIN INCLUIDOS'!$B:$H,5,0),"AGUARDANDO ANEXO")</f>
        <v>1</v>
      </c>
      <c r="AA94" s="26" cm="1">
        <f t="array" ref="AA94">_xlfn.IFS((Z94&gt;X94),(X94*2),(Z94&lt;=X94),(Z94*2))</f>
        <v>2</v>
      </c>
      <c r="AB94" s="22"/>
      <c r="AC94" s="26">
        <f>IFERROR(VLOOKUP(AD94,Apoio!A:B,2,0),"")</f>
        <v>1</v>
      </c>
      <c r="AD94" s="22">
        <f>IFERROR(VLOOKUP(C94,'[1]TB DIN'!$B:$H,6,0),"AGUARDANDO ANEXO")</f>
        <v>18</v>
      </c>
      <c r="AE94" s="22">
        <f>IFERROR(VLOOKUP(C94,'[1]TB DIN INCLUIDOS'!$B:$H,6,0),"AGUARDANDO ANEXO")</f>
        <v>2</v>
      </c>
      <c r="AF94" s="26" cm="1">
        <f t="array" ref="AF94">_xlfn.IFS((AE94&gt;AC94),(AC94*2),(AE94&lt;=AC94),(AE94*2))</f>
        <v>2</v>
      </c>
      <c r="AG94" s="22"/>
      <c r="AH94" s="28">
        <f t="shared" si="7"/>
        <v>31</v>
      </c>
      <c r="AI94" s="28">
        <f t="shared" si="8"/>
        <v>3</v>
      </c>
      <c r="AJ94" s="28">
        <f t="shared" si="9"/>
        <v>4</v>
      </c>
      <c r="AK94" s="28">
        <f t="shared" si="10"/>
        <v>0</v>
      </c>
      <c r="AL94" s="28">
        <f t="shared" si="11"/>
        <v>-1</v>
      </c>
      <c r="AM94" s="23" t="s">
        <v>1707</v>
      </c>
      <c r="AN94" s="37">
        <f>VLOOKUP(C94,'[2]MARÇO-2024'!$B:$M,12,0)</f>
        <v>30</v>
      </c>
      <c r="AO94" s="37">
        <f t="shared" si="12"/>
        <v>-1</v>
      </c>
      <c r="AP94" s="37" t="str">
        <f t="shared" si="13"/>
        <v/>
      </c>
    </row>
    <row r="95" spans="1:42" ht="13.5" customHeight="1" x14ac:dyDescent="0.25">
      <c r="A95" s="17">
        <v>3</v>
      </c>
      <c r="B95" s="17">
        <v>33</v>
      </c>
      <c r="C95" s="29">
        <v>3033</v>
      </c>
      <c r="D95" s="38">
        <v>33191964</v>
      </c>
      <c r="E95" s="18" t="s">
        <v>431</v>
      </c>
      <c r="F95" s="68" t="s">
        <v>655</v>
      </c>
      <c r="G95" s="62" t="s">
        <v>156</v>
      </c>
      <c r="H95" s="19" t="s">
        <v>951</v>
      </c>
      <c r="I95" s="19" t="s">
        <v>1171</v>
      </c>
      <c r="J95" s="19" t="s">
        <v>1324</v>
      </c>
      <c r="K95" s="20" t="s">
        <v>1569</v>
      </c>
      <c r="L95" s="21">
        <v>200</v>
      </c>
      <c r="M95" s="21"/>
      <c r="N95" s="26" t="str">
        <f>IFERROR(VLOOKUP(O95,Apoio!A:B,2,0),"")</f>
        <v/>
      </c>
      <c r="O95" s="22">
        <f>IFERROR(VLOOKUP(C95,'[1]TB DIN'!$B:$D,3,0),"AGUARDANDO ANEXO")</f>
        <v>0</v>
      </c>
      <c r="P95" s="22">
        <f>IFERROR(VLOOKUP(C95,'[1]TB DIN INCLUIDOS'!$B:$H,3,0),"AGUARDANDO ANEXO")</f>
        <v>0</v>
      </c>
      <c r="Q95" s="26" cm="1">
        <f t="array" ref="Q95">_xlfn.IFS((P95&gt;N95),(N95*2),(P95&lt;=N95),(P95*2))</f>
        <v>0</v>
      </c>
      <c r="R95" s="22"/>
      <c r="S95" s="26">
        <f>IFERROR(VLOOKUP(T95,Apoio!A:B,2,0),"")</f>
        <v>3</v>
      </c>
      <c r="T95" s="22">
        <f>IFERROR(VLOOKUP(C95,'[1]TB DIN'!$B:$H,4,0),"AGUARDANDO ANEXO")</f>
        <v>60</v>
      </c>
      <c r="U95" s="22">
        <f>IFERROR(VLOOKUP(C95,'[1]TB DIN INCLUIDOS'!$B:$H,4,0),"AGUARDANDO ANEXO")</f>
        <v>0</v>
      </c>
      <c r="V95" s="26" cm="1">
        <f t="array" ref="V95">_xlfn.IFS((U95&gt;S95),(S95*2),(U95&lt;=S95),(U95*2))</f>
        <v>0</v>
      </c>
      <c r="W95" s="22"/>
      <c r="X95" s="26">
        <f>IFERROR(VLOOKUP(Y95,Apoio!A:B,2,0),"")</f>
        <v>3</v>
      </c>
      <c r="Y95" s="22">
        <f>IFERROR(VLOOKUP(C95,'[1]TB DIN'!$B:$H,5,0),"AGUARDANDO ANEXO")</f>
        <v>66</v>
      </c>
      <c r="Z95" s="22">
        <f>IFERROR(VLOOKUP(C95,'[1]TB DIN INCLUIDOS'!$B:$H,5,0),"AGUARDANDO ANEXO")</f>
        <v>0</v>
      </c>
      <c r="AA95" s="26" cm="1">
        <f t="array" ref="AA95">_xlfn.IFS((Z95&gt;X95),(X95*2),(Z95&lt;=X95),(Z95*2))</f>
        <v>0</v>
      </c>
      <c r="AB95" s="22"/>
      <c r="AC95" s="26">
        <f>IFERROR(VLOOKUP(AD95,Apoio!A:B,2,0),"")</f>
        <v>3</v>
      </c>
      <c r="AD95" s="22">
        <f>IFERROR(VLOOKUP(C95,'[1]TB DIN'!$B:$H,6,0),"AGUARDANDO ANEXO")</f>
        <v>74</v>
      </c>
      <c r="AE95" s="22">
        <f>IFERROR(VLOOKUP(C95,'[1]TB DIN INCLUIDOS'!$B:$H,6,0),"AGUARDANDO ANEXO")</f>
        <v>0</v>
      </c>
      <c r="AF95" s="26" cm="1">
        <f t="array" ref="AF95">_xlfn.IFS((AE95&gt;AC95),(AC95*2),(AE95&lt;=AC95),(AE95*2))</f>
        <v>0</v>
      </c>
      <c r="AG95" s="22"/>
      <c r="AH95" s="28">
        <f t="shared" si="7"/>
        <v>200</v>
      </c>
      <c r="AI95" s="28">
        <f t="shared" si="8"/>
        <v>0</v>
      </c>
      <c r="AJ95" s="28">
        <f t="shared" si="9"/>
        <v>0</v>
      </c>
      <c r="AK95" s="28">
        <f t="shared" si="10"/>
        <v>0</v>
      </c>
      <c r="AL95" s="28">
        <f t="shared" si="11"/>
        <v>0</v>
      </c>
      <c r="AM95" s="23" t="s">
        <v>1707</v>
      </c>
      <c r="AN95" s="37">
        <f>VLOOKUP(C95,'[2]MARÇO-2024'!$B:$M,12,0)</f>
        <v>199</v>
      </c>
      <c r="AO95" s="37">
        <f t="shared" si="12"/>
        <v>-1</v>
      </c>
      <c r="AP95" s="37" t="str">
        <f t="shared" si="13"/>
        <v/>
      </c>
    </row>
    <row r="96" spans="1:42" ht="13.5" customHeight="1" x14ac:dyDescent="0.25">
      <c r="A96" s="17">
        <v>3</v>
      </c>
      <c r="B96" s="17">
        <v>34</v>
      </c>
      <c r="C96" s="29">
        <v>3034</v>
      </c>
      <c r="D96" s="38">
        <v>33369208</v>
      </c>
      <c r="E96" s="18" t="s">
        <v>424</v>
      </c>
      <c r="F96" s="68" t="s">
        <v>646</v>
      </c>
      <c r="G96" s="64" t="s">
        <v>147</v>
      </c>
      <c r="H96" s="19" t="s">
        <v>942</v>
      </c>
      <c r="I96" s="19" t="s">
        <v>1166</v>
      </c>
      <c r="J96" s="19" t="s">
        <v>1315</v>
      </c>
      <c r="K96" s="20" t="s">
        <v>1574</v>
      </c>
      <c r="L96" s="21">
        <v>100</v>
      </c>
      <c r="M96" s="21"/>
      <c r="N96" s="26" t="str">
        <f>IFERROR(VLOOKUP(O96,Apoio!A:B,2,0),"")</f>
        <v/>
      </c>
      <c r="O96" s="22">
        <f>IFERROR(VLOOKUP(C96,'[1]TB DIN'!$B:$D,3,0),"AGUARDANDO ANEXO")</f>
        <v>0</v>
      </c>
      <c r="P96" s="22">
        <f>IFERROR(VLOOKUP(C96,'[1]TB DIN INCLUIDOS'!$B:$H,3,0),"AGUARDANDO ANEXO")</f>
        <v>0</v>
      </c>
      <c r="Q96" s="26" cm="1">
        <f t="array" ref="Q96">_xlfn.IFS((P96&gt;N96),(N96*2),(P96&lt;=N96),(P96*2))</f>
        <v>0</v>
      </c>
      <c r="R96" s="22"/>
      <c r="S96" s="26" t="str">
        <f>IFERROR(VLOOKUP(T96,Apoio!A:B,2,0),"")</f>
        <v/>
      </c>
      <c r="T96" s="22">
        <f>IFERROR(VLOOKUP(C96,'[1]TB DIN'!$B:$H,4,0),"AGUARDANDO ANEXO")</f>
        <v>0</v>
      </c>
      <c r="U96" s="22">
        <f>IFERROR(VLOOKUP(C96,'[1]TB DIN INCLUIDOS'!$B:$H,4,0),"AGUARDANDO ANEXO")</f>
        <v>0</v>
      </c>
      <c r="V96" s="26" cm="1">
        <f t="array" ref="V96">_xlfn.IFS((U96&gt;S96),(S96*2),(U96&lt;=S96),(U96*2))</f>
        <v>0</v>
      </c>
      <c r="W96" s="22"/>
      <c r="X96" s="26">
        <f>IFERROR(VLOOKUP(Y96,Apoio!A:B,2,0),"")</f>
        <v>2</v>
      </c>
      <c r="Y96" s="22">
        <f>IFERROR(VLOOKUP(C96,'[1]TB DIN'!$B:$H,5,0),"AGUARDANDO ANEXO")</f>
        <v>47</v>
      </c>
      <c r="Z96" s="22">
        <f>IFERROR(VLOOKUP(C96,'[1]TB DIN INCLUIDOS'!$B:$H,5,0),"AGUARDANDO ANEXO")</f>
        <v>2</v>
      </c>
      <c r="AA96" s="26" cm="1">
        <f t="array" ref="AA96">_xlfn.IFS((Z96&gt;X96),(X96*2),(Z96&lt;=X96),(Z96*2))</f>
        <v>4</v>
      </c>
      <c r="AB96" s="22"/>
      <c r="AC96" s="26">
        <f>IFERROR(VLOOKUP(AD96,Apoio!A:B,2,0),"")</f>
        <v>2</v>
      </c>
      <c r="AD96" s="22">
        <f>IFERROR(VLOOKUP(C96,'[1]TB DIN'!$B:$H,6,0),"AGUARDANDO ANEXO")</f>
        <v>47</v>
      </c>
      <c r="AE96" s="22">
        <f>IFERROR(VLOOKUP(C96,'[1]TB DIN INCLUIDOS'!$B:$H,6,0),"AGUARDANDO ANEXO")</f>
        <v>1</v>
      </c>
      <c r="AF96" s="26" cm="1">
        <f t="array" ref="AF96">_xlfn.IFS((AE96&gt;AC96),(AC96*2),(AE96&lt;=AC96),(AE96*2))</f>
        <v>2</v>
      </c>
      <c r="AG96" s="22"/>
      <c r="AH96" s="28">
        <f t="shared" si="7"/>
        <v>94</v>
      </c>
      <c r="AI96" s="28">
        <f t="shared" si="8"/>
        <v>3</v>
      </c>
      <c r="AJ96" s="28">
        <f t="shared" si="9"/>
        <v>6</v>
      </c>
      <c r="AK96" s="28">
        <f t="shared" si="10"/>
        <v>0</v>
      </c>
      <c r="AL96" s="28">
        <f t="shared" si="11"/>
        <v>0</v>
      </c>
      <c r="AM96" s="23" t="s">
        <v>1849</v>
      </c>
      <c r="AN96" s="37">
        <f>VLOOKUP(C96,'[2]MARÇO-2024'!$B:$M,12,0)</f>
        <v>95</v>
      </c>
      <c r="AO96" s="37">
        <f t="shared" si="12"/>
        <v>1</v>
      </c>
      <c r="AP96" s="37" t="str">
        <f t="shared" si="13"/>
        <v/>
      </c>
    </row>
    <row r="97" spans="1:42" ht="13.5" customHeight="1" x14ac:dyDescent="0.25">
      <c r="A97" s="17">
        <v>3</v>
      </c>
      <c r="B97" s="17">
        <v>35</v>
      </c>
      <c r="C97" s="29">
        <v>3035</v>
      </c>
      <c r="D97" s="43">
        <v>33191972</v>
      </c>
      <c r="E97" s="18" t="s">
        <v>412</v>
      </c>
      <c r="F97" s="68" t="s">
        <v>630</v>
      </c>
      <c r="G97" s="62" t="s">
        <v>131</v>
      </c>
      <c r="H97" s="19" t="s">
        <v>927</v>
      </c>
      <c r="I97" s="19" t="s">
        <v>1154</v>
      </c>
      <c r="J97" s="19" t="s">
        <v>1300</v>
      </c>
      <c r="K97" s="20" t="s">
        <v>1566</v>
      </c>
      <c r="L97" s="21">
        <v>67</v>
      </c>
      <c r="M97" s="21"/>
      <c r="N97" s="26" t="str">
        <f>IFERROR(VLOOKUP(O97,Apoio!A:B,2,0),"")</f>
        <v/>
      </c>
      <c r="O97" s="22">
        <f>IFERROR(VLOOKUP(C97,'[1]TB DIN'!$B:$D,3,0),"AGUARDANDO ANEXO")</f>
        <v>0</v>
      </c>
      <c r="P97" s="22">
        <f>IFERROR(VLOOKUP(C97,'[1]TB DIN INCLUIDOS'!$B:$H,3,0),"AGUARDANDO ANEXO")</f>
        <v>0</v>
      </c>
      <c r="Q97" s="26" cm="1">
        <f t="array" ref="Q97">_xlfn.IFS((P97&gt;N97),(N97*2),(P97&lt;=N97),(P97*2))</f>
        <v>0</v>
      </c>
      <c r="R97" s="22"/>
      <c r="S97" s="26" t="str">
        <f>IFERROR(VLOOKUP(T97,Apoio!A:B,2,0),"")</f>
        <v/>
      </c>
      <c r="T97" s="22">
        <f>IFERROR(VLOOKUP(C97,'[1]TB DIN'!$B:$H,4,0),"AGUARDANDO ANEXO")</f>
        <v>0</v>
      </c>
      <c r="U97" s="22">
        <f>IFERROR(VLOOKUP(C97,'[1]TB DIN INCLUIDOS'!$B:$H,4,0),"AGUARDANDO ANEXO")</f>
        <v>0</v>
      </c>
      <c r="V97" s="26" cm="1">
        <f t="array" ref="V97">_xlfn.IFS((U97&gt;S97),(S97*2),(U97&lt;=S97),(U97*2))</f>
        <v>0</v>
      </c>
      <c r="W97" s="22"/>
      <c r="X97" s="26">
        <f>IFERROR(VLOOKUP(Y97,Apoio!A:B,2,0),"")</f>
        <v>2</v>
      </c>
      <c r="Y97" s="22">
        <v>30</v>
      </c>
      <c r="Z97" s="22">
        <f>IFERROR(VLOOKUP(C97,'[1]TB DIN INCLUIDOS'!$B:$H,5,0),"AGUARDANDO ANEXO")</f>
        <v>0</v>
      </c>
      <c r="AA97" s="26" cm="1">
        <f t="array" ref="AA97">_xlfn.IFS((Z97&gt;X97),(X97*2),(Z97&lt;=X97),(Z97*2))</f>
        <v>0</v>
      </c>
      <c r="AB97" s="22"/>
      <c r="AC97" s="26">
        <f>IFERROR(VLOOKUP(AD97,Apoio!A:B,2,0),"")</f>
        <v>2</v>
      </c>
      <c r="AD97" s="22">
        <f>IFERROR(VLOOKUP(C97,'[1]TB DIN'!$B:$H,6,0),"AGUARDANDO ANEXO")</f>
        <v>35</v>
      </c>
      <c r="AE97" s="22">
        <f>IFERROR(VLOOKUP(C97,'[1]TB DIN INCLUIDOS'!$B:$H,6,0),"AGUARDANDO ANEXO")</f>
        <v>1</v>
      </c>
      <c r="AF97" s="26" cm="1">
        <f t="array" ref="AF97">_xlfn.IFS((AE97&gt;AC97),(AC97*2),(AE97&lt;=AC97),(AE97*2))</f>
        <v>2</v>
      </c>
      <c r="AG97" s="22"/>
      <c r="AH97" s="28">
        <f t="shared" si="7"/>
        <v>65</v>
      </c>
      <c r="AI97" s="28">
        <f t="shared" si="8"/>
        <v>1</v>
      </c>
      <c r="AJ97" s="28">
        <f t="shared" si="9"/>
        <v>2</v>
      </c>
      <c r="AK97" s="28">
        <f t="shared" si="10"/>
        <v>0</v>
      </c>
      <c r="AL97" s="28">
        <f t="shared" si="11"/>
        <v>0</v>
      </c>
      <c r="AM97" s="23" t="s">
        <v>1707</v>
      </c>
      <c r="AN97" s="37">
        <f>VLOOKUP(C97,'[2]MARÇO-2024'!$B:$M,12,0)</f>
        <v>66</v>
      </c>
      <c r="AO97" s="37">
        <f t="shared" si="12"/>
        <v>1</v>
      </c>
      <c r="AP97" s="37" t="str">
        <f t="shared" si="13"/>
        <v/>
      </c>
    </row>
    <row r="98" spans="1:42" ht="13.5" customHeight="1" x14ac:dyDescent="0.25">
      <c r="A98" s="17">
        <v>3</v>
      </c>
      <c r="B98" s="17">
        <v>36</v>
      </c>
      <c r="C98" s="29">
        <v>3036</v>
      </c>
      <c r="D98" s="38">
        <v>33195226</v>
      </c>
      <c r="E98" s="18" t="s">
        <v>435</v>
      </c>
      <c r="F98" s="68" t="s">
        <v>659</v>
      </c>
      <c r="G98" s="62" t="s">
        <v>160</v>
      </c>
      <c r="H98" s="19" t="s">
        <v>22</v>
      </c>
      <c r="I98" s="19" t="s">
        <v>22</v>
      </c>
      <c r="J98" s="19" t="s">
        <v>1328</v>
      </c>
      <c r="K98" s="20" t="s">
        <v>1657</v>
      </c>
      <c r="L98" s="21">
        <v>147</v>
      </c>
      <c r="M98" s="21"/>
      <c r="N98" s="26" t="str">
        <f>IFERROR(VLOOKUP(O98,Apoio!A:B,2,0),"")</f>
        <v/>
      </c>
      <c r="O98" s="22">
        <f>IFERROR(VLOOKUP(C98,'[1]TB DIN'!$B:$D,3,0),"AGUARDANDO ANEXO")</f>
        <v>0</v>
      </c>
      <c r="P98" s="22">
        <f>IFERROR(VLOOKUP(C98,'[1]TB DIN INCLUIDOS'!$B:$H,3,0),"AGUARDANDO ANEXO")</f>
        <v>0</v>
      </c>
      <c r="Q98" s="26" cm="1">
        <f t="array" ref="Q98">_xlfn.IFS((P98&gt;N98),(N98*2),(P98&lt;=N98),(P98*2))</f>
        <v>0</v>
      </c>
      <c r="R98" s="22"/>
      <c r="S98" s="26">
        <f>IFERROR(VLOOKUP(T98,Apoio!A:B,2,0),"")</f>
        <v>2</v>
      </c>
      <c r="T98" s="22">
        <v>35</v>
      </c>
      <c r="U98" s="22">
        <f>IFERROR(VLOOKUP(C98,'[1]TB DIN INCLUIDOS'!$B:$H,4,0),"AGUARDANDO ANEXO")</f>
        <v>0</v>
      </c>
      <c r="V98" s="26" cm="1">
        <f t="array" ref="V98">_xlfn.IFS((U98&gt;S98),(S98*2),(U98&lt;=S98),(U98*2))</f>
        <v>0</v>
      </c>
      <c r="W98" s="22"/>
      <c r="X98" s="26">
        <f>IFERROR(VLOOKUP(Y98,Apoio!A:B,2,0),"")</f>
        <v>2</v>
      </c>
      <c r="Y98" s="22">
        <v>44</v>
      </c>
      <c r="Z98" s="22">
        <v>1</v>
      </c>
      <c r="AA98" s="26" cm="1">
        <f t="array" ref="AA98">_xlfn.IFS((Z98&gt;X98),(X98*2),(Z98&lt;=X98),(Z98*2))</f>
        <v>2</v>
      </c>
      <c r="AB98" s="22"/>
      <c r="AC98" s="26">
        <f>IFERROR(VLOOKUP(AD98,Apoio!A:B,2,0),"")</f>
        <v>3</v>
      </c>
      <c r="AD98" s="22">
        <v>62</v>
      </c>
      <c r="AE98" s="22">
        <f>IFERROR(VLOOKUP(C98,'[1]TB DIN INCLUIDOS'!$B:$H,6,0),"AGUARDANDO ANEXO")</f>
        <v>2</v>
      </c>
      <c r="AF98" s="26" cm="1">
        <f t="array" ref="AF98">_xlfn.IFS((AE98&gt;AC98),(AC98*2),(AE98&lt;=AC98),(AE98*2))</f>
        <v>4</v>
      </c>
      <c r="AG98" s="22"/>
      <c r="AH98" s="28">
        <f t="shared" si="7"/>
        <v>141</v>
      </c>
      <c r="AI98" s="28">
        <f t="shared" si="8"/>
        <v>3</v>
      </c>
      <c r="AJ98" s="28">
        <f t="shared" si="9"/>
        <v>6</v>
      </c>
      <c r="AK98" s="28">
        <f t="shared" si="10"/>
        <v>0</v>
      </c>
      <c r="AL98" s="28">
        <f t="shared" si="11"/>
        <v>0</v>
      </c>
      <c r="AM98" s="23" t="s">
        <v>1707</v>
      </c>
      <c r="AN98" s="37">
        <f>VLOOKUP(C98,'[2]MARÇO-2024'!$B:$M,12,0)</f>
        <v>144</v>
      </c>
      <c r="AO98" s="37">
        <f t="shared" si="12"/>
        <v>3</v>
      </c>
      <c r="AP98" s="37" t="str">
        <f t="shared" si="13"/>
        <v/>
      </c>
    </row>
    <row r="99" spans="1:42" ht="13.5" customHeight="1" x14ac:dyDescent="0.25">
      <c r="A99" s="17">
        <v>3</v>
      </c>
      <c r="B99" s="17">
        <v>37</v>
      </c>
      <c r="C99" s="29">
        <v>3037</v>
      </c>
      <c r="D99" s="38">
        <v>33194777</v>
      </c>
      <c r="E99" s="18" t="s">
        <v>436</v>
      </c>
      <c r="F99" s="68" t="s">
        <v>660</v>
      </c>
      <c r="G99" s="62" t="s">
        <v>161</v>
      </c>
      <c r="H99" s="19" t="s">
        <v>23</v>
      </c>
      <c r="I99" s="19" t="s">
        <v>1173</v>
      </c>
      <c r="J99" s="19" t="s">
        <v>1329</v>
      </c>
      <c r="K99" s="20" t="s">
        <v>1566</v>
      </c>
      <c r="L99" s="21">
        <v>180</v>
      </c>
      <c r="M99" s="21"/>
      <c r="N99" s="26" t="str">
        <f>IFERROR(VLOOKUP(O99,Apoio!A:B,2,0),"")</f>
        <v/>
      </c>
      <c r="O99" s="22">
        <f>IFERROR(VLOOKUP(C99,'[1]TB DIN'!$B:$D,3,0),"AGUARDANDO ANEXO")</f>
        <v>0</v>
      </c>
      <c r="P99" s="22">
        <f>IFERROR(VLOOKUP(C99,'[1]TB DIN INCLUIDOS'!$B:$H,3,0),"AGUARDANDO ANEXO")</f>
        <v>0</v>
      </c>
      <c r="Q99" s="26" cm="1">
        <f t="array" ref="Q99">_xlfn.IFS((P99&gt;N99),(N99*2),(P99&lt;=N99),(P99*2))</f>
        <v>0</v>
      </c>
      <c r="R99" s="22"/>
      <c r="S99" s="26">
        <f>IFERROR(VLOOKUP(T99,Apoio!A:B,2,0),"")</f>
        <v>1</v>
      </c>
      <c r="T99" s="22">
        <f>IFERROR(VLOOKUP(C99,'[1]TB DIN'!$B:$H,4,0),"AGUARDANDO ANEXO")</f>
        <v>18</v>
      </c>
      <c r="U99" s="22">
        <f>IFERROR(VLOOKUP(C99,'[1]TB DIN INCLUIDOS'!$B:$H,4,0),"AGUARDANDO ANEXO")</f>
        <v>0</v>
      </c>
      <c r="V99" s="26" cm="1">
        <f t="array" ref="V99">_xlfn.IFS((U99&gt;S99),(S99*2),(U99&lt;=S99),(U99*2))</f>
        <v>0</v>
      </c>
      <c r="W99" s="22"/>
      <c r="X99" s="26">
        <f>IFERROR(VLOOKUP(Y99,Apoio!A:B,2,0),"")</f>
        <v>3</v>
      </c>
      <c r="Y99" s="22">
        <v>62</v>
      </c>
      <c r="Z99" s="22">
        <f>IFERROR(VLOOKUP(C99,'[1]TB DIN INCLUIDOS'!$B:$H,5,0),"AGUARDANDO ANEXO")</f>
        <v>0</v>
      </c>
      <c r="AA99" s="26" cm="1">
        <f t="array" ref="AA99">_xlfn.IFS((Z99&gt;X99),(X99*2),(Z99&lt;=X99),(Z99*2))</f>
        <v>0</v>
      </c>
      <c r="AB99" s="22"/>
      <c r="AC99" s="26">
        <f>IFERROR(VLOOKUP(AD99,Apoio!A:B,2,0),"")</f>
        <v>4</v>
      </c>
      <c r="AD99" s="22">
        <f>IFERROR(VLOOKUP(C99,'[1]TB DIN'!$B:$H,6,0),"AGUARDANDO ANEXO")</f>
        <v>98</v>
      </c>
      <c r="AE99" s="22">
        <f>IFERROR(VLOOKUP(C99,'[1]TB DIN INCLUIDOS'!$B:$H,6,0),"AGUARDANDO ANEXO")</f>
        <v>3</v>
      </c>
      <c r="AF99" s="26" cm="1">
        <f t="array" ref="AF99">_xlfn.IFS((AE99&gt;AC99),(AC99*2),(AE99&lt;=AC99),(AE99*2))</f>
        <v>6</v>
      </c>
      <c r="AG99" s="22"/>
      <c r="AH99" s="28">
        <f t="shared" si="7"/>
        <v>178</v>
      </c>
      <c r="AI99" s="28">
        <f t="shared" si="8"/>
        <v>3</v>
      </c>
      <c r="AJ99" s="28">
        <f t="shared" si="9"/>
        <v>6</v>
      </c>
      <c r="AK99" s="28">
        <f t="shared" si="10"/>
        <v>0</v>
      </c>
      <c r="AL99" s="28">
        <f t="shared" si="11"/>
        <v>-4</v>
      </c>
      <c r="AM99" s="23" t="s">
        <v>1707</v>
      </c>
      <c r="AN99" s="37">
        <f>VLOOKUP(C99,'[2]MARÇO-2024'!$B:$M,12,0)</f>
        <v>177</v>
      </c>
      <c r="AO99" s="37">
        <f t="shared" si="12"/>
        <v>-1</v>
      </c>
      <c r="AP99" s="37" t="str">
        <f t="shared" si="13"/>
        <v/>
      </c>
    </row>
    <row r="100" spans="1:42" ht="13.5" customHeight="1" x14ac:dyDescent="0.25">
      <c r="A100" s="17">
        <v>3</v>
      </c>
      <c r="B100" s="17">
        <v>38</v>
      </c>
      <c r="C100" s="29">
        <v>3038</v>
      </c>
      <c r="D100" s="38">
        <v>33194769</v>
      </c>
      <c r="E100" s="18" t="s">
        <v>436</v>
      </c>
      <c r="F100" s="68" t="s">
        <v>661</v>
      </c>
      <c r="G100" s="64" t="s">
        <v>162</v>
      </c>
      <c r="H100" s="19" t="s">
        <v>24</v>
      </c>
      <c r="I100" s="19" t="s">
        <v>1173</v>
      </c>
      <c r="J100" s="19" t="s">
        <v>1330</v>
      </c>
      <c r="K100" s="20" t="s">
        <v>1578</v>
      </c>
      <c r="L100" s="21">
        <v>163</v>
      </c>
      <c r="M100" s="21"/>
      <c r="N100" s="26" t="str">
        <f>IFERROR(VLOOKUP(O100,Apoio!A:B,2,0),"")</f>
        <v/>
      </c>
      <c r="O100" s="22">
        <f>IFERROR(VLOOKUP(C100,'[1]TB DIN'!$B:$D,3,0),"AGUARDANDO ANEXO")</f>
        <v>0</v>
      </c>
      <c r="P100" s="22">
        <f>IFERROR(VLOOKUP(C100,'[1]TB DIN INCLUIDOS'!$B:$H,3,0),"AGUARDANDO ANEXO")</f>
        <v>0</v>
      </c>
      <c r="Q100" s="26" cm="1">
        <f t="array" ref="Q100">_xlfn.IFS((P100&gt;N100),(N100*2),(P100&lt;=N100),(P100*2))</f>
        <v>0</v>
      </c>
      <c r="R100" s="22"/>
      <c r="S100" s="26" t="str">
        <f>IFERROR(VLOOKUP(T100,Apoio!A:B,2,0),"")</f>
        <v/>
      </c>
      <c r="T100" s="22">
        <f>IFERROR(VLOOKUP(C100,'[1]TB DIN'!$B:$H,4,0),"AGUARDANDO ANEXO")</f>
        <v>0</v>
      </c>
      <c r="U100" s="22">
        <f>IFERROR(VLOOKUP(C100,'[1]TB DIN INCLUIDOS'!$B:$H,4,0),"AGUARDANDO ANEXO")</f>
        <v>0</v>
      </c>
      <c r="V100" s="26" cm="1">
        <f t="array" ref="V100">_xlfn.IFS((U100&gt;S100),(S100*2),(U100&lt;=S100),(U100*2))</f>
        <v>0</v>
      </c>
      <c r="W100" s="22"/>
      <c r="X100" s="26">
        <f>IFERROR(VLOOKUP(Y100,Apoio!A:B,2,0),"")</f>
        <v>4</v>
      </c>
      <c r="Y100" s="22">
        <v>90</v>
      </c>
      <c r="Z100" s="22">
        <f>IFERROR(VLOOKUP(C100,'[1]TB DIN INCLUIDOS'!$B:$H,5,0),"AGUARDANDO ANEXO")</f>
        <v>2</v>
      </c>
      <c r="AA100" s="26" cm="1">
        <f t="array" ref="AA100">_xlfn.IFS((Z100&gt;X100),(X100*2),(Z100&lt;=X100),(Z100*2))</f>
        <v>4</v>
      </c>
      <c r="AB100" s="22"/>
      <c r="AC100" s="26">
        <f>IFERROR(VLOOKUP(AD100,Apoio!A:B,2,0),"")</f>
        <v>3</v>
      </c>
      <c r="AD100" s="22">
        <v>69</v>
      </c>
      <c r="AE100" s="22">
        <f>IFERROR(VLOOKUP(C100,'[1]TB DIN INCLUIDOS'!$B:$H,6,0),"AGUARDANDO ANEXO")</f>
        <v>2</v>
      </c>
      <c r="AF100" s="26" cm="1">
        <f t="array" ref="AF100">_xlfn.IFS((AE100&gt;AC100),(AC100*2),(AE100&lt;=AC100),(AE100*2))</f>
        <v>4</v>
      </c>
      <c r="AG100" s="22"/>
      <c r="AH100" s="28">
        <f t="shared" si="7"/>
        <v>159</v>
      </c>
      <c r="AI100" s="28">
        <f t="shared" si="8"/>
        <v>4</v>
      </c>
      <c r="AJ100" s="28">
        <f t="shared" si="9"/>
        <v>8</v>
      </c>
      <c r="AK100" s="28">
        <f t="shared" si="10"/>
        <v>0</v>
      </c>
      <c r="AL100" s="28">
        <f t="shared" si="11"/>
        <v>-4</v>
      </c>
      <c r="AM100" s="23" t="s">
        <v>1849</v>
      </c>
      <c r="AN100" s="37">
        <f>VLOOKUP(C100,'[2]MARÇO-2024'!$B:$M,12,0)</f>
        <v>161</v>
      </c>
      <c r="AO100" s="37">
        <f t="shared" si="12"/>
        <v>2</v>
      </c>
      <c r="AP100" s="37" t="str">
        <f t="shared" si="13"/>
        <v/>
      </c>
    </row>
    <row r="101" spans="1:42" ht="13.5" customHeight="1" x14ac:dyDescent="0.25">
      <c r="A101" s="17">
        <v>3</v>
      </c>
      <c r="B101" s="17">
        <v>39</v>
      </c>
      <c r="C101" s="29">
        <v>3039</v>
      </c>
      <c r="D101" s="38">
        <v>33199396</v>
      </c>
      <c r="E101" s="18"/>
      <c r="F101" s="68"/>
      <c r="G101" s="66" t="s">
        <v>1726</v>
      </c>
      <c r="H101" s="19" t="s">
        <v>1666</v>
      </c>
      <c r="I101" s="19" t="s">
        <v>1666</v>
      </c>
      <c r="J101" s="19" t="s">
        <v>1780</v>
      </c>
      <c r="K101" s="20" t="s">
        <v>1585</v>
      </c>
      <c r="L101" s="21">
        <v>50</v>
      </c>
      <c r="M101" s="21"/>
      <c r="N101" s="26" t="str">
        <f>IFERROR(VLOOKUP(O101,Apoio!A:B,2,0),"")</f>
        <v/>
      </c>
      <c r="O101" s="22">
        <f>IFERROR(VLOOKUP(C101,'[1]TB DIN'!$B:$D,3,0),"AGUARDANDO ANEXO")</f>
        <v>0</v>
      </c>
      <c r="P101" s="22">
        <f>IFERROR(VLOOKUP(C101,'[1]TB DIN INCLUIDOS'!$B:$H,3,0),"AGUARDANDO ANEXO")</f>
        <v>0</v>
      </c>
      <c r="Q101" s="26" cm="1">
        <f t="array" ref="Q101">_xlfn.IFS((P101&gt;N101),(N101*2),(P101&lt;=N101),(P101*2))</f>
        <v>0</v>
      </c>
      <c r="R101" s="22"/>
      <c r="S101" s="26">
        <f>IFERROR(VLOOKUP(T101,Apoio!A:B,2,0),"")</f>
        <v>1</v>
      </c>
      <c r="T101" s="22">
        <f>IFERROR(VLOOKUP(C101,'[1]TB DIN'!$B:$H,4,0),"AGUARDANDO ANEXO")</f>
        <v>25</v>
      </c>
      <c r="U101" s="22">
        <f>IFERROR(VLOOKUP(C101,'[1]TB DIN INCLUIDOS'!$B:$H,4,0),"AGUARDANDO ANEXO")</f>
        <v>0</v>
      </c>
      <c r="V101" s="26" cm="1">
        <f t="array" ref="V101">_xlfn.IFS((U101&gt;S101),(S101*2),(U101&lt;=S101),(U101*2))</f>
        <v>0</v>
      </c>
      <c r="W101" s="22"/>
      <c r="X101" s="26" t="str">
        <f>IFERROR(VLOOKUP(Y101,Apoio!A:B,2,0),"")</f>
        <v/>
      </c>
      <c r="Y101" s="22">
        <f>IFERROR(VLOOKUP(C101,'[1]TB DIN'!$B:$H,5,0),"AGUARDANDO ANEXO")</f>
        <v>0</v>
      </c>
      <c r="Z101" s="22">
        <f>IFERROR(VLOOKUP(C101,'[1]TB DIN INCLUIDOS'!$B:$H,5,0),"AGUARDANDO ANEXO")</f>
        <v>0</v>
      </c>
      <c r="AA101" s="26" cm="1">
        <f t="array" ref="AA101">_xlfn.IFS((Z101&gt;X101),(X101*2),(Z101&lt;=X101),(Z101*2))</f>
        <v>0</v>
      </c>
      <c r="AB101" s="22"/>
      <c r="AC101" s="26">
        <f>IFERROR(VLOOKUP(AD101,Apoio!A:B,2,0),"")</f>
        <v>1</v>
      </c>
      <c r="AD101" s="22">
        <v>18</v>
      </c>
      <c r="AE101" s="22">
        <f>IFERROR(VLOOKUP(C101,'[1]TB DIN INCLUIDOS'!$B:$H,6,0),"AGUARDANDO ANEXO")</f>
        <v>0</v>
      </c>
      <c r="AF101" s="26" cm="1">
        <f t="array" ref="AF101">_xlfn.IFS((AE101&gt;AC101),(AC101*2),(AE101&lt;=AC101),(AE101*2))</f>
        <v>0</v>
      </c>
      <c r="AG101" s="22"/>
      <c r="AH101" s="28">
        <f t="shared" si="7"/>
        <v>43</v>
      </c>
      <c r="AI101" s="28">
        <f t="shared" si="8"/>
        <v>0</v>
      </c>
      <c r="AJ101" s="28">
        <f t="shared" si="9"/>
        <v>0</v>
      </c>
      <c r="AK101" s="28">
        <f t="shared" si="10"/>
        <v>7</v>
      </c>
      <c r="AL101" s="28">
        <f t="shared" si="11"/>
        <v>0</v>
      </c>
      <c r="AM101" s="23" t="s">
        <v>1708</v>
      </c>
      <c r="AN101" s="37">
        <f>VLOOKUP(C101,'[2]MARÇO-2024'!$B:$M,12,0)</f>
        <v>30</v>
      </c>
      <c r="AO101" s="37">
        <f t="shared" si="12"/>
        <v>-13</v>
      </c>
      <c r="AP101" s="37" t="str">
        <f t="shared" si="13"/>
        <v/>
      </c>
    </row>
    <row r="102" spans="1:42" ht="13.5" customHeight="1" x14ac:dyDescent="0.25">
      <c r="A102" s="17">
        <v>3</v>
      </c>
      <c r="B102" s="17">
        <v>40</v>
      </c>
      <c r="C102" s="29">
        <v>3040</v>
      </c>
      <c r="D102" s="43">
        <v>33198730</v>
      </c>
      <c r="E102" s="18"/>
      <c r="F102" s="68"/>
      <c r="G102" s="62" t="s">
        <v>1711</v>
      </c>
      <c r="H102" s="19" t="s">
        <v>1667</v>
      </c>
      <c r="I102" s="19" t="s">
        <v>1193</v>
      </c>
      <c r="J102" s="19" t="s">
        <v>1781</v>
      </c>
      <c r="K102" s="20" t="s">
        <v>1576</v>
      </c>
      <c r="L102" s="21">
        <v>70</v>
      </c>
      <c r="M102" s="21"/>
      <c r="N102" s="26" t="str">
        <f>IFERROR(VLOOKUP(O102,Apoio!A:B,2,0),"")</f>
        <v/>
      </c>
      <c r="O102" s="22">
        <f>IFERROR(VLOOKUP(C102,'[1]TB DIN'!$B:$D,3,0),"AGUARDANDO ANEXO")</f>
        <v>0</v>
      </c>
      <c r="P102" s="22">
        <f>IFERROR(VLOOKUP(C102,'[1]TB DIN INCLUIDOS'!$B:$H,3,0),"AGUARDANDO ANEXO")</f>
        <v>0</v>
      </c>
      <c r="Q102" s="26" cm="1">
        <f t="array" ref="Q102">_xlfn.IFS((P102&gt;N102),(N102*2),(P102&lt;=N102),(P102*2))</f>
        <v>0</v>
      </c>
      <c r="R102" s="22"/>
      <c r="S102" s="26">
        <f>IFERROR(VLOOKUP(T102,Apoio!A:B,2,0),"")</f>
        <v>2</v>
      </c>
      <c r="T102" s="22">
        <f>IFERROR(VLOOKUP(C102,'[1]TB DIN'!$B:$H,4,0),"AGUARDANDO ANEXO")</f>
        <v>30</v>
      </c>
      <c r="U102" s="22">
        <f>IFERROR(VLOOKUP(C102,'[1]TB DIN INCLUIDOS'!$B:$H,4,0),"AGUARDANDO ANEXO")</f>
        <v>0</v>
      </c>
      <c r="V102" s="26" cm="1">
        <f t="array" ref="V102">_xlfn.IFS((U102&gt;S102),(S102*2),(U102&lt;=S102),(U102*2))</f>
        <v>0</v>
      </c>
      <c r="W102" s="22"/>
      <c r="X102" s="26">
        <f>IFERROR(VLOOKUP(Y102,Apoio!A:B,2,0),"")</f>
        <v>1</v>
      </c>
      <c r="Y102" s="22">
        <f>IFERROR(VLOOKUP(C102,'[1]TB DIN'!$B:$H,5,0),"AGUARDANDO ANEXO")</f>
        <v>18</v>
      </c>
      <c r="Z102" s="22">
        <f>IFERROR(VLOOKUP(C102,'[1]TB DIN INCLUIDOS'!$B:$H,5,0),"AGUARDANDO ANEXO")</f>
        <v>2</v>
      </c>
      <c r="AA102" s="26" cm="1">
        <f t="array" ref="AA102">_xlfn.IFS((Z102&gt;X102),(X102*2),(Z102&lt;=X102),(Z102*2))</f>
        <v>2</v>
      </c>
      <c r="AB102" s="22"/>
      <c r="AC102" s="26">
        <f>IFERROR(VLOOKUP(AD102,Apoio!A:B,2,0),"")</f>
        <v>1</v>
      </c>
      <c r="AD102" s="22">
        <f>IFERROR(VLOOKUP(C102,'[1]TB DIN'!$B:$H,6,0),"AGUARDANDO ANEXO")</f>
        <v>20</v>
      </c>
      <c r="AE102" s="22">
        <f>IFERROR(VLOOKUP(C102,'[1]TB DIN INCLUIDOS'!$B:$H,6,0),"AGUARDANDO ANEXO")</f>
        <v>0</v>
      </c>
      <c r="AF102" s="26" cm="1">
        <f t="array" ref="AF102">_xlfn.IFS((AE102&gt;AC102),(AC102*2),(AE102&lt;=AC102),(AE102*2))</f>
        <v>0</v>
      </c>
      <c r="AG102" s="22"/>
      <c r="AH102" s="28">
        <f t="shared" si="7"/>
        <v>68</v>
      </c>
      <c r="AI102" s="28">
        <f t="shared" si="8"/>
        <v>2</v>
      </c>
      <c r="AJ102" s="28">
        <f t="shared" si="9"/>
        <v>2</v>
      </c>
      <c r="AK102" s="28">
        <f t="shared" si="10"/>
        <v>0</v>
      </c>
      <c r="AL102" s="28">
        <f t="shared" si="11"/>
        <v>0</v>
      </c>
      <c r="AM102" s="23" t="s">
        <v>1708</v>
      </c>
      <c r="AN102" s="37">
        <f>VLOOKUP(C102,'[2]MARÇO-2024'!$B:$M,12,0)</f>
        <v>67</v>
      </c>
      <c r="AO102" s="37">
        <f t="shared" si="12"/>
        <v>-1</v>
      </c>
      <c r="AP102" s="37" t="str">
        <f t="shared" si="13"/>
        <v/>
      </c>
    </row>
    <row r="103" spans="1:42" ht="13.5" customHeight="1" x14ac:dyDescent="0.25">
      <c r="A103" s="17">
        <v>3</v>
      </c>
      <c r="B103" s="17">
        <v>41</v>
      </c>
      <c r="C103" s="29">
        <v>3041</v>
      </c>
      <c r="D103" s="38">
        <v>33197962</v>
      </c>
      <c r="E103" s="18"/>
      <c r="F103" s="68"/>
      <c r="G103" s="62" t="s">
        <v>1717</v>
      </c>
      <c r="H103" s="19" t="s">
        <v>1668</v>
      </c>
      <c r="I103" s="19" t="s">
        <v>1836</v>
      </c>
      <c r="J103" s="19" t="s">
        <v>1782</v>
      </c>
      <c r="K103" s="20" t="s">
        <v>1572</v>
      </c>
      <c r="L103" s="21">
        <v>50</v>
      </c>
      <c r="M103" s="21"/>
      <c r="N103" s="26" t="str">
        <f>IFERROR(VLOOKUP(O103,Apoio!A:B,2,0),"")</f>
        <v/>
      </c>
      <c r="O103" s="22">
        <f>IFERROR(VLOOKUP(C103,'[1]TB DIN'!$B:$D,3,0),"AGUARDANDO ANEXO")</f>
        <v>0</v>
      </c>
      <c r="P103" s="22">
        <f>IFERROR(VLOOKUP(C103,'[1]TB DIN INCLUIDOS'!$B:$H,3,0),"AGUARDANDO ANEXO")</f>
        <v>0</v>
      </c>
      <c r="Q103" s="26" cm="1">
        <f t="array" ref="Q103">_xlfn.IFS((P103&gt;N103),(N103*2),(P103&lt;=N103),(P103*2))</f>
        <v>0</v>
      </c>
      <c r="R103" s="22"/>
      <c r="S103" s="26" t="str">
        <f>IFERROR(VLOOKUP(T103,Apoio!A:B,2,0),"")</f>
        <v/>
      </c>
      <c r="T103" s="22">
        <f>IFERROR(VLOOKUP(C103,'[1]TB DIN'!$B:$H,4,0),"AGUARDANDO ANEXO")</f>
        <v>0</v>
      </c>
      <c r="U103" s="22">
        <f>IFERROR(VLOOKUP(C103,'[1]TB DIN INCLUIDOS'!$B:$H,4,0),"AGUARDANDO ANEXO")</f>
        <v>0</v>
      </c>
      <c r="V103" s="26" cm="1">
        <f t="array" ref="V103">_xlfn.IFS((U103&gt;S103),(S103*2),(U103&lt;=S103),(U103*2))</f>
        <v>0</v>
      </c>
      <c r="W103" s="22"/>
      <c r="X103" s="26">
        <f>IFERROR(VLOOKUP(Y103,Apoio!A:B,2,0),"")</f>
        <v>1</v>
      </c>
      <c r="Y103" s="22">
        <v>24</v>
      </c>
      <c r="Z103" s="22">
        <f>IFERROR(VLOOKUP(C103,'[1]TB DIN INCLUIDOS'!$B:$H,5,0),"AGUARDANDO ANEXO")</f>
        <v>1</v>
      </c>
      <c r="AA103" s="26" cm="1">
        <f t="array" ref="AA103">_xlfn.IFS((Z103&gt;X103),(X103*2),(Z103&lt;=X103),(Z103*2))</f>
        <v>2</v>
      </c>
      <c r="AB103" s="22"/>
      <c r="AC103" s="26">
        <f>IFERROR(VLOOKUP(AD103,Apoio!A:B,2,0),"")</f>
        <v>1</v>
      </c>
      <c r="AD103" s="22">
        <v>23</v>
      </c>
      <c r="AE103" s="22">
        <f>IFERROR(VLOOKUP(C103,'[1]TB DIN INCLUIDOS'!$B:$H,6,0),"AGUARDANDO ANEXO")</f>
        <v>2</v>
      </c>
      <c r="AF103" s="26" cm="1">
        <f t="array" ref="AF103">_xlfn.IFS((AE103&gt;AC103),(AC103*2),(AE103&lt;=AC103),(AE103*2))</f>
        <v>2</v>
      </c>
      <c r="AG103" s="22"/>
      <c r="AH103" s="28">
        <f t="shared" si="7"/>
        <v>47</v>
      </c>
      <c r="AI103" s="28">
        <f t="shared" si="8"/>
        <v>3</v>
      </c>
      <c r="AJ103" s="28">
        <f t="shared" si="9"/>
        <v>4</v>
      </c>
      <c r="AK103" s="28">
        <f t="shared" si="10"/>
        <v>0</v>
      </c>
      <c r="AL103" s="28">
        <f t="shared" si="11"/>
        <v>-1</v>
      </c>
      <c r="AM103" s="23" t="s">
        <v>1708</v>
      </c>
      <c r="AN103" s="37">
        <f>VLOOKUP(C103,'[2]MARÇO-2024'!$B:$M,12,0)</f>
        <v>43</v>
      </c>
      <c r="AO103" s="37">
        <f t="shared" si="12"/>
        <v>-4</v>
      </c>
      <c r="AP103" s="37" t="str">
        <f t="shared" si="13"/>
        <v/>
      </c>
    </row>
    <row r="104" spans="1:42" ht="13.5" customHeight="1" x14ac:dyDescent="0.25">
      <c r="A104" s="17">
        <v>4</v>
      </c>
      <c r="B104" s="17">
        <v>1</v>
      </c>
      <c r="C104" s="29">
        <v>4001</v>
      </c>
      <c r="D104" s="38">
        <v>33162131</v>
      </c>
      <c r="E104" s="18" t="s">
        <v>359</v>
      </c>
      <c r="F104" s="68" t="s">
        <v>671</v>
      </c>
      <c r="G104" s="62" t="s">
        <v>171</v>
      </c>
      <c r="H104" s="19" t="s">
        <v>964</v>
      </c>
      <c r="I104" s="19" t="s">
        <v>1164</v>
      </c>
      <c r="J104" s="19" t="s">
        <v>1340</v>
      </c>
      <c r="K104" s="20" t="s">
        <v>1585</v>
      </c>
      <c r="L104" s="21">
        <v>200</v>
      </c>
      <c r="M104" s="21"/>
      <c r="N104" s="26" t="str">
        <f>IFERROR(VLOOKUP(O104,Apoio!A:B,2,0),"")</f>
        <v/>
      </c>
      <c r="O104" s="22">
        <f>IFERROR(VLOOKUP(C104,'[1]TB DIN'!$B:$D,3,0),"AGUARDANDO ANEXO")</f>
        <v>0</v>
      </c>
      <c r="P104" s="22">
        <f>IFERROR(VLOOKUP(C104,'[1]TB DIN INCLUIDOS'!$B:$H,3,0),"AGUARDANDO ANEXO")</f>
        <v>0</v>
      </c>
      <c r="Q104" s="26" cm="1">
        <f t="array" ref="Q104">_xlfn.IFS((P104&gt;N104),(N104*2),(P104&lt;=N104),(P104*2))</f>
        <v>0</v>
      </c>
      <c r="R104" s="22"/>
      <c r="S104" s="26">
        <f>IFERROR(VLOOKUP(T104,Apoio!A:B,2,0),"")</f>
        <v>3</v>
      </c>
      <c r="T104" s="22">
        <f>IFERROR(VLOOKUP(C104,'[1]TB DIN'!$B:$H,4,0),"AGUARDANDO ANEXO")</f>
        <v>55</v>
      </c>
      <c r="U104" s="22">
        <f>IFERROR(VLOOKUP(C104,'[1]TB DIN INCLUIDOS'!$B:$H,4,0),"AGUARDANDO ANEXO")</f>
        <v>0</v>
      </c>
      <c r="V104" s="26" cm="1">
        <f t="array" ref="V104">_xlfn.IFS((U104&gt;S104),(S104*2),(U104&lt;=S104),(U104*2))</f>
        <v>0</v>
      </c>
      <c r="W104" s="22"/>
      <c r="X104" s="26">
        <f>IFERROR(VLOOKUP(Y104,Apoio!A:B,2,0),"")</f>
        <v>3</v>
      </c>
      <c r="Y104" s="22">
        <f>IFERROR(VLOOKUP(C104,'[1]TB DIN'!$B:$H,5,0),"AGUARDANDO ANEXO")</f>
        <v>69</v>
      </c>
      <c r="Z104" s="22">
        <f>IFERROR(VLOOKUP(C104,'[1]TB DIN INCLUIDOS'!$B:$H,5,0),"AGUARDANDO ANEXO")</f>
        <v>0</v>
      </c>
      <c r="AA104" s="26" cm="1">
        <f t="array" ref="AA104">_xlfn.IFS((Z104&gt;X104),(X104*2),(Z104&lt;=X104),(Z104*2))</f>
        <v>0</v>
      </c>
      <c r="AB104" s="22"/>
      <c r="AC104" s="26">
        <f>IFERROR(VLOOKUP(AD104,Apoio!A:B,2,0),"")</f>
        <v>4</v>
      </c>
      <c r="AD104" s="22">
        <f>IFERROR(VLOOKUP(C104,'[1]TB DIN'!$B:$H,6,0),"AGUARDANDO ANEXO")</f>
        <v>76</v>
      </c>
      <c r="AE104" s="22">
        <f>IFERROR(VLOOKUP(C104,'[1]TB DIN INCLUIDOS'!$B:$H,6,0),"AGUARDANDO ANEXO")</f>
        <v>0</v>
      </c>
      <c r="AF104" s="26" cm="1">
        <f t="array" ref="AF104">_xlfn.IFS((AE104&gt;AC104),(AC104*2),(AE104&lt;=AC104),(AE104*2))</f>
        <v>0</v>
      </c>
      <c r="AG104" s="22"/>
      <c r="AH104" s="28">
        <f t="shared" si="7"/>
        <v>200</v>
      </c>
      <c r="AI104" s="28">
        <f t="shared" si="8"/>
        <v>0</v>
      </c>
      <c r="AJ104" s="28">
        <f t="shared" si="9"/>
        <v>0</v>
      </c>
      <c r="AK104" s="28">
        <f t="shared" si="10"/>
        <v>0</v>
      </c>
      <c r="AL104" s="28">
        <f t="shared" si="11"/>
        <v>0</v>
      </c>
      <c r="AM104" s="23" t="s">
        <v>1707</v>
      </c>
      <c r="AN104" s="37">
        <f>VLOOKUP(C104,'[2]MARÇO-2024'!$B:$M,12,0)</f>
        <v>200</v>
      </c>
      <c r="AO104" s="37">
        <f t="shared" si="12"/>
        <v>0</v>
      </c>
      <c r="AP104" s="37" t="str">
        <f t="shared" si="13"/>
        <v/>
      </c>
    </row>
    <row r="105" spans="1:42" ht="13.5" customHeight="1" x14ac:dyDescent="0.25">
      <c r="A105" s="17">
        <v>4</v>
      </c>
      <c r="B105" s="17">
        <v>2</v>
      </c>
      <c r="C105" s="29">
        <v>4002</v>
      </c>
      <c r="D105" s="38">
        <v>33169896</v>
      </c>
      <c r="E105" s="18" t="s">
        <v>456</v>
      </c>
      <c r="F105" s="68" t="s">
        <v>692</v>
      </c>
      <c r="G105" s="62" t="s">
        <v>191</v>
      </c>
      <c r="H105" s="19" t="s">
        <v>985</v>
      </c>
      <c r="I105" s="19" t="s">
        <v>1186</v>
      </c>
      <c r="J105" s="19" t="s">
        <v>1361</v>
      </c>
      <c r="K105" s="20" t="s">
        <v>1582</v>
      </c>
      <c r="L105" s="21">
        <v>100</v>
      </c>
      <c r="M105" s="21"/>
      <c r="N105" s="26" t="str">
        <f>IFERROR(VLOOKUP(O105,Apoio!A:B,2,0),"")</f>
        <v/>
      </c>
      <c r="O105" s="22">
        <f>IFERROR(VLOOKUP(C105,'[1]TB DIN'!$B:$D,3,0),"AGUARDANDO ANEXO")</f>
        <v>0</v>
      </c>
      <c r="P105" s="22">
        <f>IFERROR(VLOOKUP(C105,'[1]TB DIN INCLUIDOS'!$B:$H,3,0),"AGUARDANDO ANEXO")</f>
        <v>0</v>
      </c>
      <c r="Q105" s="26" cm="1">
        <f t="array" ref="Q105">_xlfn.IFS((P105&gt;N105),(N105*2),(P105&lt;=N105),(P105*2))</f>
        <v>0</v>
      </c>
      <c r="R105" s="22"/>
      <c r="S105" s="26">
        <f>IFERROR(VLOOKUP(T105,Apoio!A:B,2,0),"")</f>
        <v>1</v>
      </c>
      <c r="T105" s="22">
        <f>IFERROR(VLOOKUP(C105,'[1]TB DIN'!$B:$H,4,0),"AGUARDANDO ANEXO")</f>
        <v>25</v>
      </c>
      <c r="U105" s="22">
        <f>IFERROR(VLOOKUP(C105,'[1]TB DIN INCLUIDOS'!$B:$H,4,0),"AGUARDANDO ANEXO")</f>
        <v>0</v>
      </c>
      <c r="V105" s="26" cm="1">
        <f t="array" ref="V105">_xlfn.IFS((U105&gt;S105),(S105*2),(U105&lt;=S105),(U105*2))</f>
        <v>0</v>
      </c>
      <c r="W105" s="22"/>
      <c r="X105" s="26">
        <f>IFERROR(VLOOKUP(Y105,Apoio!A:B,2,0),"")</f>
        <v>2</v>
      </c>
      <c r="Y105" s="22">
        <f>IFERROR(VLOOKUP(C105,'[1]TB DIN'!$B:$H,5,0),"AGUARDANDO ANEXO")</f>
        <v>42</v>
      </c>
      <c r="Z105" s="22">
        <f>IFERROR(VLOOKUP(C105,'[1]TB DIN INCLUIDOS'!$B:$H,5,0),"AGUARDANDO ANEXO")</f>
        <v>2</v>
      </c>
      <c r="AA105" s="26" cm="1">
        <f t="array" ref="AA105">_xlfn.IFS((Z105&gt;X105),(X105*2),(Z105&lt;=X105),(Z105*2))</f>
        <v>4</v>
      </c>
      <c r="AB105" s="22"/>
      <c r="AC105" s="26">
        <f>IFERROR(VLOOKUP(AD105,Apoio!A:B,2,0),"")</f>
        <v>2</v>
      </c>
      <c r="AD105" s="22">
        <f>IFERROR(VLOOKUP(C105,'[1]TB DIN'!$B:$H,6,0),"AGUARDANDO ANEXO")</f>
        <v>31</v>
      </c>
      <c r="AE105" s="22">
        <v>2</v>
      </c>
      <c r="AF105" s="26" cm="1">
        <f t="array" ref="AF105">_xlfn.IFS((AE105&gt;AC105),(AC105*2),(AE105&lt;=AC105),(AE105*2))</f>
        <v>4</v>
      </c>
      <c r="AG105" s="22"/>
      <c r="AH105" s="28">
        <f t="shared" si="7"/>
        <v>98</v>
      </c>
      <c r="AI105" s="28">
        <f t="shared" si="8"/>
        <v>4</v>
      </c>
      <c r="AJ105" s="28">
        <f t="shared" si="9"/>
        <v>8</v>
      </c>
      <c r="AK105" s="28">
        <f t="shared" si="10"/>
        <v>0</v>
      </c>
      <c r="AL105" s="28">
        <f t="shared" si="11"/>
        <v>-6</v>
      </c>
      <c r="AM105" s="23" t="s">
        <v>1707</v>
      </c>
      <c r="AN105" s="37">
        <f>VLOOKUP(C105,'[2]MARÇO-2024'!$B:$M,12,0)</f>
        <v>100</v>
      </c>
      <c r="AO105" s="37">
        <f t="shared" si="12"/>
        <v>2</v>
      </c>
      <c r="AP105" s="37" t="str">
        <f t="shared" si="13"/>
        <v/>
      </c>
    </row>
    <row r="106" spans="1:42" ht="13.5" customHeight="1" x14ac:dyDescent="0.25">
      <c r="A106" s="17">
        <v>4</v>
      </c>
      <c r="B106" s="17">
        <v>3</v>
      </c>
      <c r="C106" s="29">
        <v>4003</v>
      </c>
      <c r="D106" s="38">
        <v>33239215</v>
      </c>
      <c r="E106" s="18" t="s">
        <v>438</v>
      </c>
      <c r="F106" s="68" t="s">
        <v>666</v>
      </c>
      <c r="G106" s="62" t="s">
        <v>167</v>
      </c>
      <c r="H106" s="19" t="s">
        <v>959</v>
      </c>
      <c r="I106" s="19" t="s">
        <v>959</v>
      </c>
      <c r="J106" s="19" t="s">
        <v>1335</v>
      </c>
      <c r="K106" s="20" t="s">
        <v>1583</v>
      </c>
      <c r="L106" s="21">
        <v>142</v>
      </c>
      <c r="M106" s="21"/>
      <c r="N106" s="26" t="str">
        <f>IFERROR(VLOOKUP(O106,Apoio!A:B,2,0),"")</f>
        <v/>
      </c>
      <c r="O106" s="22">
        <f>IFERROR(VLOOKUP(C106,'[1]TB DIN'!$B:$D,3,0),"AGUARDANDO ANEXO")</f>
        <v>0</v>
      </c>
      <c r="P106" s="22">
        <f>IFERROR(VLOOKUP(C106,'[1]TB DIN INCLUIDOS'!$B:$H,3,0),"AGUARDANDO ANEXO")</f>
        <v>0</v>
      </c>
      <c r="Q106" s="26" cm="1">
        <f t="array" ref="Q106">_xlfn.IFS((P106&gt;N106),(N106*2),(P106&lt;=N106),(P106*2))</f>
        <v>0</v>
      </c>
      <c r="R106" s="22"/>
      <c r="S106" s="26">
        <f>IFERROR(VLOOKUP(T106,Apoio!A:B,2,0),"")</f>
        <v>2</v>
      </c>
      <c r="T106" s="22">
        <f>IFERROR(VLOOKUP(C106,'[1]TB DIN'!$B:$H,4,0),"AGUARDANDO ANEXO")</f>
        <v>44</v>
      </c>
      <c r="U106" s="22">
        <f>IFERROR(VLOOKUP(C106,'[1]TB DIN INCLUIDOS'!$B:$H,4,0),"AGUARDANDO ANEXO")</f>
        <v>0</v>
      </c>
      <c r="V106" s="26" cm="1">
        <f t="array" ref="V106">_xlfn.IFS((U106&gt;S106),(S106*2),(U106&lt;=S106),(U106*2))</f>
        <v>0</v>
      </c>
      <c r="W106" s="22"/>
      <c r="X106" s="26">
        <f>IFERROR(VLOOKUP(Y106,Apoio!A:B,2,0),"")</f>
        <v>2</v>
      </c>
      <c r="Y106" s="22">
        <f>IFERROR(VLOOKUP(C106,'[1]TB DIN'!$B:$H,5,0),"AGUARDANDO ANEXO")</f>
        <v>48</v>
      </c>
      <c r="Z106" s="22">
        <f>IFERROR(VLOOKUP(C106,'[1]TB DIN INCLUIDOS'!$B:$H,5,0),"AGUARDANDO ANEXO")</f>
        <v>0</v>
      </c>
      <c r="AA106" s="26" cm="1">
        <f t="array" ref="AA106">_xlfn.IFS((Z106&gt;X106),(X106*2),(Z106&lt;=X106),(Z106*2))</f>
        <v>0</v>
      </c>
      <c r="AB106" s="22"/>
      <c r="AC106" s="26">
        <f>IFERROR(VLOOKUP(AD106,Apoio!A:B,2,0),"")</f>
        <v>2</v>
      </c>
      <c r="AD106" s="22">
        <f>IFERROR(VLOOKUP(C106,'[1]TB DIN'!$B:$H,6,0),"AGUARDANDO ANEXO")</f>
        <v>50</v>
      </c>
      <c r="AE106" s="22">
        <f>IFERROR(VLOOKUP(C106,'[1]TB DIN INCLUIDOS'!$B:$H,6,0),"AGUARDANDO ANEXO")</f>
        <v>0</v>
      </c>
      <c r="AF106" s="26" cm="1">
        <f t="array" ref="AF106">_xlfn.IFS((AE106&gt;AC106),(AC106*2),(AE106&lt;=AC106),(AE106*2))</f>
        <v>0</v>
      </c>
      <c r="AG106" s="22"/>
      <c r="AH106" s="28">
        <f t="shared" si="7"/>
        <v>142</v>
      </c>
      <c r="AI106" s="28">
        <f t="shared" si="8"/>
        <v>0</v>
      </c>
      <c r="AJ106" s="28">
        <f t="shared" si="9"/>
        <v>0</v>
      </c>
      <c r="AK106" s="28">
        <f t="shared" si="10"/>
        <v>0</v>
      </c>
      <c r="AL106" s="28">
        <f t="shared" si="11"/>
        <v>0</v>
      </c>
      <c r="AM106" s="23" t="s">
        <v>1707</v>
      </c>
      <c r="AN106" s="37">
        <f>VLOOKUP(C106,'[2]MARÇO-2024'!$B:$M,12,0)</f>
        <v>142</v>
      </c>
      <c r="AO106" s="37">
        <f t="shared" si="12"/>
        <v>0</v>
      </c>
      <c r="AP106" s="37" t="str">
        <f t="shared" si="13"/>
        <v/>
      </c>
    </row>
    <row r="107" spans="1:42" ht="13.5" customHeight="1" x14ac:dyDescent="0.25">
      <c r="A107" s="17">
        <v>4</v>
      </c>
      <c r="B107" s="17">
        <v>4</v>
      </c>
      <c r="C107" s="29">
        <v>4004</v>
      </c>
      <c r="D107" s="38">
        <v>33137870</v>
      </c>
      <c r="E107" s="18" t="s">
        <v>445</v>
      </c>
      <c r="F107" s="68" t="s">
        <v>677</v>
      </c>
      <c r="G107" s="62" t="s">
        <v>177</v>
      </c>
      <c r="H107" s="19" t="s">
        <v>970</v>
      </c>
      <c r="I107" s="19" t="s">
        <v>1181</v>
      </c>
      <c r="J107" s="19" t="s">
        <v>1346</v>
      </c>
      <c r="K107" s="20" t="s">
        <v>1579</v>
      </c>
      <c r="L107" s="21">
        <v>165</v>
      </c>
      <c r="M107" s="21"/>
      <c r="N107" s="26" t="str">
        <f>IFERROR(VLOOKUP(O107,Apoio!A:B,2,0),"")</f>
        <v/>
      </c>
      <c r="O107" s="22">
        <f>IFERROR(VLOOKUP(C107,'[1]TB DIN'!$B:$D,3,0),"AGUARDANDO ANEXO")</f>
        <v>0</v>
      </c>
      <c r="P107" s="22">
        <f>IFERROR(VLOOKUP(C107,'[1]TB DIN INCLUIDOS'!$B:$H,3,0),"AGUARDANDO ANEXO")</f>
        <v>0</v>
      </c>
      <c r="Q107" s="26" cm="1">
        <f t="array" ref="Q107">_xlfn.IFS((P107&gt;N107),(N107*2),(P107&lt;=N107),(P107*2))</f>
        <v>0</v>
      </c>
      <c r="R107" s="22"/>
      <c r="S107" s="26" t="str">
        <f>IFERROR(VLOOKUP(T107,Apoio!A:B,2,0),"")</f>
        <v/>
      </c>
      <c r="T107" s="22">
        <f>IFERROR(VLOOKUP(C107,'[1]TB DIN'!$B:$H,4,0),"AGUARDANDO ANEXO")</f>
        <v>0</v>
      </c>
      <c r="U107" s="22">
        <f>IFERROR(VLOOKUP(C107,'[1]TB DIN INCLUIDOS'!$B:$H,4,0),"AGUARDANDO ANEXO")</f>
        <v>0</v>
      </c>
      <c r="V107" s="26" cm="1">
        <f t="array" ref="V107">_xlfn.IFS((U107&gt;S107),(S107*2),(U107&lt;=S107),(U107*2))</f>
        <v>0</v>
      </c>
      <c r="W107" s="22"/>
      <c r="X107" s="26">
        <f>IFERROR(VLOOKUP(Y107,Apoio!A:B,2,0),"")</f>
        <v>3</v>
      </c>
      <c r="Y107" s="22">
        <v>71</v>
      </c>
      <c r="Z107" s="22">
        <f>IFERROR(VLOOKUP(C107,'[1]TB DIN INCLUIDOS'!$B:$H,5,0),"AGUARDANDO ANEXO")</f>
        <v>0</v>
      </c>
      <c r="AA107" s="26" cm="1">
        <f t="array" ref="AA107">_xlfn.IFS((Z107&gt;X107),(X107*2),(Z107&lt;=X107),(Z107*2))</f>
        <v>0</v>
      </c>
      <c r="AB107" s="22"/>
      <c r="AC107" s="26">
        <f>IFERROR(VLOOKUP(AD107,Apoio!A:B,2,0),"")</f>
        <v>4</v>
      </c>
      <c r="AD107" s="22">
        <v>92</v>
      </c>
      <c r="AE107" s="22">
        <f>IFERROR(VLOOKUP(C107,'[1]TB DIN INCLUIDOS'!$B:$H,6,0),"AGUARDANDO ANEXO")</f>
        <v>0</v>
      </c>
      <c r="AF107" s="26" cm="1">
        <f t="array" ref="AF107">_xlfn.IFS((AE107&gt;AC107),(AC107*2),(AE107&lt;=AC107),(AE107*2))</f>
        <v>0</v>
      </c>
      <c r="AG107" s="22"/>
      <c r="AH107" s="28">
        <f t="shared" si="7"/>
        <v>163</v>
      </c>
      <c r="AI107" s="28">
        <f t="shared" si="8"/>
        <v>0</v>
      </c>
      <c r="AJ107" s="28">
        <f t="shared" si="9"/>
        <v>0</v>
      </c>
      <c r="AK107" s="28">
        <f t="shared" si="10"/>
        <v>2</v>
      </c>
      <c r="AL107" s="28">
        <f t="shared" si="11"/>
        <v>0</v>
      </c>
      <c r="AM107" s="23" t="s">
        <v>1707</v>
      </c>
      <c r="AN107" s="37">
        <f>VLOOKUP(C107,'[2]MARÇO-2024'!$B:$M,12,0)</f>
        <v>157</v>
      </c>
      <c r="AO107" s="37">
        <f t="shared" si="12"/>
        <v>-6</v>
      </c>
      <c r="AP107" s="37" t="str">
        <f t="shared" si="13"/>
        <v/>
      </c>
    </row>
    <row r="108" spans="1:42" ht="13.5" customHeight="1" x14ac:dyDescent="0.25">
      <c r="A108" s="17">
        <v>4</v>
      </c>
      <c r="B108" s="17">
        <v>5</v>
      </c>
      <c r="C108" s="29">
        <v>4005</v>
      </c>
      <c r="D108" s="38">
        <v>33150109</v>
      </c>
      <c r="E108" s="18" t="s">
        <v>439</v>
      </c>
      <c r="F108" s="68" t="s">
        <v>667</v>
      </c>
      <c r="G108" s="62" t="s">
        <v>168</v>
      </c>
      <c r="H108" s="19" t="s">
        <v>960</v>
      </c>
      <c r="I108" s="19" t="s">
        <v>1175</v>
      </c>
      <c r="J108" s="19" t="s">
        <v>1336</v>
      </c>
      <c r="K108" s="20" t="s">
        <v>1584</v>
      </c>
      <c r="L108" s="21">
        <v>251</v>
      </c>
      <c r="M108" s="21"/>
      <c r="N108" s="26" t="str">
        <f>IFERROR(VLOOKUP(O108,Apoio!A:B,2,0),"")</f>
        <v/>
      </c>
      <c r="O108" s="22">
        <f>IFERROR(VLOOKUP(C108,'[1]TB DIN'!$B:$D,3,0),"AGUARDANDO ANEXO")</f>
        <v>0</v>
      </c>
      <c r="P108" s="22">
        <f>IFERROR(VLOOKUP(C108,'[1]TB DIN INCLUIDOS'!$B:$H,3,0),"AGUARDANDO ANEXO")</f>
        <v>0</v>
      </c>
      <c r="Q108" s="26" cm="1">
        <f t="array" ref="Q108">_xlfn.IFS((P108&gt;N108),(N108*2),(P108&lt;=N108),(P108*2))</f>
        <v>0</v>
      </c>
      <c r="R108" s="22"/>
      <c r="S108" s="26">
        <f>IFERROR(VLOOKUP(T108,Apoio!A:B,2,0),"")</f>
        <v>3</v>
      </c>
      <c r="T108" s="22">
        <f>IFERROR(VLOOKUP(C108,'[1]TB DIN'!$B:$H,4,0),"AGUARDANDO ANEXO")</f>
        <v>63</v>
      </c>
      <c r="U108" s="22">
        <f>IFERROR(VLOOKUP(C108,'[1]TB DIN INCLUIDOS'!$B:$H,4,0),"AGUARDANDO ANEXO")</f>
        <v>0</v>
      </c>
      <c r="V108" s="26" cm="1">
        <f t="array" ref="V108">_xlfn.IFS((U108&gt;S108),(S108*2),(U108&lt;=S108),(U108*2))</f>
        <v>0</v>
      </c>
      <c r="W108" s="22"/>
      <c r="X108" s="26">
        <f>IFERROR(VLOOKUP(Y108,Apoio!A:B,2,0),"")</f>
        <v>4</v>
      </c>
      <c r="Y108" s="22">
        <v>90</v>
      </c>
      <c r="Z108" s="22">
        <f>IFERROR(VLOOKUP(C108,'[1]TB DIN INCLUIDOS'!$B:$H,5,0),"AGUARDANDO ANEXO")</f>
        <v>0</v>
      </c>
      <c r="AA108" s="26" cm="1">
        <f t="array" ref="AA108">_xlfn.IFS((Z108&gt;X108),(X108*2),(Z108&lt;=X108),(Z108*2))</f>
        <v>0</v>
      </c>
      <c r="AB108" s="22"/>
      <c r="AC108" s="26">
        <f>IFERROR(VLOOKUP(AD108,Apoio!A:B,2,0),"")</f>
        <v>4</v>
      </c>
      <c r="AD108" s="22">
        <f>IFERROR(VLOOKUP(C108,'[1]TB DIN'!$B:$H,6,0),"AGUARDANDO ANEXO")</f>
        <v>97</v>
      </c>
      <c r="AE108" s="22">
        <f>IFERROR(VLOOKUP(C108,'[1]TB DIN INCLUIDOS'!$B:$H,6,0),"AGUARDANDO ANEXO")</f>
        <v>2</v>
      </c>
      <c r="AF108" s="26" cm="1">
        <f t="array" ref="AF108">_xlfn.IFS((AE108&gt;AC108),(AC108*2),(AE108&lt;=AC108),(AE108*2))</f>
        <v>4</v>
      </c>
      <c r="AG108" s="22"/>
      <c r="AH108" s="28">
        <f t="shared" si="7"/>
        <v>250</v>
      </c>
      <c r="AI108" s="28">
        <f t="shared" si="8"/>
        <v>2</v>
      </c>
      <c r="AJ108" s="28">
        <f t="shared" si="9"/>
        <v>4</v>
      </c>
      <c r="AK108" s="28">
        <f t="shared" si="10"/>
        <v>0</v>
      </c>
      <c r="AL108" s="28">
        <f t="shared" si="11"/>
        <v>-3</v>
      </c>
      <c r="AM108" s="23" t="s">
        <v>1707</v>
      </c>
      <c r="AN108" s="37">
        <f>VLOOKUP(C108,'[2]MARÇO-2024'!$B:$M,12,0)</f>
        <v>249</v>
      </c>
      <c r="AO108" s="37">
        <f t="shared" si="12"/>
        <v>-1</v>
      </c>
      <c r="AP108" s="37" t="str">
        <f t="shared" si="13"/>
        <v/>
      </c>
    </row>
    <row r="109" spans="1:42" ht="13.5" customHeight="1" x14ac:dyDescent="0.25">
      <c r="A109" s="17">
        <v>4</v>
      </c>
      <c r="B109" s="17">
        <v>6</v>
      </c>
      <c r="C109" s="29">
        <v>4006</v>
      </c>
      <c r="D109" s="38">
        <v>33156352</v>
      </c>
      <c r="E109" s="18" t="s">
        <v>440</v>
      </c>
      <c r="F109" s="68" t="s">
        <v>672</v>
      </c>
      <c r="G109" s="62" t="s">
        <v>172</v>
      </c>
      <c r="H109" s="19" t="s">
        <v>965</v>
      </c>
      <c r="I109" s="19" t="s">
        <v>1177</v>
      </c>
      <c r="J109" s="19" t="s">
        <v>1341</v>
      </c>
      <c r="K109" s="20" t="s">
        <v>1585</v>
      </c>
      <c r="L109" s="21">
        <v>69</v>
      </c>
      <c r="M109" s="21"/>
      <c r="N109" s="26" t="str">
        <f>IFERROR(VLOOKUP(O109,Apoio!A:B,2,0),"")</f>
        <v/>
      </c>
      <c r="O109" s="22">
        <f>IFERROR(VLOOKUP(C109,'[1]TB DIN'!$B:$D,3,0),"AGUARDANDO ANEXO")</f>
        <v>0</v>
      </c>
      <c r="P109" s="22">
        <f>IFERROR(VLOOKUP(C109,'[1]TB DIN INCLUIDOS'!$B:$H,3,0),"AGUARDANDO ANEXO")</f>
        <v>0</v>
      </c>
      <c r="Q109" s="26" cm="1">
        <f t="array" ref="Q109">_xlfn.IFS((P109&gt;N109),(N109*2),(P109&lt;=N109),(P109*2))</f>
        <v>0</v>
      </c>
      <c r="R109" s="22"/>
      <c r="S109" s="26">
        <f>IFERROR(VLOOKUP(T109,Apoio!A:B,2,0),"")</f>
        <v>1</v>
      </c>
      <c r="T109" s="22">
        <f>IFERROR(VLOOKUP(C109,'[1]TB DIN'!$B:$H,4,0),"AGUARDANDO ANEXO")</f>
        <v>8</v>
      </c>
      <c r="U109" s="22">
        <f>IFERROR(VLOOKUP(C109,'[1]TB DIN INCLUIDOS'!$B:$H,4,0),"AGUARDANDO ANEXO")</f>
        <v>0</v>
      </c>
      <c r="V109" s="26" cm="1">
        <f t="array" ref="V109">_xlfn.IFS((U109&gt;S109),(S109*2),(U109&lt;=S109),(U109*2))</f>
        <v>0</v>
      </c>
      <c r="W109" s="22"/>
      <c r="X109" s="26">
        <f>IFERROR(VLOOKUP(Y109,Apoio!A:B,2,0),"")</f>
        <v>2</v>
      </c>
      <c r="Y109" s="22">
        <f>IFERROR(VLOOKUP(C109,'[1]TB DIN'!$B:$H,5,0),"AGUARDANDO ANEXO")</f>
        <v>30</v>
      </c>
      <c r="Z109" s="22">
        <f>IFERROR(VLOOKUP(C109,'[1]TB DIN INCLUIDOS'!$B:$H,5,0),"AGUARDANDO ANEXO")</f>
        <v>0</v>
      </c>
      <c r="AA109" s="26" cm="1">
        <f t="array" ref="AA109">_xlfn.IFS((Z109&gt;X109),(X109*2),(Z109&lt;=X109),(Z109*2))</f>
        <v>0</v>
      </c>
      <c r="AB109" s="22"/>
      <c r="AC109" s="26">
        <f>IFERROR(VLOOKUP(AD109,Apoio!A:B,2,0),"")</f>
        <v>2</v>
      </c>
      <c r="AD109" s="22">
        <f>IFERROR(VLOOKUP(C109,'[1]TB DIN'!$B:$H,6,0),"AGUARDANDO ANEXO")</f>
        <v>30</v>
      </c>
      <c r="AE109" s="22">
        <f>IFERROR(VLOOKUP(C109,'[1]TB DIN INCLUIDOS'!$B:$H,6,0),"AGUARDANDO ANEXO")</f>
        <v>2</v>
      </c>
      <c r="AF109" s="26" cm="1">
        <f t="array" ref="AF109">_xlfn.IFS((AE109&gt;AC109),(AC109*2),(AE109&lt;=AC109),(AE109*2))</f>
        <v>4</v>
      </c>
      <c r="AG109" s="22"/>
      <c r="AH109" s="28">
        <f t="shared" si="7"/>
        <v>68</v>
      </c>
      <c r="AI109" s="28">
        <f t="shared" si="8"/>
        <v>2</v>
      </c>
      <c r="AJ109" s="28">
        <f t="shared" si="9"/>
        <v>4</v>
      </c>
      <c r="AK109" s="28">
        <f t="shared" si="10"/>
        <v>0</v>
      </c>
      <c r="AL109" s="28">
        <f t="shared" si="11"/>
        <v>-3</v>
      </c>
      <c r="AM109" s="23" t="s">
        <v>1707</v>
      </c>
      <c r="AN109" s="37">
        <f>VLOOKUP(C109,'[2]MARÇO-2024'!$B:$M,12,0)</f>
        <v>67</v>
      </c>
      <c r="AO109" s="37">
        <f t="shared" si="12"/>
        <v>-1</v>
      </c>
      <c r="AP109" s="37" t="str">
        <f t="shared" si="13"/>
        <v/>
      </c>
    </row>
    <row r="110" spans="1:42" ht="13.5" customHeight="1" x14ac:dyDescent="0.25">
      <c r="A110" s="17">
        <v>4</v>
      </c>
      <c r="B110" s="17">
        <v>7</v>
      </c>
      <c r="C110" s="29">
        <v>4007</v>
      </c>
      <c r="D110" s="38">
        <v>33123047</v>
      </c>
      <c r="E110" s="18" t="s">
        <v>441</v>
      </c>
      <c r="F110" s="68" t="s">
        <v>673</v>
      </c>
      <c r="G110" s="62" t="s">
        <v>173</v>
      </c>
      <c r="H110" s="19" t="s">
        <v>966</v>
      </c>
      <c r="I110" s="19" t="s">
        <v>1136</v>
      </c>
      <c r="J110" s="19" t="s">
        <v>1342</v>
      </c>
      <c r="K110" s="20" t="s">
        <v>1570</v>
      </c>
      <c r="L110" s="21">
        <v>84</v>
      </c>
      <c r="M110" s="21"/>
      <c r="N110" s="26" t="str">
        <f>IFERROR(VLOOKUP(O110,Apoio!A:B,2,0),"")</f>
        <v/>
      </c>
      <c r="O110" s="22">
        <f>IFERROR(VLOOKUP(C110,'[1]TB DIN'!$B:$D,3,0),"AGUARDANDO ANEXO")</f>
        <v>0</v>
      </c>
      <c r="P110" s="22">
        <f>IFERROR(VLOOKUP(C110,'[1]TB DIN INCLUIDOS'!$B:$H,3,0),"AGUARDANDO ANEXO")</f>
        <v>0</v>
      </c>
      <c r="Q110" s="26" cm="1">
        <f t="array" ref="Q110">_xlfn.IFS((P110&gt;N110),(N110*2),(P110&lt;=N110),(P110*2))</f>
        <v>0</v>
      </c>
      <c r="R110" s="22"/>
      <c r="S110" s="26" t="str">
        <f>IFERROR(VLOOKUP(T110,Apoio!A:B,2,0),"")</f>
        <v/>
      </c>
      <c r="T110" s="22">
        <f>IFERROR(VLOOKUP(C110,'[1]TB DIN'!$B:$H,4,0),"AGUARDANDO ANEXO")</f>
        <v>0</v>
      </c>
      <c r="U110" s="22">
        <f>IFERROR(VLOOKUP(C110,'[1]TB DIN INCLUIDOS'!$B:$H,4,0),"AGUARDANDO ANEXO")</f>
        <v>0</v>
      </c>
      <c r="V110" s="26" cm="1">
        <f t="array" ref="V110">_xlfn.IFS((U110&gt;S110),(S110*2),(U110&lt;=S110),(U110*2))</f>
        <v>0</v>
      </c>
      <c r="W110" s="22"/>
      <c r="X110" s="26">
        <f>IFERROR(VLOOKUP(Y110,Apoio!A:B,2,0),"")</f>
        <v>2</v>
      </c>
      <c r="Y110" s="22">
        <f>IFERROR(VLOOKUP(C110,'[1]TB DIN'!$B:$H,5,0),"AGUARDANDO ANEXO")</f>
        <v>42</v>
      </c>
      <c r="Z110" s="22">
        <f>IFERROR(VLOOKUP(C110,'[1]TB DIN INCLUIDOS'!$B:$H,5,0),"AGUARDANDO ANEXO")</f>
        <v>0</v>
      </c>
      <c r="AA110" s="26" cm="1">
        <f t="array" ref="AA110">_xlfn.IFS((Z110&gt;X110),(X110*2),(Z110&lt;=X110),(Z110*2))</f>
        <v>0</v>
      </c>
      <c r="AB110" s="22"/>
      <c r="AC110" s="26">
        <f>IFERROR(VLOOKUP(AD110,Apoio!A:B,2,0),"")</f>
        <v>2</v>
      </c>
      <c r="AD110" s="22">
        <f>IFERROR(VLOOKUP(C110,'[1]TB DIN'!$B:$H,6,0),"AGUARDANDO ANEXO")</f>
        <v>42</v>
      </c>
      <c r="AE110" s="22">
        <f>IFERROR(VLOOKUP(C110,'[1]TB DIN INCLUIDOS'!$B:$H,6,0),"AGUARDANDO ANEXO")</f>
        <v>0</v>
      </c>
      <c r="AF110" s="26" cm="1">
        <f t="array" ref="AF110">_xlfn.IFS((AE110&gt;AC110),(AC110*2),(AE110&lt;=AC110),(AE110*2))</f>
        <v>0</v>
      </c>
      <c r="AG110" s="22"/>
      <c r="AH110" s="28">
        <f t="shared" si="7"/>
        <v>84</v>
      </c>
      <c r="AI110" s="28">
        <f t="shared" si="8"/>
        <v>0</v>
      </c>
      <c r="AJ110" s="28">
        <f t="shared" si="9"/>
        <v>0</v>
      </c>
      <c r="AK110" s="28">
        <f t="shared" si="10"/>
        <v>0</v>
      </c>
      <c r="AL110" s="28">
        <f t="shared" si="11"/>
        <v>0</v>
      </c>
      <c r="AM110" s="23" t="s">
        <v>1707</v>
      </c>
      <c r="AN110" s="37">
        <f>VLOOKUP(C110,'[2]MARÇO-2024'!$B:$M,12,0)</f>
        <v>84</v>
      </c>
      <c r="AO110" s="37">
        <f t="shared" si="12"/>
        <v>0</v>
      </c>
      <c r="AP110" s="37" t="str">
        <f t="shared" si="13"/>
        <v/>
      </c>
    </row>
    <row r="111" spans="1:42" ht="13.5" customHeight="1" x14ac:dyDescent="0.25">
      <c r="A111" s="17">
        <v>4</v>
      </c>
      <c r="B111" s="17">
        <v>8</v>
      </c>
      <c r="C111" s="29">
        <v>4008</v>
      </c>
      <c r="D111" s="38">
        <v>33172935</v>
      </c>
      <c r="E111" s="18" t="s">
        <v>442</v>
      </c>
      <c r="F111" s="68" t="s">
        <v>674</v>
      </c>
      <c r="G111" s="62" t="s">
        <v>174</v>
      </c>
      <c r="H111" s="19" t="s">
        <v>967</v>
      </c>
      <c r="I111" s="19" t="s">
        <v>1178</v>
      </c>
      <c r="J111" s="19" t="s">
        <v>1343</v>
      </c>
      <c r="K111" s="20" t="s">
        <v>1579</v>
      </c>
      <c r="L111" s="21">
        <v>100</v>
      </c>
      <c r="M111" s="21"/>
      <c r="N111" s="26" t="str">
        <f>IFERROR(VLOOKUP(O111,Apoio!A:B,2,0),"")</f>
        <v/>
      </c>
      <c r="O111" s="22">
        <f>IFERROR(VLOOKUP(C111,'[1]TB DIN'!$B:$D,3,0),"AGUARDANDO ANEXO")</f>
        <v>0</v>
      </c>
      <c r="P111" s="22">
        <f>IFERROR(VLOOKUP(C111,'[1]TB DIN INCLUIDOS'!$B:$H,3,0),"AGUARDANDO ANEXO")</f>
        <v>0</v>
      </c>
      <c r="Q111" s="26" cm="1">
        <f t="array" ref="Q111">_xlfn.IFS((P111&gt;N111),(N111*2),(P111&lt;=N111),(P111*2))</f>
        <v>0</v>
      </c>
      <c r="R111" s="22"/>
      <c r="S111" s="26" t="str">
        <f>IFERROR(VLOOKUP(T111,Apoio!A:B,2,0),"")</f>
        <v/>
      </c>
      <c r="T111" s="22">
        <f>IFERROR(VLOOKUP(C111,'[1]TB DIN'!$B:$H,4,0),"AGUARDANDO ANEXO")</f>
        <v>0</v>
      </c>
      <c r="U111" s="22">
        <f>IFERROR(VLOOKUP(C111,'[1]TB DIN INCLUIDOS'!$B:$H,4,0),"AGUARDANDO ANEXO")</f>
        <v>0</v>
      </c>
      <c r="V111" s="26" cm="1">
        <f t="array" ref="V111">_xlfn.IFS((U111&gt;S111),(S111*2),(U111&lt;=S111),(U111*2))</f>
        <v>0</v>
      </c>
      <c r="W111" s="22"/>
      <c r="X111" s="26">
        <f>IFERROR(VLOOKUP(Y111,Apoio!A:B,2,0),"")</f>
        <v>2</v>
      </c>
      <c r="Y111" s="22">
        <v>50</v>
      </c>
      <c r="Z111" s="22">
        <f>IFERROR(VLOOKUP(C111,'[1]TB DIN INCLUIDOS'!$B:$H,5,0),"AGUARDANDO ANEXO")</f>
        <v>0</v>
      </c>
      <c r="AA111" s="26" cm="1">
        <f t="array" ref="AA111">_xlfn.IFS((Z111&gt;X111),(X111*2),(Z111&lt;=X111),(Z111*2))</f>
        <v>0</v>
      </c>
      <c r="AB111" s="22"/>
      <c r="AC111" s="26">
        <f>IFERROR(VLOOKUP(AD111,Apoio!A:B,2,0),"")</f>
        <v>2</v>
      </c>
      <c r="AD111" s="22">
        <f>IFERROR(VLOOKUP(C111,'[1]TB DIN'!$B:$H,6,0),"AGUARDANDO ANEXO")</f>
        <v>50</v>
      </c>
      <c r="AE111" s="22">
        <f>IFERROR(VLOOKUP(C111,'[1]TB DIN INCLUIDOS'!$B:$H,6,0),"AGUARDANDO ANEXO")</f>
        <v>0</v>
      </c>
      <c r="AF111" s="26" cm="1">
        <f t="array" ref="AF111">_xlfn.IFS((AE111&gt;AC111),(AC111*2),(AE111&lt;=AC111),(AE111*2))</f>
        <v>0</v>
      </c>
      <c r="AG111" s="22"/>
      <c r="AH111" s="28">
        <f t="shared" si="7"/>
        <v>100</v>
      </c>
      <c r="AI111" s="28">
        <f t="shared" si="8"/>
        <v>0</v>
      </c>
      <c r="AJ111" s="28">
        <f t="shared" si="9"/>
        <v>0</v>
      </c>
      <c r="AK111" s="28">
        <f t="shared" si="10"/>
        <v>0</v>
      </c>
      <c r="AL111" s="28">
        <f t="shared" si="11"/>
        <v>0</v>
      </c>
      <c r="AM111" s="23" t="s">
        <v>1707</v>
      </c>
      <c r="AN111" s="37">
        <f>VLOOKUP(C111,'[2]MARÇO-2024'!$B:$M,12,0)</f>
        <v>92</v>
      </c>
      <c r="AO111" s="37">
        <f t="shared" si="12"/>
        <v>-8</v>
      </c>
      <c r="AP111" s="37" t="str">
        <f t="shared" si="13"/>
        <v/>
      </c>
    </row>
    <row r="112" spans="1:42" ht="13.5" customHeight="1" x14ac:dyDescent="0.25">
      <c r="A112" s="17">
        <v>4</v>
      </c>
      <c r="B112" s="17">
        <v>9</v>
      </c>
      <c r="C112" s="29">
        <v>4009</v>
      </c>
      <c r="D112" s="38">
        <v>33095876</v>
      </c>
      <c r="E112" s="18" t="s">
        <v>443</v>
      </c>
      <c r="F112" s="68" t="s">
        <v>675</v>
      </c>
      <c r="G112" s="62" t="s">
        <v>175</v>
      </c>
      <c r="H112" s="19" t="s">
        <v>968</v>
      </c>
      <c r="I112" s="19" t="s">
        <v>1179</v>
      </c>
      <c r="J112" s="19" t="s">
        <v>1344</v>
      </c>
      <c r="K112" s="20" t="s">
        <v>1586</v>
      </c>
      <c r="L112" s="21">
        <v>70</v>
      </c>
      <c r="M112" s="21"/>
      <c r="N112" s="26" t="str">
        <f>IFERROR(VLOOKUP(O112,Apoio!A:B,2,0),"")</f>
        <v/>
      </c>
      <c r="O112" s="22">
        <f>IFERROR(VLOOKUP(C112,'[1]TB DIN'!$B:$D,3,0),"AGUARDANDO ANEXO")</f>
        <v>0</v>
      </c>
      <c r="P112" s="22">
        <f>IFERROR(VLOOKUP(C112,'[1]TB DIN INCLUIDOS'!$B:$H,3,0),"AGUARDANDO ANEXO")</f>
        <v>0</v>
      </c>
      <c r="Q112" s="26" cm="1">
        <f t="array" ref="Q112">_xlfn.IFS((P112&gt;N112),(N112*2),(P112&lt;=N112),(P112*2))</f>
        <v>0</v>
      </c>
      <c r="R112" s="22"/>
      <c r="S112" s="26" t="str">
        <f>IFERROR(VLOOKUP(T112,Apoio!A:B,2,0),"")</f>
        <v/>
      </c>
      <c r="T112" s="22">
        <f>IFERROR(VLOOKUP(C112,'[1]TB DIN'!$B:$H,4,0),"AGUARDANDO ANEXO")</f>
        <v>0</v>
      </c>
      <c r="U112" s="22">
        <f>IFERROR(VLOOKUP(C112,'[1]TB DIN INCLUIDOS'!$B:$H,4,0),"AGUARDANDO ANEXO")</f>
        <v>0</v>
      </c>
      <c r="V112" s="26" cm="1">
        <f t="array" ref="V112">_xlfn.IFS((U112&gt;S112),(S112*2),(U112&lt;=S112),(U112*2))</f>
        <v>0</v>
      </c>
      <c r="W112" s="22"/>
      <c r="X112" s="26">
        <f>IFERROR(VLOOKUP(Y112,Apoio!A:B,2,0),"")</f>
        <v>2</v>
      </c>
      <c r="Y112" s="22">
        <v>26</v>
      </c>
      <c r="Z112" s="22">
        <f>IFERROR(VLOOKUP(C112,'[1]TB DIN INCLUIDOS'!$B:$H,5,0),"AGUARDANDO ANEXO")</f>
        <v>0</v>
      </c>
      <c r="AA112" s="26" cm="1">
        <f t="array" ref="AA112">_xlfn.IFS((Z112&gt;X112),(X112*2),(Z112&lt;=X112),(Z112*2))</f>
        <v>0</v>
      </c>
      <c r="AB112" s="22"/>
      <c r="AC112" s="26">
        <f>IFERROR(VLOOKUP(AD112,Apoio!A:B,2,0),"")</f>
        <v>2</v>
      </c>
      <c r="AD112" s="22">
        <v>44</v>
      </c>
      <c r="AE112" s="22">
        <f>IFERROR(VLOOKUP(C112,'[1]TB DIN INCLUIDOS'!$B:$H,6,0),"AGUARDANDO ANEXO")</f>
        <v>0</v>
      </c>
      <c r="AF112" s="26" cm="1">
        <f t="array" ref="AF112">_xlfn.IFS((AE112&gt;AC112),(AC112*2),(AE112&lt;=AC112),(AE112*2))</f>
        <v>0</v>
      </c>
      <c r="AG112" s="22"/>
      <c r="AH112" s="28">
        <f t="shared" si="7"/>
        <v>70</v>
      </c>
      <c r="AI112" s="28">
        <f t="shared" si="8"/>
        <v>0</v>
      </c>
      <c r="AJ112" s="28">
        <f t="shared" si="9"/>
        <v>0</v>
      </c>
      <c r="AK112" s="28">
        <f t="shared" si="10"/>
        <v>0</v>
      </c>
      <c r="AL112" s="28">
        <f t="shared" si="11"/>
        <v>0</v>
      </c>
      <c r="AM112" s="23" t="s">
        <v>1707</v>
      </c>
      <c r="AN112" s="37">
        <f>VLOOKUP(C112,'[2]MARÇO-2024'!$B:$M,12,0)</f>
        <v>67</v>
      </c>
      <c r="AO112" s="37">
        <f t="shared" si="12"/>
        <v>-3</v>
      </c>
      <c r="AP112" s="37" t="str">
        <f t="shared" si="13"/>
        <v/>
      </c>
    </row>
    <row r="113" spans="1:42" ht="13.5" customHeight="1" x14ac:dyDescent="0.25">
      <c r="A113" s="17">
        <v>4</v>
      </c>
      <c r="B113" s="17">
        <v>10</v>
      </c>
      <c r="C113" s="29">
        <v>4010</v>
      </c>
      <c r="D113" s="38">
        <v>33094578</v>
      </c>
      <c r="E113" s="18" t="s">
        <v>444</v>
      </c>
      <c r="F113" s="68" t="s">
        <v>676</v>
      </c>
      <c r="G113" s="62" t="s">
        <v>176</v>
      </c>
      <c r="H113" s="19" t="s">
        <v>969</v>
      </c>
      <c r="I113" s="19" t="s">
        <v>1180</v>
      </c>
      <c r="J113" s="19" t="s">
        <v>1345</v>
      </c>
      <c r="K113" s="20" t="s">
        <v>1585</v>
      </c>
      <c r="L113" s="21">
        <v>125</v>
      </c>
      <c r="M113" s="21"/>
      <c r="N113" s="26" t="str">
        <f>IFERROR(VLOOKUP(O113,Apoio!A:B,2,0),"")</f>
        <v/>
      </c>
      <c r="O113" s="22">
        <f>IFERROR(VLOOKUP(C113,'[1]TB DIN'!$B:$D,3,0),"AGUARDANDO ANEXO")</f>
        <v>0</v>
      </c>
      <c r="P113" s="22">
        <f>IFERROR(VLOOKUP(C113,'[1]TB DIN INCLUIDOS'!$B:$H,3,0),"AGUARDANDO ANEXO")</f>
        <v>0</v>
      </c>
      <c r="Q113" s="26" cm="1">
        <f t="array" ref="Q113">_xlfn.IFS((P113&gt;N113),(N113*2),(P113&lt;=N113),(P113*2))</f>
        <v>0</v>
      </c>
      <c r="R113" s="22"/>
      <c r="S113" s="26" t="str">
        <f>IFERROR(VLOOKUP(T113,Apoio!A:B,2,0),"")</f>
        <v/>
      </c>
      <c r="T113" s="22">
        <f>IFERROR(VLOOKUP(C113,'[1]TB DIN'!$B:$H,4,0),"AGUARDANDO ANEXO")</f>
        <v>0</v>
      </c>
      <c r="U113" s="22">
        <f>IFERROR(VLOOKUP(C113,'[1]TB DIN INCLUIDOS'!$B:$H,4,0),"AGUARDANDO ANEXO")</f>
        <v>0</v>
      </c>
      <c r="V113" s="26" cm="1">
        <f t="array" ref="V113">_xlfn.IFS((U113&gt;S113),(S113*2),(U113&lt;=S113),(U113*2))</f>
        <v>0</v>
      </c>
      <c r="W113" s="22"/>
      <c r="X113" s="26">
        <f>IFERROR(VLOOKUP(Y113,Apoio!A:B,2,0),"")</f>
        <v>2</v>
      </c>
      <c r="Y113" s="22">
        <f>IFERROR(VLOOKUP(C113,'[1]TB DIN'!$B:$H,5,0),"AGUARDANDO ANEXO")</f>
        <v>50</v>
      </c>
      <c r="Z113" s="22">
        <f>IFERROR(VLOOKUP(C113,'[1]TB DIN INCLUIDOS'!$B:$H,5,0),"AGUARDANDO ANEXO")</f>
        <v>0</v>
      </c>
      <c r="AA113" s="26" cm="1">
        <f t="array" ref="AA113">_xlfn.IFS((Z113&gt;X113),(X113*2),(Z113&lt;=X113),(Z113*2))</f>
        <v>0</v>
      </c>
      <c r="AB113" s="22"/>
      <c r="AC113" s="26">
        <f>IFERROR(VLOOKUP(AD113,Apoio!A:B,2,0),"")</f>
        <v>3</v>
      </c>
      <c r="AD113" s="22">
        <f>IFERROR(VLOOKUP(C113,'[1]TB DIN'!$B:$H,6,0),"AGUARDANDO ANEXO")</f>
        <v>75</v>
      </c>
      <c r="AE113" s="22">
        <f>IFERROR(VLOOKUP(C113,'[1]TB DIN INCLUIDOS'!$B:$H,6,0),"AGUARDANDO ANEXO")</f>
        <v>0</v>
      </c>
      <c r="AF113" s="26" cm="1">
        <f t="array" ref="AF113">_xlfn.IFS((AE113&gt;AC113),(AC113*2),(AE113&lt;=AC113),(AE113*2))</f>
        <v>0</v>
      </c>
      <c r="AG113" s="22"/>
      <c r="AH113" s="28">
        <f t="shared" si="7"/>
        <v>125</v>
      </c>
      <c r="AI113" s="28">
        <f t="shared" si="8"/>
        <v>0</v>
      </c>
      <c r="AJ113" s="28">
        <f t="shared" si="9"/>
        <v>0</v>
      </c>
      <c r="AK113" s="28">
        <f t="shared" si="10"/>
        <v>0</v>
      </c>
      <c r="AL113" s="28">
        <f t="shared" si="11"/>
        <v>0</v>
      </c>
      <c r="AM113" s="23" t="s">
        <v>1707</v>
      </c>
      <c r="AN113" s="37">
        <f>VLOOKUP(C113,'[2]MARÇO-2024'!$B:$M,12,0)</f>
        <v>125</v>
      </c>
      <c r="AO113" s="37">
        <f t="shared" si="12"/>
        <v>0</v>
      </c>
      <c r="AP113" s="37" t="str">
        <f t="shared" si="13"/>
        <v/>
      </c>
    </row>
    <row r="114" spans="1:42" ht="13.5" customHeight="1" x14ac:dyDescent="0.25">
      <c r="A114" s="17">
        <v>4</v>
      </c>
      <c r="B114" s="17">
        <v>11</v>
      </c>
      <c r="C114" s="29">
        <v>4011</v>
      </c>
      <c r="D114" s="38">
        <v>33177945</v>
      </c>
      <c r="E114" s="18" t="s">
        <v>446</v>
      </c>
      <c r="F114" s="68" t="s">
        <v>678</v>
      </c>
      <c r="G114" s="62" t="s">
        <v>178</v>
      </c>
      <c r="H114" s="19" t="s">
        <v>971</v>
      </c>
      <c r="I114" s="19" t="s">
        <v>971</v>
      </c>
      <c r="J114" s="19" t="s">
        <v>1347</v>
      </c>
      <c r="K114" s="20" t="s">
        <v>1579</v>
      </c>
      <c r="L114" s="21">
        <v>140</v>
      </c>
      <c r="M114" s="21"/>
      <c r="N114" s="26" t="str">
        <f>IFERROR(VLOOKUP(O114,Apoio!A:B,2,0),"")</f>
        <v/>
      </c>
      <c r="O114" s="22">
        <f>IFERROR(VLOOKUP(C114,'[1]TB DIN'!$B:$D,3,0),"AGUARDANDO ANEXO")</f>
        <v>0</v>
      </c>
      <c r="P114" s="22">
        <f>IFERROR(VLOOKUP(C114,'[1]TB DIN INCLUIDOS'!$B:$H,3,0),"AGUARDANDO ANEXO")</f>
        <v>0</v>
      </c>
      <c r="Q114" s="26" cm="1">
        <f t="array" ref="Q114">_xlfn.IFS((P114&gt;N114),(N114*2),(P114&lt;=N114),(P114*2))</f>
        <v>0</v>
      </c>
      <c r="R114" s="22"/>
      <c r="S114" s="26">
        <f>IFERROR(VLOOKUP(T114,Apoio!A:B,2,0),"")</f>
        <v>2</v>
      </c>
      <c r="T114" s="22">
        <f>IFERROR(VLOOKUP(C114,'[1]TB DIN'!$B:$H,4,0),"AGUARDANDO ANEXO")</f>
        <v>40</v>
      </c>
      <c r="U114" s="22">
        <f>IFERROR(VLOOKUP(C114,'[1]TB DIN INCLUIDOS'!$B:$H,4,0),"AGUARDANDO ANEXO")</f>
        <v>0</v>
      </c>
      <c r="V114" s="26" cm="1">
        <f t="array" ref="V114">_xlfn.IFS((U114&gt;S114),(S114*2),(U114&lt;=S114),(U114*2))</f>
        <v>0</v>
      </c>
      <c r="W114" s="22"/>
      <c r="X114" s="26">
        <f>IFERROR(VLOOKUP(Y114,Apoio!A:B,2,0),"")</f>
        <v>3</v>
      </c>
      <c r="Y114" s="22">
        <v>51</v>
      </c>
      <c r="Z114" s="22">
        <f>IFERROR(VLOOKUP(C114,'[1]TB DIN INCLUIDOS'!$B:$H,5,0),"AGUARDANDO ANEXO")</f>
        <v>1</v>
      </c>
      <c r="AA114" s="26" cm="1">
        <f t="array" ref="AA114">_xlfn.IFS((Z114&gt;X114),(X114*2),(Z114&lt;=X114),(Z114*2))</f>
        <v>2</v>
      </c>
      <c r="AB114" s="22"/>
      <c r="AC114" s="26">
        <f>IFERROR(VLOOKUP(AD114,Apoio!A:B,2,0),"")</f>
        <v>2</v>
      </c>
      <c r="AD114" s="22">
        <v>43</v>
      </c>
      <c r="AE114" s="22">
        <v>1</v>
      </c>
      <c r="AF114" s="26" cm="1">
        <f t="array" ref="AF114">_xlfn.IFS((AE114&gt;AC114),(AC114*2),(AE114&lt;=AC114),(AE114*2))</f>
        <v>2</v>
      </c>
      <c r="AG114" s="22"/>
      <c r="AH114" s="28">
        <f t="shared" si="7"/>
        <v>134</v>
      </c>
      <c r="AI114" s="28">
        <f t="shared" si="8"/>
        <v>2</v>
      </c>
      <c r="AJ114" s="28">
        <f t="shared" si="9"/>
        <v>4</v>
      </c>
      <c r="AK114" s="28">
        <f t="shared" si="10"/>
        <v>2</v>
      </c>
      <c r="AL114" s="28">
        <f t="shared" si="11"/>
        <v>0</v>
      </c>
      <c r="AM114" s="23" t="s">
        <v>1707</v>
      </c>
      <c r="AN114" s="37">
        <f>VLOOKUP(C114,'[2]MARÇO-2024'!$B:$M,12,0)</f>
        <v>127</v>
      </c>
      <c r="AO114" s="37">
        <f t="shared" si="12"/>
        <v>-7</v>
      </c>
      <c r="AP114" s="37" t="str">
        <f t="shared" si="13"/>
        <v/>
      </c>
    </row>
    <row r="115" spans="1:42" ht="13.5" customHeight="1" x14ac:dyDescent="0.25">
      <c r="A115" s="17">
        <v>4</v>
      </c>
      <c r="B115" s="17">
        <v>12</v>
      </c>
      <c r="C115" s="29">
        <v>4012</v>
      </c>
      <c r="D115" s="38">
        <v>33122857</v>
      </c>
      <c r="E115" s="18" t="s">
        <v>447</v>
      </c>
      <c r="F115" s="68" t="s">
        <v>680</v>
      </c>
      <c r="G115" s="62" t="s">
        <v>180</v>
      </c>
      <c r="H115" s="19" t="s">
        <v>973</v>
      </c>
      <c r="I115" s="19" t="s">
        <v>973</v>
      </c>
      <c r="J115" s="19" t="s">
        <v>1349</v>
      </c>
      <c r="K115" s="20" t="s">
        <v>1585</v>
      </c>
      <c r="L115" s="21">
        <v>125</v>
      </c>
      <c r="M115" s="21"/>
      <c r="N115" s="26" t="str">
        <f>IFERROR(VLOOKUP(O115,Apoio!A:B,2,0),"")</f>
        <v/>
      </c>
      <c r="O115" s="22">
        <f>IFERROR(VLOOKUP(C115,'[1]TB DIN'!$B:$D,3,0),"AGUARDANDO ANEXO")</f>
        <v>0</v>
      </c>
      <c r="P115" s="22">
        <f>IFERROR(VLOOKUP(C115,'[1]TB DIN INCLUIDOS'!$B:$H,3,0),"AGUARDANDO ANEXO")</f>
        <v>0</v>
      </c>
      <c r="Q115" s="26" cm="1">
        <f t="array" ref="Q115">_xlfn.IFS((P115&gt;N115),(N115*2),(P115&lt;=N115),(P115*2))</f>
        <v>0</v>
      </c>
      <c r="R115" s="22"/>
      <c r="S115" s="26">
        <f>IFERROR(VLOOKUP(T115,Apoio!A:B,2,0),"")</f>
        <v>1</v>
      </c>
      <c r="T115" s="22">
        <f>IFERROR(VLOOKUP(C115,'[1]TB DIN'!$B:$H,4,0),"AGUARDANDO ANEXO")</f>
        <v>25</v>
      </c>
      <c r="U115" s="22">
        <f>IFERROR(VLOOKUP(C115,'[1]TB DIN INCLUIDOS'!$B:$H,4,0),"AGUARDANDO ANEXO")</f>
        <v>0</v>
      </c>
      <c r="V115" s="26" cm="1">
        <f t="array" ref="V115">_xlfn.IFS((U115&gt;S115),(S115*2),(U115&lt;=S115),(U115*2))</f>
        <v>0</v>
      </c>
      <c r="W115" s="22"/>
      <c r="X115" s="26">
        <f>IFERROR(VLOOKUP(Y115,Apoio!A:B,2,0),"")</f>
        <v>2</v>
      </c>
      <c r="Y115" s="22">
        <f>IFERROR(VLOOKUP(C115,'[1]TB DIN'!$B:$H,5,0),"AGUARDANDO ANEXO")</f>
        <v>50</v>
      </c>
      <c r="Z115" s="22">
        <f>IFERROR(VLOOKUP(C115,'[1]TB DIN INCLUIDOS'!$B:$H,5,0),"AGUARDANDO ANEXO")</f>
        <v>0</v>
      </c>
      <c r="AA115" s="26" cm="1">
        <f t="array" ref="AA115">_xlfn.IFS((Z115&gt;X115),(X115*2),(Z115&lt;=X115),(Z115*2))</f>
        <v>0</v>
      </c>
      <c r="AB115" s="22"/>
      <c r="AC115" s="26">
        <f>IFERROR(VLOOKUP(AD115,Apoio!A:B,2,0),"")</f>
        <v>2</v>
      </c>
      <c r="AD115" s="22">
        <f>IFERROR(VLOOKUP(C115,'[1]TB DIN'!$B:$H,6,0),"AGUARDANDO ANEXO")</f>
        <v>50</v>
      </c>
      <c r="AE115" s="22">
        <f>IFERROR(VLOOKUP(C115,'[1]TB DIN INCLUIDOS'!$B:$H,6,0),"AGUARDANDO ANEXO")</f>
        <v>0</v>
      </c>
      <c r="AF115" s="26" cm="1">
        <f t="array" ref="AF115">_xlfn.IFS((AE115&gt;AC115),(AC115*2),(AE115&lt;=AC115),(AE115*2))</f>
        <v>0</v>
      </c>
      <c r="AG115" s="22"/>
      <c r="AH115" s="28">
        <f t="shared" si="7"/>
        <v>125</v>
      </c>
      <c r="AI115" s="28">
        <f t="shared" si="8"/>
        <v>0</v>
      </c>
      <c r="AJ115" s="28">
        <f t="shared" si="9"/>
        <v>0</v>
      </c>
      <c r="AK115" s="28">
        <f t="shared" si="10"/>
        <v>0</v>
      </c>
      <c r="AL115" s="28">
        <f t="shared" si="11"/>
        <v>0</v>
      </c>
      <c r="AM115" s="23" t="s">
        <v>1707</v>
      </c>
      <c r="AN115" s="37">
        <f>VLOOKUP(C115,'[2]MARÇO-2024'!$B:$M,12,0)</f>
        <v>125</v>
      </c>
      <c r="AO115" s="37">
        <f t="shared" si="12"/>
        <v>0</v>
      </c>
      <c r="AP115" s="37" t="str">
        <f t="shared" si="13"/>
        <v/>
      </c>
    </row>
    <row r="116" spans="1:42" ht="13.5" customHeight="1" x14ac:dyDescent="0.25">
      <c r="A116" s="17">
        <v>4</v>
      </c>
      <c r="B116" s="17">
        <v>13</v>
      </c>
      <c r="C116" s="29">
        <v>4013</v>
      </c>
      <c r="D116" s="38">
        <v>33069743</v>
      </c>
      <c r="E116" s="18" t="s">
        <v>457</v>
      </c>
      <c r="F116" s="68" t="s">
        <v>693</v>
      </c>
      <c r="G116" s="62" t="s">
        <v>192</v>
      </c>
      <c r="H116" s="19" t="s">
        <v>986</v>
      </c>
      <c r="I116" s="19" t="s">
        <v>1187</v>
      </c>
      <c r="J116" s="19" t="s">
        <v>1362</v>
      </c>
      <c r="K116" s="20" t="s">
        <v>1570</v>
      </c>
      <c r="L116" s="21">
        <v>80</v>
      </c>
      <c r="M116" s="21"/>
      <c r="N116" s="26" t="str">
        <f>IFERROR(VLOOKUP(O116,Apoio!A:B,2,0),"")</f>
        <v/>
      </c>
      <c r="O116" s="22">
        <f>IFERROR(VLOOKUP(C116,'[1]TB DIN'!$B:$D,3,0),"AGUARDANDO ANEXO")</f>
        <v>0</v>
      </c>
      <c r="P116" s="22">
        <f>IFERROR(VLOOKUP(C116,'[1]TB DIN INCLUIDOS'!$B:$H,3,0),"AGUARDANDO ANEXO")</f>
        <v>0</v>
      </c>
      <c r="Q116" s="26" cm="1">
        <f t="array" ref="Q116">_xlfn.IFS((P116&gt;N116),(N116*2),(P116&lt;=N116),(P116*2))</f>
        <v>0</v>
      </c>
      <c r="R116" s="22"/>
      <c r="S116" s="26" t="str">
        <f>IFERROR(VLOOKUP(T116,Apoio!A:B,2,0),"")</f>
        <v/>
      </c>
      <c r="T116" s="22">
        <f>IFERROR(VLOOKUP(C116,'[1]TB DIN'!$B:$H,4,0),"AGUARDANDO ANEXO")</f>
        <v>0</v>
      </c>
      <c r="U116" s="22">
        <f>IFERROR(VLOOKUP(C116,'[1]TB DIN INCLUIDOS'!$B:$H,4,0),"AGUARDANDO ANEXO")</f>
        <v>0</v>
      </c>
      <c r="V116" s="26" cm="1">
        <f t="array" ref="V116">_xlfn.IFS((U116&gt;S116),(S116*2),(U116&lt;=S116),(U116*2))</f>
        <v>0</v>
      </c>
      <c r="W116" s="22"/>
      <c r="X116" s="26">
        <f>IFERROR(VLOOKUP(Y116,Apoio!A:B,2,0),"")</f>
        <v>2</v>
      </c>
      <c r="Y116" s="22">
        <f>IFERROR(VLOOKUP(C116,'[1]TB DIN'!$B:$H,5,0),"AGUARDANDO ANEXO")</f>
        <v>40</v>
      </c>
      <c r="Z116" s="22">
        <f>IFERROR(VLOOKUP(C116,'[1]TB DIN INCLUIDOS'!$B:$H,5,0),"AGUARDANDO ANEXO")</f>
        <v>0</v>
      </c>
      <c r="AA116" s="26" cm="1">
        <f t="array" ref="AA116">_xlfn.IFS((Z116&gt;X116),(X116*2),(Z116&lt;=X116),(Z116*2))</f>
        <v>0</v>
      </c>
      <c r="AB116" s="22"/>
      <c r="AC116" s="26">
        <f>IFERROR(VLOOKUP(AD116,Apoio!A:B,2,0),"")</f>
        <v>2</v>
      </c>
      <c r="AD116" s="22">
        <f>IFERROR(VLOOKUP(C116,'[1]TB DIN'!$B:$H,6,0),"AGUARDANDO ANEXO")</f>
        <v>37</v>
      </c>
      <c r="AE116" s="22">
        <f>IFERROR(VLOOKUP(C116,'[1]TB DIN INCLUIDOS'!$B:$H,6,0),"AGUARDANDO ANEXO")</f>
        <v>3</v>
      </c>
      <c r="AF116" s="26" cm="1">
        <f t="array" ref="AF116">_xlfn.IFS((AE116&gt;AC116),(AC116*2),(AE116&lt;=AC116),(AE116*2))</f>
        <v>4</v>
      </c>
      <c r="AG116" s="22"/>
      <c r="AH116" s="28">
        <f t="shared" si="7"/>
        <v>77</v>
      </c>
      <c r="AI116" s="28">
        <f t="shared" si="8"/>
        <v>3</v>
      </c>
      <c r="AJ116" s="28">
        <f t="shared" si="9"/>
        <v>4</v>
      </c>
      <c r="AK116" s="28">
        <f t="shared" si="10"/>
        <v>0</v>
      </c>
      <c r="AL116" s="28">
        <f t="shared" si="11"/>
        <v>-1</v>
      </c>
      <c r="AM116" s="23" t="s">
        <v>1707</v>
      </c>
      <c r="AN116" s="37">
        <f>VLOOKUP(C116,'[2]MARÇO-2024'!$B:$M,12,0)</f>
        <v>77</v>
      </c>
      <c r="AO116" s="37">
        <f t="shared" si="12"/>
        <v>0</v>
      </c>
      <c r="AP116" s="37" t="str">
        <f t="shared" si="13"/>
        <v/>
      </c>
    </row>
    <row r="117" spans="1:42" ht="13.5" customHeight="1" x14ac:dyDescent="0.25">
      <c r="A117" s="17">
        <v>4</v>
      </c>
      <c r="B117" s="17">
        <v>14</v>
      </c>
      <c r="C117" s="29">
        <v>4014</v>
      </c>
      <c r="D117" s="38">
        <v>33122946</v>
      </c>
      <c r="E117" s="18" t="s">
        <v>451</v>
      </c>
      <c r="F117" s="68" t="s">
        <v>685</v>
      </c>
      <c r="G117" s="62" t="s">
        <v>185</v>
      </c>
      <c r="H117" s="19" t="s">
        <v>978</v>
      </c>
      <c r="I117" s="19" t="s">
        <v>1136</v>
      </c>
      <c r="J117" s="19" t="s">
        <v>1354</v>
      </c>
      <c r="K117" s="20" t="s">
        <v>1587</v>
      </c>
      <c r="L117" s="21">
        <v>150</v>
      </c>
      <c r="M117" s="21"/>
      <c r="N117" s="26" t="str">
        <f>IFERROR(VLOOKUP(O117,Apoio!A:B,2,0),"")</f>
        <v/>
      </c>
      <c r="O117" s="22">
        <f>IFERROR(VLOOKUP(C117,'[1]TB DIN'!$B:$D,3,0),"AGUARDANDO ANEXO")</f>
        <v>0</v>
      </c>
      <c r="P117" s="22">
        <f>IFERROR(VLOOKUP(C117,'[1]TB DIN INCLUIDOS'!$B:$H,3,0),"AGUARDANDO ANEXO")</f>
        <v>0</v>
      </c>
      <c r="Q117" s="26" cm="1">
        <f t="array" ref="Q117">_xlfn.IFS((P117&gt;N117),(N117*2),(P117&lt;=N117),(P117*2))</f>
        <v>0</v>
      </c>
      <c r="R117" s="22"/>
      <c r="S117" s="26" t="str">
        <f>IFERROR(VLOOKUP(T117,Apoio!A:B,2,0),"")</f>
        <v/>
      </c>
      <c r="T117" s="22">
        <f>IFERROR(VLOOKUP(C117,'[1]TB DIN'!$B:$H,4,0),"AGUARDANDO ANEXO")</f>
        <v>0</v>
      </c>
      <c r="U117" s="22">
        <f>IFERROR(VLOOKUP(C117,'[1]TB DIN INCLUIDOS'!$B:$H,4,0),"AGUARDANDO ANEXO")</f>
        <v>0</v>
      </c>
      <c r="V117" s="26" cm="1">
        <f t="array" ref="V117">_xlfn.IFS((U117&gt;S117),(S117*2),(U117&lt;=S117),(U117*2))</f>
        <v>0</v>
      </c>
      <c r="W117" s="22"/>
      <c r="X117" s="26">
        <f>IFERROR(VLOOKUP(Y117,Apoio!A:B,2,0),"")</f>
        <v>3</v>
      </c>
      <c r="Y117" s="22">
        <v>72</v>
      </c>
      <c r="Z117" s="22">
        <v>3</v>
      </c>
      <c r="AA117" s="26" cm="1">
        <f t="array" ref="AA117">_xlfn.IFS((Z117&gt;X117),(X117*2),(Z117&lt;=X117),(Z117*2))</f>
        <v>6</v>
      </c>
      <c r="AB117" s="22"/>
      <c r="AC117" s="26">
        <f>IFERROR(VLOOKUP(AD117,Apoio!A:B,2,0),"")</f>
        <v>3</v>
      </c>
      <c r="AD117" s="22">
        <f>IFERROR(VLOOKUP(C117,'[1]TB DIN'!$B:$H,6,0),"AGUARDANDO ANEXO")</f>
        <v>72</v>
      </c>
      <c r="AE117" s="22">
        <v>3</v>
      </c>
      <c r="AF117" s="26" cm="1">
        <f t="array" ref="AF117">_xlfn.IFS((AE117&gt;AC117),(AC117*2),(AE117&lt;=AC117),(AE117*2))</f>
        <v>6</v>
      </c>
      <c r="AG117" s="22"/>
      <c r="AH117" s="28">
        <f t="shared" si="7"/>
        <v>144</v>
      </c>
      <c r="AI117" s="28">
        <f t="shared" si="8"/>
        <v>6</v>
      </c>
      <c r="AJ117" s="28">
        <f t="shared" si="9"/>
        <v>12</v>
      </c>
      <c r="AK117" s="28">
        <f t="shared" si="10"/>
        <v>0</v>
      </c>
      <c r="AL117" s="28">
        <f t="shared" si="11"/>
        <v>-6</v>
      </c>
      <c r="AM117" s="23" t="s">
        <v>1707</v>
      </c>
      <c r="AN117" s="37">
        <f>VLOOKUP(C117,'[2]MARÇO-2024'!$B:$M,12,0)</f>
        <v>149</v>
      </c>
      <c r="AO117" s="37">
        <f t="shared" si="12"/>
        <v>5</v>
      </c>
      <c r="AP117" s="37" t="str">
        <f t="shared" si="13"/>
        <v/>
      </c>
    </row>
    <row r="118" spans="1:42" ht="13.5" customHeight="1" x14ac:dyDescent="0.25">
      <c r="A118" s="17">
        <v>4</v>
      </c>
      <c r="B118" s="17">
        <v>15</v>
      </c>
      <c r="C118" s="29">
        <v>4015</v>
      </c>
      <c r="D118" s="38">
        <v>33162107</v>
      </c>
      <c r="E118" s="18" t="s">
        <v>454</v>
      </c>
      <c r="F118" s="68" t="s">
        <v>690</v>
      </c>
      <c r="G118" s="62" t="s">
        <v>189</v>
      </c>
      <c r="H118" s="19" t="s">
        <v>983</v>
      </c>
      <c r="I118" s="19" t="s">
        <v>1185</v>
      </c>
      <c r="J118" s="19" t="s">
        <v>1359</v>
      </c>
      <c r="K118" s="20" t="s">
        <v>1586</v>
      </c>
      <c r="L118" s="21">
        <v>217</v>
      </c>
      <c r="M118" s="21"/>
      <c r="N118" s="26">
        <f>IFERROR(VLOOKUP(O118,Apoio!A:B,2,0),"")</f>
        <v>1</v>
      </c>
      <c r="O118" s="22">
        <f>IFERROR(VLOOKUP(C118,'[1]TB DIN'!$B:$D,3,0),"AGUARDANDO ANEXO")</f>
        <v>19</v>
      </c>
      <c r="P118" s="22">
        <f>IFERROR(VLOOKUP(C118,'[1]TB DIN INCLUIDOS'!$B:$H,3,0),"AGUARDANDO ANEXO")</f>
        <v>0</v>
      </c>
      <c r="Q118" s="26" cm="1">
        <f t="array" ref="Q118">_xlfn.IFS((P118&gt;N118),(N118*2),(P118&lt;=N118),(P118*2))</f>
        <v>0</v>
      </c>
      <c r="R118" s="22"/>
      <c r="S118" s="26">
        <f>IFERROR(VLOOKUP(T118,Apoio!A:B,2,0),"")</f>
        <v>3</v>
      </c>
      <c r="T118" s="22">
        <f>IFERROR(VLOOKUP(C118,'[1]TB DIN'!$B:$H,4,0),"AGUARDANDO ANEXO")</f>
        <v>63</v>
      </c>
      <c r="U118" s="22">
        <f>IFERROR(VLOOKUP(C118,'[1]TB DIN INCLUIDOS'!$B:$H,4,0),"AGUARDANDO ANEXO")</f>
        <v>1</v>
      </c>
      <c r="V118" s="26" cm="1">
        <f t="array" ref="V118">_xlfn.IFS((U118&gt;S118),(S118*2),(U118&lt;=S118),(U118*2))</f>
        <v>2</v>
      </c>
      <c r="W118" s="22"/>
      <c r="X118" s="26">
        <f>IFERROR(VLOOKUP(Y118,Apoio!A:B,2,0),"")</f>
        <v>3</v>
      </c>
      <c r="Y118" s="22">
        <f>IFERROR(VLOOKUP(C118,'[1]TB DIN'!$B:$H,5,0),"AGUARDANDO ANEXO")</f>
        <v>68</v>
      </c>
      <c r="Z118" s="22">
        <v>1</v>
      </c>
      <c r="AA118" s="26" cm="1">
        <f t="array" ref="AA118">_xlfn.IFS((Z118&gt;X118),(X118*2),(Z118&lt;=X118),(Z118*2))</f>
        <v>2</v>
      </c>
      <c r="AB118" s="22"/>
      <c r="AC118" s="26">
        <f>IFERROR(VLOOKUP(AD118,Apoio!A:B,2,0),"")</f>
        <v>3</v>
      </c>
      <c r="AD118" s="22">
        <f>IFERROR(VLOOKUP(C118,'[1]TB DIN'!$B:$H,6,0),"AGUARDANDO ANEXO")</f>
        <v>66</v>
      </c>
      <c r="AE118" s="22">
        <f>IFERROR(VLOOKUP(C118,'[1]TB DIN INCLUIDOS'!$B:$H,6,0),"AGUARDANDO ANEXO")</f>
        <v>1</v>
      </c>
      <c r="AF118" s="26" cm="1">
        <f t="array" ref="AF118">_xlfn.IFS((AE118&gt;AC118),(AC118*2),(AE118&lt;=AC118),(AE118*2))</f>
        <v>2</v>
      </c>
      <c r="AG118" s="22"/>
      <c r="AH118" s="28">
        <f t="shared" si="7"/>
        <v>216</v>
      </c>
      <c r="AI118" s="28">
        <f t="shared" si="8"/>
        <v>3</v>
      </c>
      <c r="AJ118" s="28">
        <f t="shared" si="9"/>
        <v>6</v>
      </c>
      <c r="AK118" s="28">
        <f t="shared" si="10"/>
        <v>0</v>
      </c>
      <c r="AL118" s="28">
        <f t="shared" si="11"/>
        <v>-5</v>
      </c>
      <c r="AM118" s="23" t="s">
        <v>1707</v>
      </c>
      <c r="AN118" s="37">
        <f>VLOOKUP(C118,'[2]MARÇO-2024'!$B:$M,12,0)</f>
        <v>216</v>
      </c>
      <c r="AO118" s="37">
        <f t="shared" si="12"/>
        <v>0</v>
      </c>
      <c r="AP118" s="37" t="str">
        <f t="shared" si="13"/>
        <v/>
      </c>
    </row>
    <row r="119" spans="1:42" ht="13.5" customHeight="1" x14ac:dyDescent="0.25">
      <c r="A119" s="17">
        <v>4</v>
      </c>
      <c r="B119" s="17">
        <v>16</v>
      </c>
      <c r="C119" s="29">
        <v>4016</v>
      </c>
      <c r="D119" s="38">
        <v>33095884</v>
      </c>
      <c r="E119" s="18" t="s">
        <v>450</v>
      </c>
      <c r="F119" s="68" t="s">
        <v>684</v>
      </c>
      <c r="G119" s="62" t="s">
        <v>184</v>
      </c>
      <c r="H119" s="19" t="s">
        <v>977</v>
      </c>
      <c r="I119" s="19" t="s">
        <v>1183</v>
      </c>
      <c r="J119" s="19" t="s">
        <v>1353</v>
      </c>
      <c r="K119" s="20" t="s">
        <v>1586</v>
      </c>
      <c r="L119" s="21">
        <v>140</v>
      </c>
      <c r="M119" s="21"/>
      <c r="N119" s="26" t="str">
        <f>IFERROR(VLOOKUP(O119,Apoio!A:B,2,0),"")</f>
        <v/>
      </c>
      <c r="O119" s="22">
        <f>IFERROR(VLOOKUP(C119,'[1]TB DIN'!$B:$D,3,0),"AGUARDANDO ANEXO")</f>
        <v>0</v>
      </c>
      <c r="P119" s="22">
        <f>IFERROR(VLOOKUP(C119,'[1]TB DIN INCLUIDOS'!$B:$H,3,0),"AGUARDANDO ANEXO")</f>
        <v>0</v>
      </c>
      <c r="Q119" s="26" cm="1">
        <f t="array" ref="Q119">_xlfn.IFS((P119&gt;N119),(N119*2),(P119&lt;=N119),(P119*2))</f>
        <v>0</v>
      </c>
      <c r="R119" s="22"/>
      <c r="S119" s="26">
        <f>IFERROR(VLOOKUP(T119,Apoio!A:B,2,0),"")</f>
        <v>2</v>
      </c>
      <c r="T119" s="22">
        <v>45</v>
      </c>
      <c r="U119" s="22">
        <f>IFERROR(VLOOKUP(C119,'[1]TB DIN INCLUIDOS'!$B:$H,4,0),"AGUARDANDO ANEXO")</f>
        <v>0</v>
      </c>
      <c r="V119" s="26" cm="1">
        <f t="array" ref="V119">_xlfn.IFS((U119&gt;S119),(S119*2),(U119&lt;=S119),(U119*2))</f>
        <v>0</v>
      </c>
      <c r="W119" s="22"/>
      <c r="X119" s="26">
        <f>IFERROR(VLOOKUP(Y119,Apoio!A:B,2,0),"")</f>
        <v>2</v>
      </c>
      <c r="Y119" s="22">
        <v>49</v>
      </c>
      <c r="Z119" s="22">
        <f>IFERROR(VLOOKUP(C119,'[1]TB DIN INCLUIDOS'!$B:$H,5,0),"AGUARDANDO ANEXO")</f>
        <v>1</v>
      </c>
      <c r="AA119" s="26" cm="1">
        <f t="array" ref="AA119">_xlfn.IFS((Z119&gt;X119),(X119*2),(Z119&lt;=X119),(Z119*2))</f>
        <v>2</v>
      </c>
      <c r="AB119" s="22"/>
      <c r="AC119" s="26">
        <f>IFERROR(VLOOKUP(AD119,Apoio!A:B,2,0),"")</f>
        <v>2</v>
      </c>
      <c r="AD119" s="22">
        <f>IFERROR(VLOOKUP(C119,'[1]TB DIN'!$B:$H,6,0),"AGUARDANDO ANEXO")</f>
        <v>44</v>
      </c>
      <c r="AE119" s="22">
        <f>IFERROR(VLOOKUP(C119,'[1]TB DIN INCLUIDOS'!$B:$H,6,0),"AGUARDANDO ANEXO")</f>
        <v>1</v>
      </c>
      <c r="AF119" s="26" cm="1">
        <f t="array" ref="AF119">_xlfn.IFS((AE119&gt;AC119),(AC119*2),(AE119&lt;=AC119),(AE119*2))</f>
        <v>2</v>
      </c>
      <c r="AG119" s="22"/>
      <c r="AH119" s="28">
        <f t="shared" si="7"/>
        <v>138</v>
      </c>
      <c r="AI119" s="28">
        <f t="shared" si="8"/>
        <v>2</v>
      </c>
      <c r="AJ119" s="28">
        <f t="shared" si="9"/>
        <v>4</v>
      </c>
      <c r="AK119" s="28">
        <f t="shared" si="10"/>
        <v>0</v>
      </c>
      <c r="AL119" s="28">
        <f t="shared" si="11"/>
        <v>-2</v>
      </c>
      <c r="AM119" s="23" t="s">
        <v>1707</v>
      </c>
      <c r="AN119" s="37">
        <f>VLOOKUP(C119,'[2]MARÇO-2024'!$B:$M,12,0)</f>
        <v>137</v>
      </c>
      <c r="AO119" s="37">
        <f t="shared" si="12"/>
        <v>-1</v>
      </c>
      <c r="AP119" s="37" t="str">
        <f t="shared" si="13"/>
        <v/>
      </c>
    </row>
    <row r="120" spans="1:42" ht="13.5" customHeight="1" x14ac:dyDescent="0.25">
      <c r="A120" s="17">
        <v>4</v>
      </c>
      <c r="B120" s="17">
        <v>17</v>
      </c>
      <c r="C120" s="29">
        <v>4017</v>
      </c>
      <c r="D120" s="38">
        <v>33134995</v>
      </c>
      <c r="E120" s="18" t="s">
        <v>437</v>
      </c>
      <c r="F120" s="68" t="s">
        <v>662</v>
      </c>
      <c r="G120" s="62" t="s">
        <v>163</v>
      </c>
      <c r="H120" s="19" t="s">
        <v>955</v>
      </c>
      <c r="I120" s="19" t="s">
        <v>1174</v>
      </c>
      <c r="J120" s="19" t="s">
        <v>1331</v>
      </c>
      <c r="K120" s="20" t="s">
        <v>1579</v>
      </c>
      <c r="L120" s="21">
        <v>202</v>
      </c>
      <c r="M120" s="21"/>
      <c r="N120" s="26" t="str">
        <f>IFERROR(VLOOKUP(O120,Apoio!A:B,2,0),"")</f>
        <v/>
      </c>
      <c r="O120" s="22">
        <f>IFERROR(VLOOKUP(C120,'[1]TB DIN'!$B:$D,3,0),"AGUARDANDO ANEXO")</f>
        <v>0</v>
      </c>
      <c r="P120" s="22">
        <f>IFERROR(VLOOKUP(C120,'[1]TB DIN INCLUIDOS'!$B:$H,3,0),"AGUARDANDO ANEXO")</f>
        <v>0</v>
      </c>
      <c r="Q120" s="26" cm="1">
        <f t="array" ref="Q120">_xlfn.IFS((P120&gt;N120),(N120*2),(P120&lt;=N120),(P120*2))</f>
        <v>0</v>
      </c>
      <c r="R120" s="22"/>
      <c r="S120" s="26">
        <f>IFERROR(VLOOKUP(T120,Apoio!A:B,2,0),"")</f>
        <v>2</v>
      </c>
      <c r="T120" s="22">
        <f>IFERROR(VLOOKUP(C120,'[1]TB DIN'!$B:$H,4,0),"AGUARDANDO ANEXO")</f>
        <v>47</v>
      </c>
      <c r="U120" s="22">
        <f>IFERROR(VLOOKUP(C120,'[1]TB DIN INCLUIDOS'!$B:$H,4,0),"AGUARDANDO ANEXO")</f>
        <v>0</v>
      </c>
      <c r="V120" s="26" cm="1">
        <f t="array" ref="V120">_xlfn.IFS((U120&gt;S120),(S120*2),(U120&lt;=S120),(U120*2))</f>
        <v>0</v>
      </c>
      <c r="W120" s="22"/>
      <c r="X120" s="26">
        <f>IFERROR(VLOOKUP(Y120,Apoio!A:B,2,0),"")</f>
        <v>3</v>
      </c>
      <c r="Y120" s="22">
        <f>IFERROR(VLOOKUP(C120,'[1]TB DIN'!$B:$H,5,0),"AGUARDANDO ANEXO")</f>
        <v>75</v>
      </c>
      <c r="Z120" s="22">
        <f>IFERROR(VLOOKUP(C120,'[1]TB DIN INCLUIDOS'!$B:$H,5,0),"AGUARDANDO ANEXO")</f>
        <v>2</v>
      </c>
      <c r="AA120" s="26" cm="1">
        <f t="array" ref="AA120">_xlfn.IFS((Z120&gt;X120),(X120*2),(Z120&lt;=X120),(Z120*2))</f>
        <v>4</v>
      </c>
      <c r="AB120" s="22"/>
      <c r="AC120" s="26">
        <f>IFERROR(VLOOKUP(AD120,Apoio!A:B,2,0),"")</f>
        <v>3</v>
      </c>
      <c r="AD120" s="22">
        <f>IFERROR(VLOOKUP(C120,'[1]TB DIN'!$B:$H,6,0),"AGUARDANDO ANEXO")</f>
        <v>73</v>
      </c>
      <c r="AE120" s="22">
        <f>IFERROR(VLOOKUP(C120,'[1]TB DIN INCLUIDOS'!$B:$H,6,0),"AGUARDANDO ANEXO")</f>
        <v>4</v>
      </c>
      <c r="AF120" s="26" cm="1">
        <f t="array" ref="AF120">_xlfn.IFS((AE120&gt;AC120),(AC120*2),(AE120&lt;=AC120),(AE120*2))</f>
        <v>6</v>
      </c>
      <c r="AG120" s="22"/>
      <c r="AH120" s="28">
        <f t="shared" si="7"/>
        <v>195</v>
      </c>
      <c r="AI120" s="28">
        <f t="shared" si="8"/>
        <v>6</v>
      </c>
      <c r="AJ120" s="28">
        <f t="shared" si="9"/>
        <v>10</v>
      </c>
      <c r="AK120" s="28">
        <f t="shared" si="10"/>
        <v>0</v>
      </c>
      <c r="AL120" s="28">
        <f t="shared" si="11"/>
        <v>-3</v>
      </c>
      <c r="AM120" s="23" t="s">
        <v>1707</v>
      </c>
      <c r="AN120" s="37">
        <f>VLOOKUP(C120,'[2]MARÇO-2024'!$B:$M,12,0)</f>
        <v>186</v>
      </c>
      <c r="AO120" s="37">
        <f t="shared" si="12"/>
        <v>-9</v>
      </c>
      <c r="AP120" s="37" t="str">
        <f t="shared" si="13"/>
        <v/>
      </c>
    </row>
    <row r="121" spans="1:42" ht="13.5" customHeight="1" x14ac:dyDescent="0.25">
      <c r="A121" s="17">
        <v>4</v>
      </c>
      <c r="B121" s="17">
        <v>18</v>
      </c>
      <c r="C121" s="29">
        <v>4018</v>
      </c>
      <c r="D121" s="38">
        <v>33123055</v>
      </c>
      <c r="E121" s="18" t="s">
        <v>458</v>
      </c>
      <c r="F121" s="68" t="s">
        <v>694</v>
      </c>
      <c r="G121" s="62" t="s">
        <v>193</v>
      </c>
      <c r="H121" s="19" t="s">
        <v>987</v>
      </c>
      <c r="I121" s="19" t="s">
        <v>987</v>
      </c>
      <c r="J121" s="19" t="s">
        <v>1363</v>
      </c>
      <c r="K121" s="20" t="s">
        <v>1585</v>
      </c>
      <c r="L121" s="21">
        <v>210</v>
      </c>
      <c r="M121" s="21"/>
      <c r="N121" s="26" t="str">
        <f>IFERROR(VLOOKUP(O121,Apoio!A:B,2,0),"")</f>
        <v/>
      </c>
      <c r="O121" s="22">
        <f>IFERROR(VLOOKUP(C121,'[1]TB DIN'!$B:$D,3,0),"AGUARDANDO ANEXO")</f>
        <v>0</v>
      </c>
      <c r="P121" s="22">
        <f>IFERROR(VLOOKUP(C121,'[1]TB DIN INCLUIDOS'!$B:$H,3,0),"AGUARDANDO ANEXO")</f>
        <v>0</v>
      </c>
      <c r="Q121" s="26" cm="1">
        <f t="array" ref="Q121">_xlfn.IFS((P121&gt;N121),(N121*2),(P121&lt;=N121),(P121*2))</f>
        <v>0</v>
      </c>
      <c r="R121" s="22"/>
      <c r="S121" s="26">
        <f>IFERROR(VLOOKUP(T121,Apoio!A:B,2,0),"")</f>
        <v>3</v>
      </c>
      <c r="T121" s="22">
        <f>IFERROR(VLOOKUP(C121,'[1]TB DIN'!$B:$H,4,0),"AGUARDANDO ANEXO")</f>
        <v>59</v>
      </c>
      <c r="U121" s="22">
        <f>IFERROR(VLOOKUP(C121,'[1]TB DIN INCLUIDOS'!$B:$H,4,0),"AGUARDANDO ANEXO")</f>
        <v>0</v>
      </c>
      <c r="V121" s="26" cm="1">
        <f t="array" ref="V121">_xlfn.IFS((U121&gt;S121),(S121*2),(U121&lt;=S121),(U121*2))</f>
        <v>0</v>
      </c>
      <c r="W121" s="22"/>
      <c r="X121" s="26">
        <f>IFERROR(VLOOKUP(Y121,Apoio!A:B,2,0),"")</f>
        <v>3</v>
      </c>
      <c r="Y121" s="22">
        <v>68</v>
      </c>
      <c r="Z121" s="22">
        <f>IFERROR(VLOOKUP(C121,'[1]TB DIN INCLUIDOS'!$B:$H,5,0),"AGUARDANDO ANEXO")</f>
        <v>1</v>
      </c>
      <c r="AA121" s="26" cm="1">
        <f t="array" ref="AA121">_xlfn.IFS((Z121&gt;X121),(X121*2),(Z121&lt;=X121),(Z121*2))</f>
        <v>2</v>
      </c>
      <c r="AB121" s="22"/>
      <c r="AC121" s="26">
        <f>IFERROR(VLOOKUP(AD121,Apoio!A:B,2,0),"")</f>
        <v>4</v>
      </c>
      <c r="AD121" s="22">
        <v>83</v>
      </c>
      <c r="AE121" s="22">
        <f>IFERROR(VLOOKUP(C121,'[1]TB DIN INCLUIDOS'!$B:$H,6,0),"AGUARDANDO ANEXO")</f>
        <v>2</v>
      </c>
      <c r="AF121" s="26" cm="1">
        <f t="array" ref="AF121">_xlfn.IFS((AE121&gt;AC121),(AC121*2),(AE121&lt;=AC121),(AE121*2))</f>
        <v>4</v>
      </c>
      <c r="AG121" s="22"/>
      <c r="AH121" s="28">
        <f t="shared" si="7"/>
        <v>210</v>
      </c>
      <c r="AI121" s="28">
        <f t="shared" si="8"/>
        <v>3</v>
      </c>
      <c r="AJ121" s="28">
        <f t="shared" si="9"/>
        <v>6</v>
      </c>
      <c r="AK121" s="28">
        <f t="shared" si="10"/>
        <v>0</v>
      </c>
      <c r="AL121" s="28">
        <f t="shared" si="11"/>
        <v>-6</v>
      </c>
      <c r="AM121" s="23" t="s">
        <v>1707</v>
      </c>
      <c r="AN121" s="37">
        <f>VLOOKUP(C121,'[2]MARÇO-2024'!$B:$M,12,0)</f>
        <v>208</v>
      </c>
      <c r="AO121" s="37">
        <f t="shared" si="12"/>
        <v>-2</v>
      </c>
      <c r="AP121" s="37" t="str">
        <f t="shared" si="13"/>
        <v/>
      </c>
    </row>
    <row r="122" spans="1:42" ht="13.5" customHeight="1" x14ac:dyDescent="0.25">
      <c r="A122" s="17">
        <v>4</v>
      </c>
      <c r="B122" s="17">
        <v>19</v>
      </c>
      <c r="C122" s="29">
        <v>4020</v>
      </c>
      <c r="D122" s="38">
        <v>33184887</v>
      </c>
      <c r="E122" s="18" t="s">
        <v>411</v>
      </c>
      <c r="F122" s="68" t="s">
        <v>669</v>
      </c>
      <c r="G122" s="66" t="s">
        <v>170</v>
      </c>
      <c r="H122" s="19" t="s">
        <v>962</v>
      </c>
      <c r="I122" s="19" t="s">
        <v>1153</v>
      </c>
      <c r="J122" s="19" t="s">
        <v>1338</v>
      </c>
      <c r="K122" s="20" t="s">
        <v>1570</v>
      </c>
      <c r="L122" s="21">
        <v>215</v>
      </c>
      <c r="M122" s="21"/>
      <c r="N122" s="26" t="str">
        <f>IFERROR(VLOOKUP(O122,Apoio!A:B,2,0),"")</f>
        <v/>
      </c>
      <c r="O122" s="22">
        <f>IFERROR(VLOOKUP(C122,'[1]TB DIN'!$B:$D,3,0),"AGUARDANDO ANEXO")</f>
        <v>0</v>
      </c>
      <c r="P122" s="22">
        <f>IFERROR(VLOOKUP(C122,'[1]TB DIN INCLUIDOS'!$B:$H,3,0),"AGUARDANDO ANEXO")</f>
        <v>0</v>
      </c>
      <c r="Q122" s="26" cm="1">
        <f t="array" ref="Q122">_xlfn.IFS((P122&gt;N122),(N122*2),(P122&lt;=N122),(P122*2))</f>
        <v>0</v>
      </c>
      <c r="R122" s="22"/>
      <c r="S122" s="26">
        <f>IFERROR(VLOOKUP(T122,Apoio!A:B,2,0),"")</f>
        <v>2</v>
      </c>
      <c r="T122" s="22">
        <f>IFERROR(VLOOKUP(C122,'[1]TB DIN'!$B:$H,4,0),"AGUARDANDO ANEXO")</f>
        <v>47</v>
      </c>
      <c r="U122" s="22">
        <f>IFERROR(VLOOKUP(C122,'[1]TB DIN INCLUIDOS'!$B:$H,4,0),"AGUARDANDO ANEXO")</f>
        <v>0</v>
      </c>
      <c r="V122" s="26" cm="1">
        <f t="array" ref="V122">_xlfn.IFS((U122&gt;S122),(S122*2),(U122&lt;=S122),(U122*2))</f>
        <v>0</v>
      </c>
      <c r="W122" s="22"/>
      <c r="X122" s="26">
        <f>IFERROR(VLOOKUP(Y122,Apoio!A:B,2,0),"")</f>
        <v>3</v>
      </c>
      <c r="Y122" s="22">
        <f>IFERROR(VLOOKUP(C122,'[1]TB DIN'!$B:$H,5,0),"AGUARDANDO ANEXO")</f>
        <v>67</v>
      </c>
      <c r="Z122" s="22">
        <f>IFERROR(VLOOKUP(C122,'[1]TB DIN INCLUIDOS'!$B:$H,5,0),"AGUARDANDO ANEXO")</f>
        <v>1</v>
      </c>
      <c r="AA122" s="26" cm="1">
        <f t="array" ref="AA122">_xlfn.IFS((Z122&gt;X122),(X122*2),(Z122&lt;=X122),(Z122*2))</f>
        <v>2</v>
      </c>
      <c r="AB122" s="22"/>
      <c r="AC122" s="26">
        <f>IFERROR(VLOOKUP(AD122,Apoio!A:B,2,0),"")</f>
        <v>3</v>
      </c>
      <c r="AD122" s="22">
        <f>IFERROR(VLOOKUP(C122,'[1]TB DIN'!$B:$H,6,0),"AGUARDANDO ANEXO")</f>
        <v>55</v>
      </c>
      <c r="AE122" s="22">
        <f>IFERROR(VLOOKUP(C122,'[1]TB DIN INCLUIDOS'!$B:$H,6,0),"AGUARDANDO ANEXO")</f>
        <v>0</v>
      </c>
      <c r="AF122" s="26" cm="1">
        <f t="array" ref="AF122">_xlfn.IFS((AE122&gt;AC122),(AC122*2),(AE122&lt;=AC122),(AE122*2))</f>
        <v>0</v>
      </c>
      <c r="AG122" s="22"/>
      <c r="AH122" s="28">
        <f t="shared" si="7"/>
        <v>169</v>
      </c>
      <c r="AI122" s="28">
        <f t="shared" si="8"/>
        <v>1</v>
      </c>
      <c r="AJ122" s="28">
        <f t="shared" si="9"/>
        <v>2</v>
      </c>
      <c r="AK122" s="28">
        <f t="shared" si="10"/>
        <v>44</v>
      </c>
      <c r="AL122" s="28">
        <f t="shared" si="11"/>
        <v>0</v>
      </c>
      <c r="AM122" s="23" t="s">
        <v>1707</v>
      </c>
      <c r="AN122" s="37">
        <f>VLOOKUP(C122,'[2]MARÇO-2024'!$B:$M,12,0)</f>
        <v>169</v>
      </c>
      <c r="AO122" s="37">
        <f t="shared" si="12"/>
        <v>0</v>
      </c>
      <c r="AP122" s="37" t="str">
        <f t="shared" si="13"/>
        <v/>
      </c>
    </row>
    <row r="123" spans="1:42" ht="13.5" customHeight="1" x14ac:dyDescent="0.25">
      <c r="A123" s="17">
        <v>4</v>
      </c>
      <c r="B123" s="17">
        <v>20</v>
      </c>
      <c r="C123" s="29">
        <v>4021</v>
      </c>
      <c r="D123" s="38">
        <v>33188033</v>
      </c>
      <c r="E123" s="18" t="s">
        <v>437</v>
      </c>
      <c r="F123" s="68" t="s">
        <v>663</v>
      </c>
      <c r="G123" s="62" t="s">
        <v>164</v>
      </c>
      <c r="H123" s="19" t="s">
        <v>956</v>
      </c>
      <c r="I123" s="19" t="s">
        <v>1174</v>
      </c>
      <c r="J123" s="19" t="s">
        <v>1332</v>
      </c>
      <c r="K123" s="20" t="s">
        <v>1580</v>
      </c>
      <c r="L123" s="21">
        <v>215</v>
      </c>
      <c r="M123" s="21"/>
      <c r="N123" s="26" t="str">
        <f>IFERROR(VLOOKUP(O123,Apoio!A:B,2,0),"")</f>
        <v/>
      </c>
      <c r="O123" s="22">
        <f>IFERROR(VLOOKUP(C123,'[1]TB DIN'!$B:$D,3,0),"AGUARDANDO ANEXO")</f>
        <v>0</v>
      </c>
      <c r="P123" s="22">
        <f>IFERROR(VLOOKUP(C123,'[1]TB DIN INCLUIDOS'!$B:$H,3,0),"AGUARDANDO ANEXO")</f>
        <v>0</v>
      </c>
      <c r="Q123" s="26" cm="1">
        <f t="array" ref="Q123">_xlfn.IFS((P123&gt;N123),(N123*2),(P123&lt;=N123),(P123*2))</f>
        <v>0</v>
      </c>
      <c r="R123" s="22"/>
      <c r="S123" s="26">
        <f>IFERROR(VLOOKUP(T123,Apoio!A:B,2,0),"")</f>
        <v>2</v>
      </c>
      <c r="T123" s="22">
        <f>IFERROR(VLOOKUP(C123,'[1]TB DIN'!$B:$H,4,0),"AGUARDANDO ANEXO")</f>
        <v>30</v>
      </c>
      <c r="U123" s="22">
        <f>IFERROR(VLOOKUP(C123,'[1]TB DIN INCLUIDOS'!$B:$H,4,0),"AGUARDANDO ANEXO")</f>
        <v>0</v>
      </c>
      <c r="V123" s="26" cm="1">
        <f t="array" ref="V123">_xlfn.IFS((U123&gt;S123),(S123*2),(U123&lt;=S123),(U123*2))</f>
        <v>0</v>
      </c>
      <c r="W123" s="22"/>
      <c r="X123" s="26">
        <f>IFERROR(VLOOKUP(Y123,Apoio!A:B,2,0),"")</f>
        <v>3</v>
      </c>
      <c r="Y123" s="22">
        <v>67</v>
      </c>
      <c r="Z123" s="22">
        <f>IFERROR(VLOOKUP(C123,'[1]TB DIN INCLUIDOS'!$B:$H,5,0),"AGUARDANDO ANEXO")</f>
        <v>1</v>
      </c>
      <c r="AA123" s="26" cm="1">
        <f t="array" ref="AA123">_xlfn.IFS((Z123&gt;X123),(X123*2),(Z123&lt;=X123),(Z123*2))</f>
        <v>2</v>
      </c>
      <c r="AB123" s="22"/>
      <c r="AC123" s="26">
        <f>IFERROR(VLOOKUP(AD123,Apoio!A:B,2,0),"")</f>
        <v>5</v>
      </c>
      <c r="AD123" s="22">
        <f>IFERROR(VLOOKUP(C123,'[1]TB DIN'!$B:$H,6,0),"AGUARDANDO ANEXO")</f>
        <v>104</v>
      </c>
      <c r="AE123" s="22">
        <f>IFERROR(VLOOKUP(C123,'[1]TB DIN INCLUIDOS'!$B:$H,6,0),"AGUARDANDO ANEXO")</f>
        <v>2</v>
      </c>
      <c r="AF123" s="26" cm="1">
        <f t="array" ref="AF123">_xlfn.IFS((AE123&gt;AC123),(AC123*2),(AE123&lt;=AC123),(AE123*2))</f>
        <v>4</v>
      </c>
      <c r="AG123" s="22"/>
      <c r="AH123" s="28">
        <f t="shared" si="7"/>
        <v>201</v>
      </c>
      <c r="AI123" s="28">
        <f t="shared" si="8"/>
        <v>3</v>
      </c>
      <c r="AJ123" s="28">
        <f t="shared" si="9"/>
        <v>6</v>
      </c>
      <c r="AK123" s="28">
        <f t="shared" si="10"/>
        <v>8</v>
      </c>
      <c r="AL123" s="28">
        <f t="shared" si="11"/>
        <v>0</v>
      </c>
      <c r="AM123" s="23" t="s">
        <v>1707</v>
      </c>
      <c r="AN123" s="37">
        <f>VLOOKUP(C123,'[2]MARÇO-2024'!$B:$M,12,0)</f>
        <v>202</v>
      </c>
      <c r="AO123" s="37">
        <f t="shared" si="12"/>
        <v>1</v>
      </c>
      <c r="AP123" s="37" t="str">
        <f t="shared" si="13"/>
        <v/>
      </c>
    </row>
    <row r="124" spans="1:42" ht="13.5" customHeight="1" x14ac:dyDescent="0.25">
      <c r="A124" s="17">
        <v>4</v>
      </c>
      <c r="B124" s="17">
        <v>21</v>
      </c>
      <c r="C124" s="29">
        <v>4022</v>
      </c>
      <c r="D124" s="38">
        <v>33191840</v>
      </c>
      <c r="E124" s="18" t="s">
        <v>453</v>
      </c>
      <c r="F124" s="68" t="s">
        <v>689</v>
      </c>
      <c r="G124" s="62" t="s">
        <v>26</v>
      </c>
      <c r="H124" s="19" t="s">
        <v>982</v>
      </c>
      <c r="I124" s="19" t="s">
        <v>33</v>
      </c>
      <c r="J124" s="19" t="s">
        <v>1358</v>
      </c>
      <c r="K124" s="20" t="s">
        <v>1579</v>
      </c>
      <c r="L124" s="21">
        <v>273</v>
      </c>
      <c r="M124" s="21"/>
      <c r="N124" s="26" t="str">
        <f>IFERROR(VLOOKUP(O124,Apoio!A:B,2,0),"")</f>
        <v/>
      </c>
      <c r="O124" s="22">
        <f>IFERROR(VLOOKUP(C124,'[1]TB DIN'!$B:$D,3,0),"AGUARDANDO ANEXO")</f>
        <v>0</v>
      </c>
      <c r="P124" s="22">
        <f>IFERROR(VLOOKUP(C124,'[1]TB DIN INCLUIDOS'!$B:$H,3,0),"AGUARDANDO ANEXO")</f>
        <v>0</v>
      </c>
      <c r="Q124" s="26" cm="1">
        <f t="array" ref="Q124">_xlfn.IFS((P124&gt;N124),(N124*2),(P124&lt;=N124),(P124*2))</f>
        <v>0</v>
      </c>
      <c r="R124" s="22"/>
      <c r="S124" s="26">
        <f>IFERROR(VLOOKUP(T124,Apoio!A:B,2,0),"")</f>
        <v>3</v>
      </c>
      <c r="T124" s="22">
        <f>IFERROR(VLOOKUP(C124,'[1]TB DIN'!$B:$H,4,0),"AGUARDANDO ANEXO")</f>
        <v>70</v>
      </c>
      <c r="U124" s="22">
        <f>IFERROR(VLOOKUP(C124,'[1]TB DIN INCLUIDOS'!$B:$H,4,0),"AGUARDANDO ANEXO")</f>
        <v>0</v>
      </c>
      <c r="V124" s="26" cm="1">
        <f t="array" ref="V124">_xlfn.IFS((U124&gt;S124),(S124*2),(U124&lt;=S124),(U124*2))</f>
        <v>0</v>
      </c>
      <c r="W124" s="22"/>
      <c r="X124" s="26">
        <f>IFERROR(VLOOKUP(Y124,Apoio!A:B,2,0),"")</f>
        <v>4</v>
      </c>
      <c r="Y124" s="22">
        <f>IFERROR(VLOOKUP(C124,'[1]TB DIN'!$B:$H,5,0),"AGUARDANDO ANEXO")</f>
        <v>80</v>
      </c>
      <c r="Z124" s="22">
        <f>IFERROR(VLOOKUP(C124,'[1]TB DIN INCLUIDOS'!$B:$H,5,0),"AGUARDANDO ANEXO")</f>
        <v>1</v>
      </c>
      <c r="AA124" s="26" cm="1">
        <f t="array" ref="AA124">_xlfn.IFS((Z124&gt;X124),(X124*2),(Z124&lt;=X124),(Z124*2))</f>
        <v>2</v>
      </c>
      <c r="AB124" s="22"/>
      <c r="AC124" s="26">
        <f>IFERROR(VLOOKUP(AD124,Apoio!A:B,2,0),"")</f>
        <v>5</v>
      </c>
      <c r="AD124" s="22">
        <f>IFERROR(VLOOKUP(C124,'[1]TB DIN'!$B:$H,6,0),"AGUARDANDO ANEXO")</f>
        <v>119</v>
      </c>
      <c r="AE124" s="22">
        <f>IFERROR(VLOOKUP(C124,'[1]TB DIN INCLUIDOS'!$B:$H,6,0),"AGUARDANDO ANEXO")</f>
        <v>3</v>
      </c>
      <c r="AF124" s="26" cm="1">
        <f t="array" ref="AF124">_xlfn.IFS((AE124&gt;AC124),(AC124*2),(AE124&lt;=AC124),(AE124*2))</f>
        <v>6</v>
      </c>
      <c r="AG124" s="22"/>
      <c r="AH124" s="28">
        <f t="shared" si="7"/>
        <v>269</v>
      </c>
      <c r="AI124" s="28">
        <f t="shared" si="8"/>
        <v>4</v>
      </c>
      <c r="AJ124" s="28">
        <f t="shared" si="9"/>
        <v>8</v>
      </c>
      <c r="AK124" s="28">
        <f t="shared" si="10"/>
        <v>0</v>
      </c>
      <c r="AL124" s="28">
        <f t="shared" si="11"/>
        <v>-4</v>
      </c>
      <c r="AM124" s="23" t="s">
        <v>1707</v>
      </c>
      <c r="AN124" s="37">
        <f>VLOOKUP(C124,'[2]MARÇO-2024'!$B:$M,12,0)</f>
        <v>270</v>
      </c>
      <c r="AO124" s="37">
        <f t="shared" si="12"/>
        <v>1</v>
      </c>
      <c r="AP124" s="37" t="str">
        <f t="shared" si="13"/>
        <v/>
      </c>
    </row>
    <row r="125" spans="1:42" ht="13.5" customHeight="1" x14ac:dyDescent="0.25">
      <c r="A125" s="17">
        <v>4</v>
      </c>
      <c r="B125" s="17">
        <v>22</v>
      </c>
      <c r="C125" s="29">
        <v>4023</v>
      </c>
      <c r="D125" s="38">
        <v>33188025</v>
      </c>
      <c r="E125" s="18" t="s">
        <v>411</v>
      </c>
      <c r="F125" s="68" t="s">
        <v>670</v>
      </c>
      <c r="G125" s="62" t="s">
        <v>25</v>
      </c>
      <c r="H125" s="19" t="s">
        <v>963</v>
      </c>
      <c r="I125" s="19" t="s">
        <v>1153</v>
      </c>
      <c r="J125" s="19" t="s">
        <v>1339</v>
      </c>
      <c r="K125" s="20" t="s">
        <v>1577</v>
      </c>
      <c r="L125" s="21">
        <v>275</v>
      </c>
      <c r="M125" s="21"/>
      <c r="N125" s="26" t="str">
        <f>IFERROR(VLOOKUP(O125,Apoio!A:B,2,0),"")</f>
        <v/>
      </c>
      <c r="O125" s="22">
        <f>IFERROR(VLOOKUP(C125,'[1]TB DIN'!$B:$D,3,0),"AGUARDANDO ANEXO")</f>
        <v>0</v>
      </c>
      <c r="P125" s="22">
        <f>IFERROR(VLOOKUP(C125,'[1]TB DIN INCLUIDOS'!$B:$H,3,0),"AGUARDANDO ANEXO")</f>
        <v>0</v>
      </c>
      <c r="Q125" s="26" cm="1">
        <f t="array" ref="Q125">_xlfn.IFS((P125&gt;N125),(N125*2),(P125&lt;=N125),(P125*2))</f>
        <v>0</v>
      </c>
      <c r="R125" s="22"/>
      <c r="S125" s="26">
        <f>IFERROR(VLOOKUP(T125,Apoio!A:B,2,0),"")</f>
        <v>4</v>
      </c>
      <c r="T125" s="22">
        <v>82</v>
      </c>
      <c r="U125" s="22">
        <f>IFERROR(VLOOKUP(C125,'[1]TB DIN INCLUIDOS'!$B:$H,4,0),"AGUARDANDO ANEXO")</f>
        <v>0</v>
      </c>
      <c r="V125" s="26" cm="1">
        <f t="array" ref="V125">_xlfn.IFS((U125&gt;S125),(S125*2),(U125&lt;=S125),(U125*2))</f>
        <v>0</v>
      </c>
      <c r="W125" s="22"/>
      <c r="X125" s="26">
        <f>IFERROR(VLOOKUP(Y125,Apoio!A:B,2,0),"")</f>
        <v>4</v>
      </c>
      <c r="Y125" s="22">
        <v>98</v>
      </c>
      <c r="Z125" s="22">
        <f>IFERROR(VLOOKUP(C125,'[1]TB DIN INCLUIDOS'!$B:$H,5,0),"AGUARDANDO ANEXO")</f>
        <v>1</v>
      </c>
      <c r="AA125" s="26" cm="1">
        <f t="array" ref="AA125">_xlfn.IFS((Z125&gt;X125),(X125*2),(Z125&lt;=X125),(Z125*2))</f>
        <v>2</v>
      </c>
      <c r="AB125" s="22"/>
      <c r="AC125" s="26">
        <f>IFERROR(VLOOKUP(AD125,Apoio!A:B,2,0),"")</f>
        <v>4</v>
      </c>
      <c r="AD125" s="22">
        <v>92</v>
      </c>
      <c r="AE125" s="22">
        <f>IFERROR(VLOOKUP(C125,'[1]TB DIN INCLUIDOS'!$B:$H,6,0),"AGUARDANDO ANEXO")</f>
        <v>2</v>
      </c>
      <c r="AF125" s="26" cm="1">
        <f t="array" ref="AF125">_xlfn.IFS((AE125&gt;AC125),(AC125*2),(AE125&lt;=AC125),(AE125*2))</f>
        <v>4</v>
      </c>
      <c r="AG125" s="22"/>
      <c r="AH125" s="28">
        <f t="shared" si="7"/>
        <v>272</v>
      </c>
      <c r="AI125" s="28">
        <f t="shared" si="8"/>
        <v>3</v>
      </c>
      <c r="AJ125" s="28">
        <f t="shared" si="9"/>
        <v>6</v>
      </c>
      <c r="AK125" s="28">
        <f t="shared" si="10"/>
        <v>0</v>
      </c>
      <c r="AL125" s="28">
        <f t="shared" si="11"/>
        <v>-3</v>
      </c>
      <c r="AM125" s="23" t="s">
        <v>1849</v>
      </c>
      <c r="AN125" s="37">
        <f>VLOOKUP(C125,'[2]MARÇO-2024'!$B:$M,12,0)</f>
        <v>258</v>
      </c>
      <c r="AO125" s="37">
        <f t="shared" si="12"/>
        <v>-14</v>
      </c>
      <c r="AP125" s="37" t="str">
        <f t="shared" si="13"/>
        <v/>
      </c>
    </row>
    <row r="126" spans="1:42" ht="13.5" customHeight="1" x14ac:dyDescent="0.25">
      <c r="A126" s="17">
        <v>4</v>
      </c>
      <c r="B126" s="17">
        <v>23</v>
      </c>
      <c r="C126" s="29">
        <v>4024</v>
      </c>
      <c r="D126" s="38">
        <v>33187525</v>
      </c>
      <c r="E126" s="18" t="s">
        <v>453</v>
      </c>
      <c r="F126" s="68" t="s">
        <v>687</v>
      </c>
      <c r="G126" s="62" t="s">
        <v>187</v>
      </c>
      <c r="H126" s="19" t="s">
        <v>980</v>
      </c>
      <c r="I126" s="19" t="s">
        <v>33</v>
      </c>
      <c r="J126" s="19" t="s">
        <v>1356</v>
      </c>
      <c r="K126" s="20" t="s">
        <v>1588</v>
      </c>
      <c r="L126" s="21">
        <v>269</v>
      </c>
      <c r="M126" s="21"/>
      <c r="N126" s="26" t="str">
        <f>IFERROR(VLOOKUP(O126,Apoio!A:B,2,0),"")</f>
        <v/>
      </c>
      <c r="O126" s="22">
        <f>IFERROR(VLOOKUP(C126,'[1]TB DIN'!$B:$D,3,0),"AGUARDANDO ANEXO")</f>
        <v>0</v>
      </c>
      <c r="P126" s="22">
        <f>IFERROR(VLOOKUP(C126,'[1]TB DIN INCLUIDOS'!$B:$H,3,0),"AGUARDANDO ANEXO")</f>
        <v>0</v>
      </c>
      <c r="Q126" s="26" cm="1">
        <f t="array" ref="Q126">_xlfn.IFS((P126&gt;N126),(N126*2),(P126&lt;=N126),(P126*2))</f>
        <v>0</v>
      </c>
      <c r="R126" s="22"/>
      <c r="S126" s="26">
        <f>IFERROR(VLOOKUP(T126,Apoio!A:B,2,0),"")</f>
        <v>3</v>
      </c>
      <c r="T126" s="22">
        <v>54</v>
      </c>
      <c r="U126" s="22">
        <f>IFERROR(VLOOKUP(C126,'[1]TB DIN INCLUIDOS'!$B:$H,4,0),"AGUARDANDO ANEXO")</f>
        <v>0</v>
      </c>
      <c r="V126" s="26" cm="1">
        <f t="array" ref="V126">_xlfn.IFS((U126&gt;S126),(S126*2),(U126&lt;=S126),(U126*2))</f>
        <v>0</v>
      </c>
      <c r="W126" s="22"/>
      <c r="X126" s="26">
        <f>IFERROR(VLOOKUP(Y126,Apoio!A:B,2,0),"")</f>
        <v>4</v>
      </c>
      <c r="Y126" s="22">
        <f>IFERROR(VLOOKUP(C126,'[1]TB DIN'!$B:$H,5,0),"AGUARDANDO ANEXO")</f>
        <v>100</v>
      </c>
      <c r="Z126" s="22">
        <f>IFERROR(VLOOKUP(C126,'[1]TB DIN INCLUIDOS'!$B:$H,5,0),"AGUARDANDO ANEXO")</f>
        <v>0</v>
      </c>
      <c r="AA126" s="26" cm="1">
        <f t="array" ref="AA126">_xlfn.IFS((Z126&gt;X126),(X126*2),(Z126&lt;=X126),(Z126*2))</f>
        <v>0</v>
      </c>
      <c r="AB126" s="22"/>
      <c r="AC126" s="26">
        <f>IFERROR(VLOOKUP(AD126,Apoio!A:B,2,0),"")</f>
        <v>5</v>
      </c>
      <c r="AD126" s="22">
        <v>109</v>
      </c>
      <c r="AE126" s="22">
        <f>IFERROR(VLOOKUP(C126,'[1]TB DIN INCLUIDOS'!$B:$H,6,0),"AGUARDANDO ANEXO")</f>
        <v>0</v>
      </c>
      <c r="AF126" s="26" cm="1">
        <f t="array" ref="AF126">_xlfn.IFS((AE126&gt;AC126),(AC126*2),(AE126&lt;=AC126),(AE126*2))</f>
        <v>0</v>
      </c>
      <c r="AG126" s="22"/>
      <c r="AH126" s="28">
        <f t="shared" si="7"/>
        <v>263</v>
      </c>
      <c r="AI126" s="28">
        <f t="shared" si="8"/>
        <v>0</v>
      </c>
      <c r="AJ126" s="28">
        <f t="shared" si="9"/>
        <v>0</v>
      </c>
      <c r="AK126" s="28">
        <f t="shared" si="10"/>
        <v>6</v>
      </c>
      <c r="AL126" s="28">
        <f t="shared" si="11"/>
        <v>0</v>
      </c>
      <c r="AM126" s="23" t="s">
        <v>1707</v>
      </c>
      <c r="AN126" s="37">
        <f>VLOOKUP(C126,'[2]MARÇO-2024'!$B:$M,12,0)</f>
        <v>263</v>
      </c>
      <c r="AO126" s="37">
        <f t="shared" si="12"/>
        <v>0</v>
      </c>
      <c r="AP126" s="37" t="str">
        <f t="shared" si="13"/>
        <v/>
      </c>
    </row>
    <row r="127" spans="1:42" ht="13.5" customHeight="1" x14ac:dyDescent="0.25">
      <c r="A127" s="17">
        <v>4</v>
      </c>
      <c r="B127" s="17">
        <v>24</v>
      </c>
      <c r="C127" s="29">
        <v>4025</v>
      </c>
      <c r="D127" s="38">
        <v>33187347</v>
      </c>
      <c r="E127" s="18" t="s">
        <v>446</v>
      </c>
      <c r="F127" s="68" t="s">
        <v>679</v>
      </c>
      <c r="G127" s="62" t="s">
        <v>179</v>
      </c>
      <c r="H127" s="19" t="s">
        <v>972</v>
      </c>
      <c r="I127" s="19" t="s">
        <v>971</v>
      </c>
      <c r="J127" s="19" t="s">
        <v>1348</v>
      </c>
      <c r="K127" s="20" t="s">
        <v>1584</v>
      </c>
      <c r="L127" s="21">
        <v>223</v>
      </c>
      <c r="M127" s="21"/>
      <c r="N127" s="26" t="str">
        <f>IFERROR(VLOOKUP(O127,Apoio!A:B,2,0),"")</f>
        <v/>
      </c>
      <c r="O127" s="22">
        <f>IFERROR(VLOOKUP(C127,'[1]TB DIN'!$B:$D,3,0),"AGUARDANDO ANEXO")</f>
        <v>0</v>
      </c>
      <c r="P127" s="22">
        <f>IFERROR(VLOOKUP(C127,'[1]TB DIN INCLUIDOS'!$B:$H,3,0),"AGUARDANDO ANEXO")</f>
        <v>0</v>
      </c>
      <c r="Q127" s="26" cm="1">
        <f t="array" ref="Q127">_xlfn.IFS((P127&gt;N127),(N127*2),(P127&lt;=N127),(P127*2))</f>
        <v>0</v>
      </c>
      <c r="R127" s="22"/>
      <c r="S127" s="26">
        <f>IFERROR(VLOOKUP(T127,Apoio!A:B,2,0),"")</f>
        <v>4</v>
      </c>
      <c r="T127" s="22">
        <v>78</v>
      </c>
      <c r="U127" s="22">
        <f>IFERROR(VLOOKUP(C127,'[1]TB DIN INCLUIDOS'!$B:$H,4,0),"AGUARDANDO ANEXO")</f>
        <v>0</v>
      </c>
      <c r="V127" s="26" cm="1">
        <f t="array" ref="V127">_xlfn.IFS((U127&gt;S127),(S127*2),(U127&lt;=S127),(U127*2))</f>
        <v>0</v>
      </c>
      <c r="W127" s="22"/>
      <c r="X127" s="26">
        <f>IFERROR(VLOOKUP(Y127,Apoio!A:B,2,0),"")</f>
        <v>4</v>
      </c>
      <c r="Y127" s="22">
        <v>82</v>
      </c>
      <c r="Z127" s="22">
        <f>IFERROR(VLOOKUP(C127,'[1]TB DIN INCLUIDOS'!$B:$H,5,0),"AGUARDANDO ANEXO")</f>
        <v>1</v>
      </c>
      <c r="AA127" s="26" cm="1">
        <f t="array" ref="AA127">_xlfn.IFS((Z127&gt;X127),(X127*2),(Z127&lt;=X127),(Z127*2))</f>
        <v>2</v>
      </c>
      <c r="AB127" s="22"/>
      <c r="AC127" s="26">
        <f>IFERROR(VLOOKUP(AD127,Apoio!A:B,2,0),"")</f>
        <v>3</v>
      </c>
      <c r="AD127" s="22">
        <v>54</v>
      </c>
      <c r="AE127" s="22">
        <f>IFERROR(VLOOKUP(C127,'[1]TB DIN INCLUIDOS'!$B:$H,6,0),"AGUARDANDO ANEXO")</f>
        <v>0</v>
      </c>
      <c r="AF127" s="26" cm="1">
        <f t="array" ref="AF127">_xlfn.IFS((AE127&gt;AC127),(AC127*2),(AE127&lt;=AC127),(AE127*2))</f>
        <v>0</v>
      </c>
      <c r="AG127" s="22"/>
      <c r="AH127" s="28">
        <f t="shared" si="7"/>
        <v>214</v>
      </c>
      <c r="AI127" s="28">
        <f t="shared" si="8"/>
        <v>1</v>
      </c>
      <c r="AJ127" s="28">
        <f t="shared" si="9"/>
        <v>2</v>
      </c>
      <c r="AK127" s="28">
        <f t="shared" si="10"/>
        <v>7</v>
      </c>
      <c r="AL127" s="28">
        <f t="shared" si="11"/>
        <v>0</v>
      </c>
      <c r="AM127" s="23" t="s">
        <v>1707</v>
      </c>
      <c r="AN127" s="37">
        <f>VLOOKUP(C127,'[2]MARÇO-2024'!$B:$M,12,0)</f>
        <v>204</v>
      </c>
      <c r="AO127" s="37">
        <f t="shared" si="12"/>
        <v>-10</v>
      </c>
      <c r="AP127" s="37" t="str">
        <f t="shared" si="13"/>
        <v/>
      </c>
    </row>
    <row r="128" spans="1:42" ht="13.5" customHeight="1" x14ac:dyDescent="0.25">
      <c r="A128" s="17">
        <v>4</v>
      </c>
      <c r="B128" s="17">
        <v>25</v>
      </c>
      <c r="C128" s="29">
        <v>4026</v>
      </c>
      <c r="D128" s="38">
        <v>33188734</v>
      </c>
      <c r="E128" s="18" t="s">
        <v>448</v>
      </c>
      <c r="F128" s="68" t="s">
        <v>682</v>
      </c>
      <c r="G128" s="62" t="s">
        <v>182</v>
      </c>
      <c r="H128" s="19" t="s">
        <v>975</v>
      </c>
      <c r="I128" s="19" t="s">
        <v>1182</v>
      </c>
      <c r="J128" s="19" t="s">
        <v>1351</v>
      </c>
      <c r="K128" s="20" t="s">
        <v>1583</v>
      </c>
      <c r="L128" s="21">
        <v>49</v>
      </c>
      <c r="M128" s="21"/>
      <c r="N128" s="26" t="str">
        <f>IFERROR(VLOOKUP(O128,Apoio!A:B,2,0),"")</f>
        <v/>
      </c>
      <c r="O128" s="22">
        <f>IFERROR(VLOOKUP(C128,'[1]TB DIN'!$B:$D,3,0),"AGUARDANDO ANEXO")</f>
        <v>0</v>
      </c>
      <c r="P128" s="22">
        <f>IFERROR(VLOOKUP(C128,'[1]TB DIN INCLUIDOS'!$B:$H,3,0),"AGUARDANDO ANEXO")</f>
        <v>0</v>
      </c>
      <c r="Q128" s="26" cm="1">
        <f t="array" ref="Q128">_xlfn.IFS((P128&gt;N128),(N128*2),(P128&lt;=N128),(P128*2))</f>
        <v>0</v>
      </c>
      <c r="R128" s="22"/>
      <c r="S128" s="26" t="str">
        <f>IFERROR(VLOOKUP(T128,Apoio!A:B,2,0),"")</f>
        <v/>
      </c>
      <c r="T128" s="22">
        <f>IFERROR(VLOOKUP(C128,'[1]TB DIN'!$B:$H,4,0),"AGUARDANDO ANEXO")</f>
        <v>0</v>
      </c>
      <c r="U128" s="22">
        <f>IFERROR(VLOOKUP(C128,'[1]TB DIN INCLUIDOS'!$B:$H,4,0),"AGUARDANDO ANEXO")</f>
        <v>0</v>
      </c>
      <c r="V128" s="26" cm="1">
        <f t="array" ref="V128">_xlfn.IFS((U128&gt;S128),(S128*2),(U128&lt;=S128),(U128*2))</f>
        <v>0</v>
      </c>
      <c r="W128" s="22"/>
      <c r="X128" s="26">
        <f>IFERROR(VLOOKUP(Y128,Apoio!A:B,2,0),"")</f>
        <v>1</v>
      </c>
      <c r="Y128" s="22">
        <v>19</v>
      </c>
      <c r="Z128" s="22">
        <f>IFERROR(VLOOKUP(C128,'[1]TB DIN INCLUIDOS'!$B:$H,5,0),"AGUARDANDO ANEXO")</f>
        <v>0</v>
      </c>
      <c r="AA128" s="26" cm="1">
        <f t="array" ref="AA128">_xlfn.IFS((Z128&gt;X128),(X128*2),(Z128&lt;=X128),(Z128*2))</f>
        <v>0</v>
      </c>
      <c r="AB128" s="22"/>
      <c r="AC128" s="26">
        <f>IFERROR(VLOOKUP(AD128,Apoio!A:B,2,0),"")</f>
        <v>1</v>
      </c>
      <c r="AD128" s="22">
        <v>25</v>
      </c>
      <c r="AE128" s="22">
        <f>IFERROR(VLOOKUP(C128,'[1]TB DIN INCLUIDOS'!$B:$H,6,0),"AGUARDANDO ANEXO")</f>
        <v>1</v>
      </c>
      <c r="AF128" s="26" cm="1">
        <f t="array" ref="AF128">_xlfn.IFS((AE128&gt;AC128),(AC128*2),(AE128&lt;=AC128),(AE128*2))</f>
        <v>2</v>
      </c>
      <c r="AG128" s="22"/>
      <c r="AH128" s="28">
        <f t="shared" si="7"/>
        <v>44</v>
      </c>
      <c r="AI128" s="28">
        <f t="shared" si="8"/>
        <v>1</v>
      </c>
      <c r="AJ128" s="28">
        <f t="shared" si="9"/>
        <v>2</v>
      </c>
      <c r="AK128" s="28">
        <f t="shared" si="10"/>
        <v>3</v>
      </c>
      <c r="AL128" s="28">
        <f t="shared" si="11"/>
        <v>0</v>
      </c>
      <c r="AM128" s="23" t="s">
        <v>1707</v>
      </c>
      <c r="AN128" s="37">
        <f>VLOOKUP(C128,'[2]MARÇO-2024'!$B:$M,12,0)</f>
        <v>44</v>
      </c>
      <c r="AO128" s="37">
        <f t="shared" si="12"/>
        <v>0</v>
      </c>
      <c r="AP128" s="37" t="str">
        <f t="shared" si="13"/>
        <v/>
      </c>
    </row>
    <row r="129" spans="1:47" ht="13.5" customHeight="1" x14ac:dyDescent="0.25">
      <c r="A129" s="17">
        <v>4</v>
      </c>
      <c r="B129" s="17">
        <v>26</v>
      </c>
      <c r="C129" s="29">
        <v>4027</v>
      </c>
      <c r="D129" s="38">
        <v>33188041</v>
      </c>
      <c r="E129" s="18" t="s">
        <v>437</v>
      </c>
      <c r="F129" s="68" t="s">
        <v>664</v>
      </c>
      <c r="G129" s="62" t="s">
        <v>165</v>
      </c>
      <c r="H129" s="19" t="s">
        <v>957</v>
      </c>
      <c r="I129" s="19" t="s">
        <v>1174</v>
      </c>
      <c r="J129" s="19" t="s">
        <v>1333</v>
      </c>
      <c r="K129" s="20" t="s">
        <v>1581</v>
      </c>
      <c r="L129" s="21">
        <v>200</v>
      </c>
      <c r="M129" s="21"/>
      <c r="N129" s="26" t="str">
        <f>IFERROR(VLOOKUP(O129,Apoio!A:B,2,0),"")</f>
        <v/>
      </c>
      <c r="O129" s="22">
        <f>IFERROR(VLOOKUP(C129,'[1]TB DIN'!$B:$D,3,0),"AGUARDANDO ANEXO")</f>
        <v>0</v>
      </c>
      <c r="P129" s="22">
        <f>IFERROR(VLOOKUP(C129,'[1]TB DIN INCLUIDOS'!$B:$H,3,0),"AGUARDANDO ANEXO")</f>
        <v>0</v>
      </c>
      <c r="Q129" s="26" cm="1">
        <f t="array" ref="Q129">_xlfn.IFS((P129&gt;N129),(N129*2),(P129&lt;=N129),(P129*2))</f>
        <v>0</v>
      </c>
      <c r="R129" s="22"/>
      <c r="S129" s="26">
        <f>IFERROR(VLOOKUP(T129,Apoio!A:B,2,0),"")</f>
        <v>2</v>
      </c>
      <c r="T129" s="22">
        <v>40</v>
      </c>
      <c r="U129" s="22">
        <f>IFERROR(VLOOKUP(C129,'[1]TB DIN INCLUIDOS'!$B:$H,4,0),"AGUARDANDO ANEXO")</f>
        <v>0</v>
      </c>
      <c r="V129" s="26" cm="1">
        <f t="array" ref="V129">_xlfn.IFS((U129&gt;S129),(S129*2),(U129&lt;=S129),(U129*2))</f>
        <v>0</v>
      </c>
      <c r="W129" s="22"/>
      <c r="X129" s="26">
        <f>IFERROR(VLOOKUP(Y129,Apoio!A:B,2,0),"")</f>
        <v>4</v>
      </c>
      <c r="Y129" s="22">
        <f>IFERROR(VLOOKUP(C129,'[1]TB DIN'!$B:$H,5,0),"AGUARDANDO ANEXO")</f>
        <v>78</v>
      </c>
      <c r="Z129" s="22">
        <f>IFERROR(VLOOKUP(C129,'[1]TB DIN INCLUIDOS'!$B:$H,5,0),"AGUARDANDO ANEXO")</f>
        <v>1</v>
      </c>
      <c r="AA129" s="26" cm="1">
        <f t="array" ref="AA129">_xlfn.IFS((Z129&gt;X129),(X129*2),(Z129&lt;=X129),(Z129*2))</f>
        <v>2</v>
      </c>
      <c r="AB129" s="22"/>
      <c r="AC129" s="26">
        <f>IFERROR(VLOOKUP(AD129,Apoio!A:B,2,0),"")</f>
        <v>4</v>
      </c>
      <c r="AD129" s="22">
        <f>IFERROR(VLOOKUP(C129,'[1]TB DIN'!$B:$H,6,0),"AGUARDANDO ANEXO")</f>
        <v>80</v>
      </c>
      <c r="AE129" s="22">
        <f>IFERROR(VLOOKUP(C129,'[1]TB DIN INCLUIDOS'!$B:$H,6,0),"AGUARDANDO ANEXO")</f>
        <v>0</v>
      </c>
      <c r="AF129" s="26" cm="1">
        <f t="array" ref="AF129">_xlfn.IFS((AE129&gt;AC129),(AC129*2),(AE129&lt;=AC129),(AE129*2))</f>
        <v>0</v>
      </c>
      <c r="AG129" s="22"/>
      <c r="AH129" s="28">
        <f t="shared" si="7"/>
        <v>198</v>
      </c>
      <c r="AI129" s="28">
        <f t="shared" si="8"/>
        <v>1</v>
      </c>
      <c r="AJ129" s="28">
        <f t="shared" si="9"/>
        <v>2</v>
      </c>
      <c r="AK129" s="28">
        <f t="shared" si="10"/>
        <v>0</v>
      </c>
      <c r="AL129" s="28">
        <f t="shared" si="11"/>
        <v>0</v>
      </c>
      <c r="AM129" s="23" t="s">
        <v>1707</v>
      </c>
      <c r="AN129" s="37">
        <f>VLOOKUP(C129,'[2]MARÇO-2024'!$B:$M,12,0)</f>
        <v>194</v>
      </c>
      <c r="AO129" s="37">
        <f t="shared" si="12"/>
        <v>-4</v>
      </c>
      <c r="AP129" s="37" t="str">
        <f t="shared" si="13"/>
        <v/>
      </c>
    </row>
    <row r="130" spans="1:47" ht="13.5" customHeight="1" x14ac:dyDescent="0.25">
      <c r="A130" s="17">
        <v>4</v>
      </c>
      <c r="B130" s="17">
        <v>27</v>
      </c>
      <c r="C130" s="29">
        <v>4028</v>
      </c>
      <c r="D130" s="38">
        <v>33187320</v>
      </c>
      <c r="E130" s="18" t="s">
        <v>452</v>
      </c>
      <c r="F130" s="68" t="s">
        <v>686</v>
      </c>
      <c r="G130" s="62" t="s">
        <v>186</v>
      </c>
      <c r="H130" s="19" t="s">
        <v>979</v>
      </c>
      <c r="I130" s="19" t="s">
        <v>35</v>
      </c>
      <c r="J130" s="19" t="s">
        <v>1355</v>
      </c>
      <c r="K130" s="20" t="s">
        <v>1570</v>
      </c>
      <c r="L130" s="21">
        <v>78</v>
      </c>
      <c r="M130" s="21"/>
      <c r="N130" s="26" t="str">
        <f>IFERROR(VLOOKUP(O130,Apoio!A:B,2,0),"")</f>
        <v/>
      </c>
      <c r="O130" s="22">
        <f>IFERROR(VLOOKUP(C130,'[1]TB DIN'!$B:$D,3,0),"AGUARDANDO ANEXO")</f>
        <v>0</v>
      </c>
      <c r="P130" s="22">
        <f>IFERROR(VLOOKUP(C130,'[1]TB DIN INCLUIDOS'!$B:$H,3,0),"AGUARDANDO ANEXO")</f>
        <v>0</v>
      </c>
      <c r="Q130" s="26" cm="1">
        <f t="array" ref="Q130">_xlfn.IFS((P130&gt;N130),(N130*2),(P130&lt;=N130),(P130*2))</f>
        <v>0</v>
      </c>
      <c r="R130" s="22"/>
      <c r="S130" s="26">
        <f>IFERROR(VLOOKUP(T130,Apoio!A:B,2,0),"")</f>
        <v>1</v>
      </c>
      <c r="T130" s="22">
        <v>20</v>
      </c>
      <c r="U130" s="22">
        <f>IFERROR(VLOOKUP(C130,'[1]TB DIN INCLUIDOS'!$B:$H,4,0),"AGUARDANDO ANEXO")</f>
        <v>0</v>
      </c>
      <c r="V130" s="26" cm="1">
        <f t="array" ref="V130">_xlfn.IFS((U130&gt;S130),(S130*2),(U130&lt;=S130),(U130*2))</f>
        <v>0</v>
      </c>
      <c r="W130" s="22"/>
      <c r="X130" s="26">
        <f>IFERROR(VLOOKUP(Y130,Apoio!A:B,2,0),"")</f>
        <v>1</v>
      </c>
      <c r="Y130" s="22">
        <v>24</v>
      </c>
      <c r="Z130" s="22">
        <f>IFERROR(VLOOKUP(C130,'[1]TB DIN INCLUIDOS'!$B:$H,5,0),"AGUARDANDO ANEXO")</f>
        <v>1</v>
      </c>
      <c r="AA130" s="26" cm="1">
        <f t="array" ref="AA130">_xlfn.IFS((Z130&gt;X130),(X130*2),(Z130&lt;=X130),(Z130*2))</f>
        <v>2</v>
      </c>
      <c r="AB130" s="22"/>
      <c r="AC130" s="26">
        <f>IFERROR(VLOOKUP(AD130,Apoio!A:B,2,0),"")</f>
        <v>2</v>
      </c>
      <c r="AD130" s="22">
        <f>IFERROR(VLOOKUP(C130,'[1]TB DIN'!$B:$H,6,0),"AGUARDANDO ANEXO")</f>
        <v>28</v>
      </c>
      <c r="AE130" s="22">
        <f>IFERROR(VLOOKUP(C130,'[1]TB DIN INCLUIDOS'!$B:$H,6,0),"AGUARDANDO ANEXO")</f>
        <v>3</v>
      </c>
      <c r="AF130" s="26" cm="1">
        <f t="array" ref="AF130">_xlfn.IFS((AE130&gt;AC130),(AC130*2),(AE130&lt;=AC130),(AE130*2))</f>
        <v>4</v>
      </c>
      <c r="AG130" s="22"/>
      <c r="AH130" s="28">
        <f t="shared" si="7"/>
        <v>72</v>
      </c>
      <c r="AI130" s="28">
        <f t="shared" si="8"/>
        <v>4</v>
      </c>
      <c r="AJ130" s="28">
        <f t="shared" si="9"/>
        <v>6</v>
      </c>
      <c r="AK130" s="28">
        <f t="shared" si="10"/>
        <v>0</v>
      </c>
      <c r="AL130" s="28">
        <f t="shared" si="11"/>
        <v>0</v>
      </c>
      <c r="AM130" s="23" t="s">
        <v>1707</v>
      </c>
      <c r="AN130" s="37">
        <f>VLOOKUP(C130,'[2]MARÇO-2024'!$B:$M,12,0)</f>
        <v>72</v>
      </c>
      <c r="AO130" s="37">
        <f t="shared" si="12"/>
        <v>0</v>
      </c>
      <c r="AP130" s="37" t="str">
        <f t="shared" si="13"/>
        <v/>
      </c>
    </row>
    <row r="131" spans="1:47" ht="13.5" customHeight="1" x14ac:dyDescent="0.25">
      <c r="A131" s="17">
        <v>4</v>
      </c>
      <c r="B131" s="17">
        <v>28</v>
      </c>
      <c r="C131" s="29">
        <v>4029</v>
      </c>
      <c r="D131" s="38">
        <v>33187541</v>
      </c>
      <c r="E131" s="18" t="s">
        <v>453</v>
      </c>
      <c r="F131" s="68" t="s">
        <v>695</v>
      </c>
      <c r="G131" s="62" t="s">
        <v>194</v>
      </c>
      <c r="H131" s="19" t="s">
        <v>988</v>
      </c>
      <c r="I131" s="19" t="s">
        <v>33</v>
      </c>
      <c r="J131" s="19" t="s">
        <v>1364</v>
      </c>
      <c r="K131" s="20" t="s">
        <v>1588</v>
      </c>
      <c r="L131" s="21">
        <v>188</v>
      </c>
      <c r="M131" s="21"/>
      <c r="N131" s="26" t="str">
        <f>IFERROR(VLOOKUP(O131,Apoio!A:B,2,0),"")</f>
        <v/>
      </c>
      <c r="O131" s="22">
        <f>IFERROR(VLOOKUP(C131,'[1]TB DIN'!$B:$D,3,0),"AGUARDANDO ANEXO")</f>
        <v>0</v>
      </c>
      <c r="P131" s="22">
        <f>IFERROR(VLOOKUP(C131,'[1]TB DIN INCLUIDOS'!$B:$H,3,0),"AGUARDANDO ANEXO")</f>
        <v>0</v>
      </c>
      <c r="Q131" s="26" cm="1">
        <f t="array" ref="Q131">_xlfn.IFS((P131&gt;N131),(N131*2),(P131&lt;=N131),(P131*2))</f>
        <v>0</v>
      </c>
      <c r="R131" s="22"/>
      <c r="S131" s="26">
        <f>IFERROR(VLOOKUP(T131,Apoio!A:B,2,0),"")</f>
        <v>2</v>
      </c>
      <c r="T131" s="22">
        <f>IFERROR(VLOOKUP(C131,'[1]TB DIN'!$B:$H,4,0),"AGUARDANDO ANEXO")</f>
        <v>43</v>
      </c>
      <c r="U131" s="22">
        <f>IFERROR(VLOOKUP(C131,'[1]TB DIN INCLUIDOS'!$B:$H,4,0),"AGUARDANDO ANEXO")</f>
        <v>1</v>
      </c>
      <c r="V131" s="26" cm="1">
        <f t="array" ref="V131">_xlfn.IFS((U131&gt;S131),(S131*2),(U131&lt;=S131),(U131*2))</f>
        <v>2</v>
      </c>
      <c r="W131" s="22"/>
      <c r="X131" s="26">
        <f>IFERROR(VLOOKUP(Y131,Apoio!A:B,2,0),"")</f>
        <v>3</v>
      </c>
      <c r="Y131" s="22">
        <f>IFERROR(VLOOKUP(C131,'[1]TB DIN'!$B:$H,5,0),"AGUARDANDO ANEXO")</f>
        <v>71</v>
      </c>
      <c r="Z131" s="22">
        <f>IFERROR(VLOOKUP(C131,'[1]TB DIN INCLUIDOS'!$B:$H,5,0),"AGUARDANDO ANEXO")</f>
        <v>1</v>
      </c>
      <c r="AA131" s="26" cm="1">
        <f t="array" ref="AA131">_xlfn.IFS((Z131&gt;X131),(X131*2),(Z131&lt;=X131),(Z131*2))</f>
        <v>2</v>
      </c>
      <c r="AB131" s="22"/>
      <c r="AC131" s="26">
        <f>IFERROR(VLOOKUP(AD131,Apoio!A:B,2,0),"")</f>
        <v>3</v>
      </c>
      <c r="AD131" s="22">
        <f>IFERROR(VLOOKUP(C131,'[1]TB DIN'!$B:$H,6,0),"AGUARDANDO ANEXO")</f>
        <v>71</v>
      </c>
      <c r="AE131" s="22">
        <f>IFERROR(VLOOKUP(C131,'[1]TB DIN INCLUIDOS'!$B:$H,6,0),"AGUARDANDO ANEXO")</f>
        <v>1</v>
      </c>
      <c r="AF131" s="26" cm="1">
        <f t="array" ref="AF131">_xlfn.IFS((AE131&gt;AC131),(AC131*2),(AE131&lt;=AC131),(AE131*2))</f>
        <v>2</v>
      </c>
      <c r="AG131" s="22"/>
      <c r="AH131" s="28">
        <f t="shared" si="7"/>
        <v>185</v>
      </c>
      <c r="AI131" s="28">
        <f t="shared" si="8"/>
        <v>3</v>
      </c>
      <c r="AJ131" s="28">
        <f t="shared" si="9"/>
        <v>6</v>
      </c>
      <c r="AK131" s="28">
        <f t="shared" si="10"/>
        <v>0</v>
      </c>
      <c r="AL131" s="28">
        <f t="shared" si="11"/>
        <v>-3</v>
      </c>
      <c r="AM131" s="23" t="s">
        <v>1707</v>
      </c>
      <c r="AN131" s="37">
        <f>VLOOKUP(C131,'[2]MARÇO-2024'!$B:$M,12,0)</f>
        <v>185</v>
      </c>
      <c r="AO131" s="37">
        <f t="shared" si="12"/>
        <v>0</v>
      </c>
      <c r="AP131" s="37" t="str">
        <f t="shared" si="13"/>
        <v/>
      </c>
    </row>
    <row r="132" spans="1:47" ht="13.5" customHeight="1" x14ac:dyDescent="0.25">
      <c r="A132" s="17">
        <v>4</v>
      </c>
      <c r="B132" s="17">
        <v>29</v>
      </c>
      <c r="C132" s="29">
        <v>4030</v>
      </c>
      <c r="D132" s="38">
        <v>33192618</v>
      </c>
      <c r="E132" s="18" t="s">
        <v>453</v>
      </c>
      <c r="F132" s="68" t="s">
        <v>688</v>
      </c>
      <c r="G132" s="66" t="s">
        <v>188</v>
      </c>
      <c r="H132" s="19" t="s">
        <v>981</v>
      </c>
      <c r="I132" s="19" t="s">
        <v>1184</v>
      </c>
      <c r="J132" s="19" t="s">
        <v>1357</v>
      </c>
      <c r="K132" s="20" t="s">
        <v>1570</v>
      </c>
      <c r="L132" s="21">
        <v>348</v>
      </c>
      <c r="M132" s="21"/>
      <c r="N132" s="26" t="str">
        <f>IFERROR(VLOOKUP(O132,Apoio!A:B,2,0),"")</f>
        <v/>
      </c>
      <c r="O132" s="22">
        <f>IFERROR(VLOOKUP(C132,'[1]TB DIN'!$B:$D,3,0),"AGUARDANDO ANEXO")</f>
        <v>0</v>
      </c>
      <c r="P132" s="22">
        <f>IFERROR(VLOOKUP(C132,'[1]TB DIN INCLUIDOS'!$B:$H,3,0),"AGUARDANDO ANEXO")</f>
        <v>0</v>
      </c>
      <c r="Q132" s="26" cm="1">
        <f t="array" ref="Q132">_xlfn.IFS((P132&gt;N132),(N132*2),(P132&lt;=N132),(P132*2))</f>
        <v>0</v>
      </c>
      <c r="R132" s="22"/>
      <c r="S132" s="26">
        <f>IFERROR(VLOOKUP(T132,Apoio!A:B,2,0),"")</f>
        <v>4</v>
      </c>
      <c r="T132" s="22">
        <f>IFERROR(VLOOKUP(C132,'[1]TB DIN'!$B:$H,4,0),"AGUARDANDO ANEXO")</f>
        <v>90</v>
      </c>
      <c r="U132" s="22">
        <f>IFERROR(VLOOKUP(C132,'[1]TB DIN INCLUIDOS'!$B:$H,4,0),"AGUARDANDO ANEXO")</f>
        <v>0</v>
      </c>
      <c r="V132" s="26" cm="1">
        <f t="array" ref="V132">_xlfn.IFS((U132&gt;S132),(S132*2),(U132&lt;=S132),(U132*2))</f>
        <v>0</v>
      </c>
      <c r="W132" s="22"/>
      <c r="X132" s="26">
        <f>IFERROR(VLOOKUP(Y132,Apoio!A:B,2,0),"")</f>
        <v>5</v>
      </c>
      <c r="Y132" s="22">
        <v>114</v>
      </c>
      <c r="Z132" s="22">
        <v>2</v>
      </c>
      <c r="AA132" s="26" cm="1">
        <f t="array" ref="AA132">_xlfn.IFS((Z132&gt;X132),(X132*2),(Z132&lt;=X132),(Z132*2))</f>
        <v>4</v>
      </c>
      <c r="AB132" s="22"/>
      <c r="AC132" s="26">
        <f>IFERROR(VLOOKUP(AD132,Apoio!A:B,2,0),"")</f>
        <v>3</v>
      </c>
      <c r="AD132" s="22">
        <v>63</v>
      </c>
      <c r="AE132" s="22">
        <f>IFERROR(VLOOKUP(C132,'[1]TB DIN INCLUIDOS'!$B:$H,6,0),"AGUARDANDO ANEXO")</f>
        <v>2</v>
      </c>
      <c r="AF132" s="26" cm="1">
        <f t="array" ref="AF132">_xlfn.IFS((AE132&gt;AC132),(AC132*2),(AE132&lt;=AC132),(AE132*2))</f>
        <v>4</v>
      </c>
      <c r="AG132" s="22"/>
      <c r="AH132" s="28">
        <f t="shared" si="7"/>
        <v>267</v>
      </c>
      <c r="AI132" s="28">
        <f t="shared" si="8"/>
        <v>4</v>
      </c>
      <c r="AJ132" s="28">
        <f t="shared" si="9"/>
        <v>8</v>
      </c>
      <c r="AK132" s="28">
        <f t="shared" si="10"/>
        <v>73</v>
      </c>
      <c r="AL132" s="28">
        <f t="shared" si="11"/>
        <v>0</v>
      </c>
      <c r="AM132" s="23" t="s">
        <v>1707</v>
      </c>
      <c r="AN132" s="37">
        <f>VLOOKUP(C132,'[2]MARÇO-2024'!$B:$M,12,0)</f>
        <v>346</v>
      </c>
      <c r="AO132" s="37">
        <f t="shared" si="12"/>
        <v>79</v>
      </c>
      <c r="AP132" s="37" t="str">
        <f t="shared" si="13"/>
        <v/>
      </c>
    </row>
    <row r="133" spans="1:47" ht="13.5" customHeight="1" x14ac:dyDescent="0.25">
      <c r="A133" s="17">
        <v>4</v>
      </c>
      <c r="B133" s="17">
        <v>30</v>
      </c>
      <c r="C133" s="29">
        <v>4032</v>
      </c>
      <c r="D133" s="38">
        <v>33192200</v>
      </c>
      <c r="E133" s="18" t="s">
        <v>437</v>
      </c>
      <c r="F133" s="68" t="s">
        <v>665</v>
      </c>
      <c r="G133" s="62" t="s">
        <v>166</v>
      </c>
      <c r="H133" s="19" t="s">
        <v>958</v>
      </c>
      <c r="I133" s="19" t="s">
        <v>1174</v>
      </c>
      <c r="J133" s="19" t="s">
        <v>1334</v>
      </c>
      <c r="K133" s="20" t="s">
        <v>1582</v>
      </c>
      <c r="L133" s="21">
        <v>110</v>
      </c>
      <c r="M133" s="21"/>
      <c r="N133" s="26" t="str">
        <f>IFERROR(VLOOKUP(O133,Apoio!A:B,2,0),"")</f>
        <v/>
      </c>
      <c r="O133" s="22">
        <f>IFERROR(VLOOKUP(C133,'[1]TB DIN'!$B:$D,3,0),"AGUARDANDO ANEXO")</f>
        <v>0</v>
      </c>
      <c r="P133" s="22">
        <f>IFERROR(VLOOKUP(C133,'[1]TB DIN INCLUIDOS'!$B:$H,3,0),"AGUARDANDO ANEXO")</f>
        <v>0</v>
      </c>
      <c r="Q133" s="26" cm="1">
        <f t="array" ref="Q133">_xlfn.IFS((P133&gt;N133),(N133*2),(P133&lt;=N133),(P133*2))</f>
        <v>0</v>
      </c>
      <c r="R133" s="22"/>
      <c r="S133" s="26">
        <f>IFERROR(VLOOKUP(T133,Apoio!A:B,2,0),"")</f>
        <v>2</v>
      </c>
      <c r="T133" s="22">
        <v>34</v>
      </c>
      <c r="U133" s="22">
        <f>IFERROR(VLOOKUP(C133,'[1]TB DIN INCLUIDOS'!$B:$H,4,0),"AGUARDANDO ANEXO")</f>
        <v>0</v>
      </c>
      <c r="V133" s="26" cm="1">
        <f t="array" ref="V133">_xlfn.IFS((U133&gt;S133),(S133*2),(U133&lt;=S133),(U133*2))</f>
        <v>0</v>
      </c>
      <c r="W133" s="22"/>
      <c r="X133" s="26">
        <f>IFERROR(VLOOKUP(Y133,Apoio!A:B,2,0),"")</f>
        <v>2</v>
      </c>
      <c r="Y133" s="22">
        <f>IFERROR(VLOOKUP(C133,'[1]TB DIN'!$B:$H,5,0),"AGUARDANDO ANEXO")</f>
        <v>33</v>
      </c>
      <c r="Z133" s="22">
        <f>IFERROR(VLOOKUP(C133,'[1]TB DIN INCLUIDOS'!$B:$H,5,0),"AGUARDANDO ANEXO")</f>
        <v>1</v>
      </c>
      <c r="AA133" s="26" cm="1">
        <f t="array" ref="AA133">_xlfn.IFS((Z133&gt;X133),(X133*2),(Z133&lt;=X133),(Z133*2))</f>
        <v>2</v>
      </c>
      <c r="AB133" s="22"/>
      <c r="AC133" s="26">
        <f>IFERROR(VLOOKUP(AD133,Apoio!A:B,2,0),"")</f>
        <v>2</v>
      </c>
      <c r="AD133" s="22">
        <f>IFERROR(VLOOKUP(C133,'[1]TB DIN'!$B:$H,6,0),"AGUARDANDO ANEXO")</f>
        <v>37</v>
      </c>
      <c r="AE133" s="22">
        <f>IFERROR(VLOOKUP(C133,'[1]TB DIN INCLUIDOS'!$B:$H,6,0),"AGUARDANDO ANEXO")</f>
        <v>3</v>
      </c>
      <c r="AF133" s="26" cm="1">
        <f t="array" ref="AF133">_xlfn.IFS((AE133&gt;AC133),(AC133*2),(AE133&lt;=AC133),(AE133*2))</f>
        <v>4</v>
      </c>
      <c r="AG133" s="22"/>
      <c r="AH133" s="28">
        <f t="shared" ref="AH133:AH196" si="14">SUM(O133,T133,Y133,AD133)</f>
        <v>104</v>
      </c>
      <c r="AI133" s="28">
        <f t="shared" ref="AI133:AI196" si="15">SUM(P133,U133,Z133,AE133)</f>
        <v>4</v>
      </c>
      <c r="AJ133" s="28">
        <f t="shared" ref="AJ133:AJ196" si="16">SUM(Q133,V133,AA133,AF133)</f>
        <v>6</v>
      </c>
      <c r="AK133" s="28">
        <f t="shared" ref="AK133:AK196" si="17">IF(L133-AH133-Q133-V133-AA133-AF133&gt;0,L133-AH133-Q133-V133-AA133-AF133,0)</f>
        <v>0</v>
      </c>
      <c r="AL133" s="28">
        <f t="shared" ref="AL133:AL196" si="18">IF(L133-O133-Q133-T133-V133-Y133-AA133-AD133-AF133&lt;0,L133-O133-Q133-T133-V133-Y133-AA133-AD133-AF133,0)</f>
        <v>0</v>
      </c>
      <c r="AM133" s="23" t="s">
        <v>1707</v>
      </c>
      <c r="AN133" s="37">
        <f>VLOOKUP(C133,'[2]MARÇO-2024'!$B:$M,12,0)</f>
        <v>100</v>
      </c>
      <c r="AO133" s="37">
        <f t="shared" ref="AO133:AO196" si="19">AN133-AH133</f>
        <v>-4</v>
      </c>
      <c r="AP133" s="37" t="str">
        <f t="shared" ref="AP133:AP196" si="20">IF(AH133&gt;L133,"Qt de aluno maior que a meta","")</f>
        <v/>
      </c>
    </row>
    <row r="134" spans="1:47" ht="13.5" customHeight="1" x14ac:dyDescent="0.25">
      <c r="A134" s="17">
        <v>4</v>
      </c>
      <c r="B134" s="17">
        <v>31</v>
      </c>
      <c r="C134" s="29">
        <v>4034</v>
      </c>
      <c r="D134" s="38">
        <v>33191913</v>
      </c>
      <c r="E134" s="18" t="s">
        <v>439</v>
      </c>
      <c r="F134" s="68" t="s">
        <v>668</v>
      </c>
      <c r="G134" s="62" t="s">
        <v>169</v>
      </c>
      <c r="H134" s="19" t="s">
        <v>961</v>
      </c>
      <c r="I134" s="19" t="s">
        <v>1176</v>
      </c>
      <c r="J134" s="19" t="s">
        <v>1337</v>
      </c>
      <c r="K134" s="20" t="s">
        <v>1582</v>
      </c>
      <c r="L134" s="21">
        <v>57</v>
      </c>
      <c r="M134" s="21"/>
      <c r="N134" s="26" t="str">
        <f>IFERROR(VLOOKUP(O134,Apoio!A:B,2,0),"")</f>
        <v/>
      </c>
      <c r="O134" s="22">
        <f>IFERROR(VLOOKUP(C134,'[1]TB DIN'!$B:$D,3,0),"AGUARDANDO ANEXO")</f>
        <v>0</v>
      </c>
      <c r="P134" s="22">
        <f>IFERROR(VLOOKUP(C134,'[1]TB DIN INCLUIDOS'!$B:$H,3,0),"AGUARDANDO ANEXO")</f>
        <v>0</v>
      </c>
      <c r="Q134" s="26" cm="1">
        <f t="array" ref="Q134">_xlfn.IFS((P134&gt;N134),(N134*2),(P134&lt;=N134),(P134*2))</f>
        <v>0</v>
      </c>
      <c r="R134" s="22"/>
      <c r="S134" s="26">
        <f>IFERROR(VLOOKUP(T134,Apoio!A:B,2,0),"")</f>
        <v>1</v>
      </c>
      <c r="T134" s="22">
        <f>IFERROR(VLOOKUP(C134,'[1]TB DIN'!$B:$H,4,0),"AGUARDANDO ANEXO")</f>
        <v>23</v>
      </c>
      <c r="U134" s="22">
        <f>IFERROR(VLOOKUP(C134,'[1]TB DIN INCLUIDOS'!$B:$H,4,0),"AGUARDANDO ANEXO")</f>
        <v>0</v>
      </c>
      <c r="V134" s="26" cm="1">
        <f t="array" ref="V134">_xlfn.IFS((U134&gt;S134),(S134*2),(U134&lt;=S134),(U134*2))</f>
        <v>0</v>
      </c>
      <c r="W134" s="22"/>
      <c r="X134" s="26">
        <f>IFERROR(VLOOKUP(Y134,Apoio!A:B,2,0),"")</f>
        <v>1</v>
      </c>
      <c r="Y134" s="22">
        <f>IFERROR(VLOOKUP(C134,'[1]TB DIN'!$B:$H,5,0),"AGUARDANDO ANEXO")</f>
        <v>16</v>
      </c>
      <c r="Z134" s="22">
        <f>IFERROR(VLOOKUP(C134,'[1]TB DIN INCLUIDOS'!$B:$H,5,0),"AGUARDANDO ANEXO")</f>
        <v>0</v>
      </c>
      <c r="AA134" s="26" cm="1">
        <f t="array" ref="AA134">_xlfn.IFS((Z134&gt;X134),(X134*2),(Z134&lt;=X134),(Z134*2))</f>
        <v>0</v>
      </c>
      <c r="AB134" s="22"/>
      <c r="AC134" s="26">
        <f>IFERROR(VLOOKUP(AD134,Apoio!A:B,2,0),"")</f>
        <v>1</v>
      </c>
      <c r="AD134" s="22">
        <f>IFERROR(VLOOKUP(C134,'[1]TB DIN'!$B:$H,6,0),"AGUARDANDO ANEXO")</f>
        <v>16</v>
      </c>
      <c r="AE134" s="22">
        <f>IFERROR(VLOOKUP(C134,'[1]TB DIN INCLUIDOS'!$B:$H,6,0),"AGUARDANDO ANEXO")</f>
        <v>2</v>
      </c>
      <c r="AF134" s="26" cm="1">
        <f t="array" ref="AF134">_xlfn.IFS((AE134&gt;AC134),(AC134*2),(AE134&lt;=AC134),(AE134*2))</f>
        <v>2</v>
      </c>
      <c r="AG134" s="22"/>
      <c r="AH134" s="28">
        <f t="shared" si="14"/>
        <v>55</v>
      </c>
      <c r="AI134" s="28">
        <f t="shared" si="15"/>
        <v>2</v>
      </c>
      <c r="AJ134" s="28">
        <f t="shared" si="16"/>
        <v>2</v>
      </c>
      <c r="AK134" s="28">
        <f t="shared" si="17"/>
        <v>0</v>
      </c>
      <c r="AL134" s="28">
        <f t="shared" si="18"/>
        <v>0</v>
      </c>
      <c r="AM134" s="23" t="s">
        <v>1707</v>
      </c>
      <c r="AN134" s="37">
        <f>VLOOKUP(C134,'[2]MARÇO-2024'!$B:$M,12,0)</f>
        <v>55</v>
      </c>
      <c r="AO134" s="37">
        <f t="shared" si="19"/>
        <v>0</v>
      </c>
      <c r="AP134" s="37" t="str">
        <f t="shared" si="20"/>
        <v/>
      </c>
    </row>
    <row r="135" spans="1:47" s="51" customFormat="1" ht="13.5" customHeight="1" x14ac:dyDescent="0.25">
      <c r="A135" s="61">
        <v>4</v>
      </c>
      <c r="B135" s="61">
        <v>32</v>
      </c>
      <c r="C135" s="52">
        <v>4035</v>
      </c>
      <c r="D135" s="39">
        <v>33193088</v>
      </c>
      <c r="E135" s="53" t="s">
        <v>455</v>
      </c>
      <c r="F135" s="69" t="s">
        <v>691</v>
      </c>
      <c r="G135" s="62" t="s">
        <v>190</v>
      </c>
      <c r="H135" s="54" t="s">
        <v>984</v>
      </c>
      <c r="I135" s="54" t="s">
        <v>38</v>
      </c>
      <c r="J135" s="54" t="s">
        <v>1360</v>
      </c>
      <c r="K135" s="55" t="s">
        <v>1585</v>
      </c>
      <c r="L135" s="56">
        <v>143</v>
      </c>
      <c r="M135" s="56"/>
      <c r="N135" s="57" t="str">
        <f>IFERROR(VLOOKUP(O135,Apoio!A:B,2,0),"")</f>
        <v/>
      </c>
      <c r="O135" s="58">
        <f>IFERROR(VLOOKUP(C135,'[1]TB DIN'!$B:$D,3,0),"AGUARDANDO ANEXO")</f>
        <v>0</v>
      </c>
      <c r="P135" s="58">
        <f>IFERROR(VLOOKUP(C135,'[1]TB DIN INCLUIDOS'!$B:$H,3,0),"AGUARDANDO ANEXO")</f>
        <v>0</v>
      </c>
      <c r="Q135" s="57" cm="1">
        <f t="array" ref="Q135">_xlfn.IFS((P135&gt;N135),(N135*2),(P135&lt;=N135),(P135*2))</f>
        <v>0</v>
      </c>
      <c r="R135" s="58"/>
      <c r="S135" s="57">
        <f>IFERROR(VLOOKUP(T135,Apoio!A:B,2,0),"")</f>
        <v>1</v>
      </c>
      <c r="T135" s="58">
        <f>IFERROR(VLOOKUP(C135,'[1]TB DIN'!$B:$H,4,0),"AGUARDANDO ANEXO")</f>
        <v>19</v>
      </c>
      <c r="U135" s="58">
        <f>IFERROR(VLOOKUP(C135,'[1]TB DIN INCLUIDOS'!$B:$H,4,0),"AGUARDANDO ANEXO")</f>
        <v>0</v>
      </c>
      <c r="V135" s="57" cm="1">
        <f t="array" ref="V135">_xlfn.IFS((U135&gt;S135),(S135*2),(U135&lt;=S135),(U135*2))</f>
        <v>0</v>
      </c>
      <c r="W135" s="58"/>
      <c r="X135" s="57">
        <f>IFERROR(VLOOKUP(Y135,Apoio!A:B,2,0),"")</f>
        <v>3</v>
      </c>
      <c r="Y135" s="58">
        <f>IFERROR(VLOOKUP(C135,'[1]TB DIN'!$B:$H,5,0),"AGUARDANDO ANEXO")</f>
        <v>53</v>
      </c>
      <c r="Z135" s="58">
        <f>IFERROR(VLOOKUP(C135,'[1]TB DIN INCLUIDOS'!$B:$H,5,0),"AGUARDANDO ANEXO")</f>
        <v>0</v>
      </c>
      <c r="AA135" s="57" cm="1">
        <f t="array" ref="AA135">_xlfn.IFS((Z135&gt;X135),(X135*2),(Z135&lt;=X135),(Z135*2))</f>
        <v>0</v>
      </c>
      <c r="AB135" s="58"/>
      <c r="AC135" s="57">
        <f>IFERROR(VLOOKUP(AD135,Apoio!A:B,2,0),"")</f>
        <v>3</v>
      </c>
      <c r="AD135" s="58">
        <f>IFERROR(VLOOKUP(C135,'[1]TB DIN'!$B:$H,6,0),"AGUARDANDO ANEXO")</f>
        <v>71</v>
      </c>
      <c r="AE135" s="58">
        <f>IFERROR(VLOOKUP(C135,'[1]TB DIN INCLUIDOS'!$B:$H,6,0),"AGUARDANDO ANEXO")</f>
        <v>0</v>
      </c>
      <c r="AF135" s="57" cm="1">
        <f t="array" ref="AF135">_xlfn.IFS((AE135&gt;AC135),(AC135*2),(AE135&lt;=AC135),(AE135*2))</f>
        <v>0</v>
      </c>
      <c r="AG135" s="58"/>
      <c r="AH135" s="28">
        <f t="shared" si="14"/>
        <v>143</v>
      </c>
      <c r="AI135" s="28">
        <f t="shared" si="15"/>
        <v>0</v>
      </c>
      <c r="AJ135" s="28">
        <f t="shared" si="16"/>
        <v>0</v>
      </c>
      <c r="AK135" s="28">
        <f t="shared" si="17"/>
        <v>0</v>
      </c>
      <c r="AL135" s="28">
        <f t="shared" si="18"/>
        <v>0</v>
      </c>
      <c r="AM135" s="59" t="s">
        <v>1707</v>
      </c>
      <c r="AN135" s="37">
        <f>VLOOKUP(C135,'[2]MARÇO-2024'!$B:$M,12,0)</f>
        <v>143</v>
      </c>
      <c r="AO135" s="37">
        <f t="shared" si="19"/>
        <v>0</v>
      </c>
      <c r="AP135" s="37" t="str">
        <f t="shared" si="20"/>
        <v/>
      </c>
      <c r="AQ135" s="60"/>
      <c r="AR135" s="60"/>
      <c r="AS135" s="60"/>
      <c r="AT135" s="60"/>
      <c r="AU135" s="60"/>
    </row>
    <row r="136" spans="1:47" ht="13.5" customHeight="1" x14ac:dyDescent="0.25">
      <c r="A136" s="17">
        <v>4</v>
      </c>
      <c r="B136" s="17">
        <v>33</v>
      </c>
      <c r="C136" s="29">
        <v>4036</v>
      </c>
      <c r="D136" s="38">
        <v>33192065</v>
      </c>
      <c r="E136" s="18" t="s">
        <v>449</v>
      </c>
      <c r="F136" s="68" t="s">
        <v>683</v>
      </c>
      <c r="G136" s="62" t="s">
        <v>183</v>
      </c>
      <c r="H136" s="19" t="s">
        <v>976</v>
      </c>
      <c r="I136" s="19" t="s">
        <v>976</v>
      </c>
      <c r="J136" s="19" t="s">
        <v>1352</v>
      </c>
      <c r="K136" s="20" t="s">
        <v>1587</v>
      </c>
      <c r="L136" s="21">
        <v>58</v>
      </c>
      <c r="M136" s="21"/>
      <c r="N136" s="26" t="str">
        <f>IFERROR(VLOOKUP(O136,Apoio!A:B,2,0),"")</f>
        <v/>
      </c>
      <c r="O136" s="22">
        <f>IFERROR(VLOOKUP(C136,'[1]TB DIN'!$B:$D,3,0),"AGUARDANDO ANEXO")</f>
        <v>0</v>
      </c>
      <c r="P136" s="22">
        <f>IFERROR(VLOOKUP(C136,'[1]TB DIN INCLUIDOS'!$B:$H,3,0),"AGUARDANDO ANEXO")</f>
        <v>0</v>
      </c>
      <c r="Q136" s="26" cm="1">
        <f t="array" ref="Q136">_xlfn.IFS((P136&gt;N136),(N136*2),(P136&lt;=N136),(P136*2))</f>
        <v>0</v>
      </c>
      <c r="R136" s="22"/>
      <c r="S136" s="26">
        <f>IFERROR(VLOOKUP(T136,Apoio!A:B,2,0),"")</f>
        <v>1</v>
      </c>
      <c r="T136" s="22">
        <v>17</v>
      </c>
      <c r="U136" s="22">
        <f>IFERROR(VLOOKUP(C136,'[1]TB DIN INCLUIDOS'!$B:$H,4,0),"AGUARDANDO ANEXO")</f>
        <v>0</v>
      </c>
      <c r="V136" s="26" cm="1">
        <f t="array" ref="V136">_xlfn.IFS((U136&gt;S136),(S136*2),(U136&lt;=S136),(U136*2))</f>
        <v>0</v>
      </c>
      <c r="W136" s="22"/>
      <c r="X136" s="26">
        <f>IFERROR(VLOOKUP(Y136,Apoio!A:B,2,0),"")</f>
        <v>1</v>
      </c>
      <c r="Y136" s="22">
        <f>IFERROR(VLOOKUP(C136,'[1]TB DIN'!$B:$H,5,0),"AGUARDANDO ANEXO")</f>
        <v>19</v>
      </c>
      <c r="Z136" s="22">
        <f>IFERROR(VLOOKUP(C136,'[1]TB DIN INCLUIDOS'!$B:$H,5,0),"AGUARDANDO ANEXO")</f>
        <v>0</v>
      </c>
      <c r="AA136" s="26" cm="1">
        <f t="array" ref="AA136">_xlfn.IFS((Z136&gt;X136),(X136*2),(Z136&lt;=X136),(Z136*2))</f>
        <v>0</v>
      </c>
      <c r="AB136" s="22"/>
      <c r="AC136" s="26">
        <f>IFERROR(VLOOKUP(AD136,Apoio!A:B,2,0),"")</f>
        <v>1</v>
      </c>
      <c r="AD136" s="22">
        <f>IFERROR(VLOOKUP(C136,'[1]TB DIN'!$B:$H,6,0),"AGUARDANDO ANEXO")</f>
        <v>21</v>
      </c>
      <c r="AE136" s="22">
        <f>IFERROR(VLOOKUP(C136,'[1]TB DIN INCLUIDOS'!$B:$H,6,0),"AGUARDANDO ANEXO")</f>
        <v>0</v>
      </c>
      <c r="AF136" s="26" cm="1">
        <f t="array" ref="AF136">_xlfn.IFS((AE136&gt;AC136),(AC136*2),(AE136&lt;=AC136),(AE136*2))</f>
        <v>0</v>
      </c>
      <c r="AG136" s="22"/>
      <c r="AH136" s="28">
        <f t="shared" si="14"/>
        <v>57</v>
      </c>
      <c r="AI136" s="28">
        <f t="shared" si="15"/>
        <v>0</v>
      </c>
      <c r="AJ136" s="28">
        <f t="shared" si="16"/>
        <v>0</v>
      </c>
      <c r="AK136" s="28">
        <f t="shared" si="17"/>
        <v>1</v>
      </c>
      <c r="AL136" s="28">
        <f t="shared" si="18"/>
        <v>0</v>
      </c>
      <c r="AM136" s="23" t="s">
        <v>1707</v>
      </c>
      <c r="AN136" s="37">
        <f>VLOOKUP(C136,'[2]MARÇO-2024'!$B:$M,12,0)</f>
        <v>58</v>
      </c>
      <c r="AO136" s="37">
        <f t="shared" si="19"/>
        <v>1</v>
      </c>
      <c r="AP136" s="37" t="str">
        <f t="shared" si="20"/>
        <v/>
      </c>
    </row>
    <row r="137" spans="1:47" ht="13.5" customHeight="1" x14ac:dyDescent="0.25">
      <c r="A137" s="17">
        <v>4</v>
      </c>
      <c r="B137" s="17">
        <v>34</v>
      </c>
      <c r="C137" s="29">
        <v>4037</v>
      </c>
      <c r="D137" s="38">
        <v>33193215</v>
      </c>
      <c r="E137" s="18" t="s">
        <v>447</v>
      </c>
      <c r="F137" s="68" t="s">
        <v>681</v>
      </c>
      <c r="G137" s="62" t="s">
        <v>181</v>
      </c>
      <c r="H137" s="19" t="s">
        <v>974</v>
      </c>
      <c r="I137" s="19" t="s">
        <v>973</v>
      </c>
      <c r="J137" s="19" t="s">
        <v>1350</v>
      </c>
      <c r="K137" s="20" t="s">
        <v>1570</v>
      </c>
      <c r="L137" s="21">
        <v>94</v>
      </c>
      <c r="M137" s="21"/>
      <c r="N137" s="26" t="str">
        <f>IFERROR(VLOOKUP(O137,Apoio!A:B,2,0),"")</f>
        <v/>
      </c>
      <c r="O137" s="22">
        <f>IFERROR(VLOOKUP(C137,'[1]TB DIN'!$B:$D,3,0),"AGUARDANDO ANEXO")</f>
        <v>0</v>
      </c>
      <c r="P137" s="22">
        <f>IFERROR(VLOOKUP(C137,'[1]TB DIN INCLUIDOS'!$B:$H,3,0),"AGUARDANDO ANEXO")</f>
        <v>0</v>
      </c>
      <c r="Q137" s="26" cm="1">
        <f t="array" ref="Q137">_xlfn.IFS((P137&gt;N137),(N137*2),(P137&lt;=N137),(P137*2))</f>
        <v>0</v>
      </c>
      <c r="R137" s="22"/>
      <c r="S137" s="26" t="str">
        <f>IFERROR(VLOOKUP(T137,Apoio!A:B,2,0),"")</f>
        <v/>
      </c>
      <c r="T137" s="22">
        <f>IFERROR(VLOOKUP(C137,'[1]TB DIN'!$B:$H,4,0),"AGUARDANDO ANEXO")</f>
        <v>0</v>
      </c>
      <c r="U137" s="22">
        <f>IFERROR(VLOOKUP(C137,'[1]TB DIN INCLUIDOS'!$B:$H,4,0),"AGUARDANDO ANEXO")</f>
        <v>0</v>
      </c>
      <c r="V137" s="26" cm="1">
        <f t="array" ref="V137">_xlfn.IFS((U137&gt;S137),(S137*2),(U137&lt;=S137),(U137*2))</f>
        <v>0</v>
      </c>
      <c r="W137" s="22"/>
      <c r="X137" s="26">
        <f>IFERROR(VLOOKUP(Y137,Apoio!A:B,2,0),"")</f>
        <v>2</v>
      </c>
      <c r="Y137" s="22">
        <f>IFERROR(VLOOKUP(C137,'[1]TB DIN'!$B:$H,5,0),"AGUARDANDO ANEXO")</f>
        <v>35</v>
      </c>
      <c r="Z137" s="22">
        <f>IFERROR(VLOOKUP(C137,'[1]TB DIN INCLUIDOS'!$B:$H,5,0),"AGUARDANDO ANEXO")</f>
        <v>0</v>
      </c>
      <c r="AA137" s="26" cm="1">
        <f t="array" ref="AA137">_xlfn.IFS((Z137&gt;X137),(X137*2),(Z137&lt;=X137),(Z137*2))</f>
        <v>0</v>
      </c>
      <c r="AB137" s="22"/>
      <c r="AC137" s="26">
        <f>IFERROR(VLOOKUP(AD137,Apoio!A:B,2,0),"")</f>
        <v>3</v>
      </c>
      <c r="AD137" s="22">
        <f>IFERROR(VLOOKUP(C137,'[1]TB DIN'!$B:$H,6,0),"AGUARDANDO ANEXO")</f>
        <v>59</v>
      </c>
      <c r="AE137" s="22">
        <v>2</v>
      </c>
      <c r="AF137" s="26" cm="1">
        <f t="array" ref="AF137">_xlfn.IFS((AE137&gt;AC137),(AC137*2),(AE137&lt;=AC137),(AE137*2))</f>
        <v>4</v>
      </c>
      <c r="AG137" s="22"/>
      <c r="AH137" s="28">
        <f t="shared" si="14"/>
        <v>94</v>
      </c>
      <c r="AI137" s="28">
        <f t="shared" si="15"/>
        <v>2</v>
      </c>
      <c r="AJ137" s="28">
        <f t="shared" si="16"/>
        <v>4</v>
      </c>
      <c r="AK137" s="28">
        <f t="shared" si="17"/>
        <v>0</v>
      </c>
      <c r="AL137" s="28">
        <f t="shared" si="18"/>
        <v>-4</v>
      </c>
      <c r="AM137" s="23" t="s">
        <v>1707</v>
      </c>
      <c r="AN137" s="37">
        <f>VLOOKUP(C137,'[2]MARÇO-2024'!$B:$M,12,0)</f>
        <v>94</v>
      </c>
      <c r="AO137" s="37">
        <f t="shared" si="19"/>
        <v>0</v>
      </c>
      <c r="AP137" s="37" t="str">
        <f t="shared" si="20"/>
        <v/>
      </c>
    </row>
    <row r="138" spans="1:47" ht="13.5" customHeight="1" x14ac:dyDescent="0.25">
      <c r="A138" s="17">
        <v>4</v>
      </c>
      <c r="B138" s="17">
        <v>35</v>
      </c>
      <c r="C138" s="29">
        <v>4038</v>
      </c>
      <c r="D138" s="38">
        <v>33192600</v>
      </c>
      <c r="E138" s="18" t="s">
        <v>437</v>
      </c>
      <c r="F138" s="68" t="s">
        <v>697</v>
      </c>
      <c r="G138" s="66" t="s">
        <v>196</v>
      </c>
      <c r="H138" s="19" t="s">
        <v>990</v>
      </c>
      <c r="I138" s="19" t="s">
        <v>1174</v>
      </c>
      <c r="J138" s="19" t="s">
        <v>1366</v>
      </c>
      <c r="K138" s="20" t="s">
        <v>1584</v>
      </c>
      <c r="L138" s="21">
        <v>412</v>
      </c>
      <c r="M138" s="21"/>
      <c r="N138" s="26" t="str">
        <f>IFERROR(VLOOKUP(O138,Apoio!A:B,2,0),"")</f>
        <v/>
      </c>
      <c r="O138" s="22">
        <f>IFERROR(VLOOKUP(C138,'[1]TB DIN'!$B:$D,3,0),"AGUARDANDO ANEXO")</f>
        <v>0</v>
      </c>
      <c r="P138" s="22">
        <f>IFERROR(VLOOKUP(C138,'[1]TB DIN INCLUIDOS'!$B:$H,3,0),"AGUARDANDO ANEXO")</f>
        <v>0</v>
      </c>
      <c r="Q138" s="26" cm="1">
        <f t="array" ref="Q138">_xlfn.IFS((P138&gt;N138),(N138*2),(P138&lt;=N138),(P138*2))</f>
        <v>0</v>
      </c>
      <c r="R138" s="22"/>
      <c r="S138" s="26">
        <f>IFERROR(VLOOKUP(T138,Apoio!A:B,2,0),"")</f>
        <v>3</v>
      </c>
      <c r="T138" s="22">
        <v>65</v>
      </c>
      <c r="U138" s="22">
        <f>IFERROR(VLOOKUP(C138,'[1]TB DIN INCLUIDOS'!$B:$H,4,0),"AGUARDANDO ANEXO")</f>
        <v>1</v>
      </c>
      <c r="V138" s="26" cm="1">
        <f t="array" ref="V138">_xlfn.IFS((U138&gt;S138),(S138*2),(U138&lt;=S138),(U138*2))</f>
        <v>2</v>
      </c>
      <c r="W138" s="22"/>
      <c r="X138" s="26">
        <f>IFERROR(VLOOKUP(Y138,Apoio!A:B,2,0),"")</f>
        <v>4</v>
      </c>
      <c r="Y138" s="22">
        <f>IFERROR(VLOOKUP(C138,'[1]TB DIN'!$B:$H,5,0),"AGUARDANDO ANEXO")</f>
        <v>97</v>
      </c>
      <c r="Z138" s="22">
        <f>IFERROR(VLOOKUP(C138,'[1]TB DIN INCLUIDOS'!$B:$H,5,0),"AGUARDANDO ANEXO")</f>
        <v>0</v>
      </c>
      <c r="AA138" s="26" cm="1">
        <f t="array" ref="AA138">_xlfn.IFS((Z138&gt;X138),(X138*2),(Z138&lt;=X138),(Z138*2))</f>
        <v>0</v>
      </c>
      <c r="AB138" s="22"/>
      <c r="AC138" s="26">
        <f>IFERROR(VLOOKUP(AD138,Apoio!A:B,2,0),"")</f>
        <v>5</v>
      </c>
      <c r="AD138" s="22">
        <v>106</v>
      </c>
      <c r="AE138" s="22">
        <f>IFERROR(VLOOKUP(C138,'[1]TB DIN INCLUIDOS'!$B:$H,6,0),"AGUARDANDO ANEXO")</f>
        <v>2</v>
      </c>
      <c r="AF138" s="26" cm="1">
        <f t="array" ref="AF138">_xlfn.IFS((AE138&gt;AC138),(AC138*2),(AE138&lt;=AC138),(AE138*2))</f>
        <v>4</v>
      </c>
      <c r="AG138" s="22"/>
      <c r="AH138" s="28">
        <f t="shared" si="14"/>
        <v>268</v>
      </c>
      <c r="AI138" s="28">
        <f t="shared" si="15"/>
        <v>3</v>
      </c>
      <c r="AJ138" s="28">
        <f t="shared" si="16"/>
        <v>6</v>
      </c>
      <c r="AK138" s="28">
        <f t="shared" si="17"/>
        <v>138</v>
      </c>
      <c r="AL138" s="28">
        <f t="shared" si="18"/>
        <v>0</v>
      </c>
      <c r="AM138" s="23" t="s">
        <v>1707</v>
      </c>
      <c r="AN138" s="37">
        <f>VLOOKUP(C138,'[2]MARÇO-2024'!$B:$M,12,0)</f>
        <v>277</v>
      </c>
      <c r="AO138" s="37">
        <f t="shared" si="19"/>
        <v>9</v>
      </c>
      <c r="AP138" s="37" t="str">
        <f t="shared" si="20"/>
        <v/>
      </c>
    </row>
    <row r="139" spans="1:47" ht="13.5" customHeight="1" x14ac:dyDescent="0.25">
      <c r="A139" s="17">
        <v>4</v>
      </c>
      <c r="B139" s="17">
        <v>36</v>
      </c>
      <c r="C139" s="29">
        <v>4039</v>
      </c>
      <c r="D139" s="38">
        <v>33192596</v>
      </c>
      <c r="E139" s="18" t="s">
        <v>437</v>
      </c>
      <c r="F139" s="68" t="s">
        <v>698</v>
      </c>
      <c r="G139" s="62" t="s">
        <v>197</v>
      </c>
      <c r="H139" s="19" t="s">
        <v>991</v>
      </c>
      <c r="I139" s="19" t="s">
        <v>1174</v>
      </c>
      <c r="J139" s="19" t="s">
        <v>1367</v>
      </c>
      <c r="K139" s="20" t="s">
        <v>1580</v>
      </c>
      <c r="L139" s="21">
        <v>132</v>
      </c>
      <c r="M139" s="21"/>
      <c r="N139" s="26" t="str">
        <f>IFERROR(VLOOKUP(O139,Apoio!A:B,2,0),"")</f>
        <v/>
      </c>
      <c r="O139" s="22">
        <f>IFERROR(VLOOKUP(C139,'[1]TB DIN'!$B:$D,3,0),"AGUARDANDO ANEXO")</f>
        <v>0</v>
      </c>
      <c r="P139" s="22">
        <f>IFERROR(VLOOKUP(C139,'[1]TB DIN INCLUIDOS'!$B:$H,3,0),"AGUARDANDO ANEXO")</f>
        <v>0</v>
      </c>
      <c r="Q139" s="26" cm="1">
        <f t="array" ref="Q139">_xlfn.IFS((P139&gt;N139),(N139*2),(P139&lt;=N139),(P139*2))</f>
        <v>0</v>
      </c>
      <c r="R139" s="22"/>
      <c r="S139" s="26">
        <f>IFERROR(VLOOKUP(T139,Apoio!A:B,2,0),"")</f>
        <v>1</v>
      </c>
      <c r="T139" s="22">
        <v>24</v>
      </c>
      <c r="U139" s="22">
        <f>IFERROR(VLOOKUP(C139,'[1]TB DIN INCLUIDOS'!$B:$H,4,0),"AGUARDANDO ANEXO")</f>
        <v>0</v>
      </c>
      <c r="V139" s="26" cm="1">
        <f t="array" ref="V139">_xlfn.IFS((U139&gt;S139),(S139*2),(U139&lt;=S139),(U139*2))</f>
        <v>0</v>
      </c>
      <c r="W139" s="22"/>
      <c r="X139" s="26">
        <f>IFERROR(VLOOKUP(Y139,Apoio!A:B,2,0),"")</f>
        <v>2</v>
      </c>
      <c r="Y139" s="22">
        <f>IFERROR(VLOOKUP(C139,'[1]TB DIN'!$B:$H,5,0),"AGUARDANDO ANEXO")</f>
        <v>49</v>
      </c>
      <c r="Z139" s="22">
        <f>IFERROR(VLOOKUP(C139,'[1]TB DIN INCLUIDOS'!$B:$H,5,0),"AGUARDANDO ANEXO")</f>
        <v>0</v>
      </c>
      <c r="AA139" s="26" cm="1">
        <f t="array" ref="AA139">_xlfn.IFS((Z139&gt;X139),(X139*2),(Z139&lt;=X139),(Z139*2))</f>
        <v>0</v>
      </c>
      <c r="AB139" s="22"/>
      <c r="AC139" s="26">
        <f>IFERROR(VLOOKUP(AD139,Apoio!A:B,2,0),"")</f>
        <v>3</v>
      </c>
      <c r="AD139" s="22">
        <f>IFERROR(VLOOKUP(C139,'[1]TB DIN'!$B:$H,6,0),"AGUARDANDO ANEXO")</f>
        <v>59</v>
      </c>
      <c r="AE139" s="22">
        <f>IFERROR(VLOOKUP(C139,'[1]TB DIN INCLUIDOS'!$B:$H,6,0),"AGUARDANDO ANEXO")</f>
        <v>0</v>
      </c>
      <c r="AF139" s="26" cm="1">
        <f t="array" ref="AF139">_xlfn.IFS((AE139&gt;AC139),(AC139*2),(AE139&lt;=AC139),(AE139*2))</f>
        <v>0</v>
      </c>
      <c r="AG139" s="22"/>
      <c r="AH139" s="28">
        <f t="shared" si="14"/>
        <v>132</v>
      </c>
      <c r="AI139" s="28">
        <f t="shared" si="15"/>
        <v>0</v>
      </c>
      <c r="AJ139" s="28">
        <f t="shared" si="16"/>
        <v>0</v>
      </c>
      <c r="AK139" s="28">
        <f t="shared" si="17"/>
        <v>0</v>
      </c>
      <c r="AL139" s="28">
        <f t="shared" si="18"/>
        <v>0</v>
      </c>
      <c r="AM139" s="23" t="s">
        <v>1707</v>
      </c>
      <c r="AN139" s="37">
        <f>VLOOKUP(C139,'[2]MARÇO-2024'!$B:$M,12,0)</f>
        <v>132</v>
      </c>
      <c r="AO139" s="37">
        <f t="shared" si="19"/>
        <v>0</v>
      </c>
      <c r="AP139" s="37" t="str">
        <f t="shared" si="20"/>
        <v/>
      </c>
    </row>
    <row r="140" spans="1:47" ht="13.5" customHeight="1" x14ac:dyDescent="0.25">
      <c r="A140" s="17">
        <v>4</v>
      </c>
      <c r="B140" s="17">
        <v>37</v>
      </c>
      <c r="C140" s="29">
        <v>4040</v>
      </c>
      <c r="D140" s="38">
        <v>33192570</v>
      </c>
      <c r="E140" s="18" t="s">
        <v>437</v>
      </c>
      <c r="F140" s="68" t="s">
        <v>696</v>
      </c>
      <c r="G140" s="62" t="s">
        <v>195</v>
      </c>
      <c r="H140" s="19" t="s">
        <v>989</v>
      </c>
      <c r="I140" s="19" t="s">
        <v>1174</v>
      </c>
      <c r="J140" s="19" t="s">
        <v>1365</v>
      </c>
      <c r="K140" s="20" t="s">
        <v>1589</v>
      </c>
      <c r="L140" s="21">
        <v>228</v>
      </c>
      <c r="M140" s="21"/>
      <c r="N140" s="26" t="str">
        <f>IFERROR(VLOOKUP(O140,Apoio!A:B,2,0),"")</f>
        <v/>
      </c>
      <c r="O140" s="22">
        <f>IFERROR(VLOOKUP(C140,'[1]TB DIN'!$B:$D,3,0),"AGUARDANDO ANEXO")</f>
        <v>0</v>
      </c>
      <c r="P140" s="22">
        <f>IFERROR(VLOOKUP(C140,'[1]TB DIN INCLUIDOS'!$B:$H,3,0),"AGUARDANDO ANEXO")</f>
        <v>0</v>
      </c>
      <c r="Q140" s="26" cm="1">
        <f t="array" ref="Q140">_xlfn.IFS((P140&gt;N140),(N140*2),(P140&lt;=N140),(P140*2))</f>
        <v>0</v>
      </c>
      <c r="R140" s="22"/>
      <c r="S140" s="26" t="str">
        <f>IFERROR(VLOOKUP(T140,Apoio!A:B,2,0),"")</f>
        <v/>
      </c>
      <c r="T140" s="22">
        <f>IFERROR(VLOOKUP(C140,'[1]TB DIN'!$B:$H,4,0),"AGUARDANDO ANEXO")</f>
        <v>0</v>
      </c>
      <c r="U140" s="22">
        <f>IFERROR(VLOOKUP(C140,'[1]TB DIN INCLUIDOS'!$B:$H,4,0),"AGUARDANDO ANEXO")</f>
        <v>0</v>
      </c>
      <c r="V140" s="26" cm="1">
        <f t="array" ref="V140">_xlfn.IFS((U140&gt;S140),(S140*2),(U140&lt;=S140),(U140*2))</f>
        <v>0</v>
      </c>
      <c r="W140" s="22"/>
      <c r="X140" s="26">
        <f>IFERROR(VLOOKUP(Y140,Apoio!A:B,2,0),"")</f>
        <v>4</v>
      </c>
      <c r="Y140" s="22">
        <v>97</v>
      </c>
      <c r="Z140" s="22">
        <f>IFERROR(VLOOKUP(C140,'[1]TB DIN INCLUIDOS'!$B:$H,5,0),"AGUARDANDO ANEXO")</f>
        <v>0</v>
      </c>
      <c r="AA140" s="26" cm="1">
        <f t="array" ref="AA140">_xlfn.IFS((Z140&gt;X140),(X140*2),(Z140&lt;=X140),(Z140*2))</f>
        <v>0</v>
      </c>
      <c r="AB140" s="22"/>
      <c r="AC140" s="26">
        <f>IFERROR(VLOOKUP(AD140,Apoio!A:B,2,0),"")</f>
        <v>5</v>
      </c>
      <c r="AD140" s="22">
        <v>120</v>
      </c>
      <c r="AE140" s="22">
        <f>IFERROR(VLOOKUP(C140,'[1]TB DIN INCLUIDOS'!$B:$H,6,0),"AGUARDANDO ANEXO")</f>
        <v>3</v>
      </c>
      <c r="AF140" s="26" cm="1">
        <f t="array" ref="AF140">_xlfn.IFS((AE140&gt;AC140),(AC140*2),(AE140&lt;=AC140),(AE140*2))</f>
        <v>6</v>
      </c>
      <c r="AG140" s="22"/>
      <c r="AH140" s="28">
        <f t="shared" si="14"/>
        <v>217</v>
      </c>
      <c r="AI140" s="28">
        <f t="shared" si="15"/>
        <v>3</v>
      </c>
      <c r="AJ140" s="28">
        <f t="shared" si="16"/>
        <v>6</v>
      </c>
      <c r="AK140" s="28">
        <f t="shared" si="17"/>
        <v>5</v>
      </c>
      <c r="AL140" s="28">
        <f t="shared" si="18"/>
        <v>0</v>
      </c>
      <c r="AM140" s="23" t="s">
        <v>1707</v>
      </c>
      <c r="AN140" s="37">
        <f>VLOOKUP(C140,'[2]MARÇO-2024'!$B:$M,12,0)</f>
        <v>222</v>
      </c>
      <c r="AO140" s="37">
        <f t="shared" si="19"/>
        <v>5</v>
      </c>
      <c r="AP140" s="37" t="str">
        <f t="shared" si="20"/>
        <v/>
      </c>
    </row>
    <row r="141" spans="1:47" ht="13.5" customHeight="1" x14ac:dyDescent="0.25">
      <c r="A141" s="17">
        <v>4</v>
      </c>
      <c r="B141" s="17">
        <v>38</v>
      </c>
      <c r="C141" s="29">
        <v>4041</v>
      </c>
      <c r="D141" s="38">
        <v>33192120</v>
      </c>
      <c r="E141" s="18" t="s">
        <v>459</v>
      </c>
      <c r="F141" s="68" t="s">
        <v>699</v>
      </c>
      <c r="G141" s="66" t="s">
        <v>198</v>
      </c>
      <c r="H141" s="19" t="s">
        <v>992</v>
      </c>
      <c r="I141" s="19" t="s">
        <v>1188</v>
      </c>
      <c r="J141" s="19" t="s">
        <v>1368</v>
      </c>
      <c r="K141" s="20" t="s">
        <v>1585</v>
      </c>
      <c r="L141" s="21">
        <v>54</v>
      </c>
      <c r="M141" s="21"/>
      <c r="N141" s="26" t="str">
        <f>IFERROR(VLOOKUP(O141,Apoio!A:B,2,0),"")</f>
        <v/>
      </c>
      <c r="O141" s="22">
        <f>IFERROR(VLOOKUP(C141,'[1]TB DIN'!$B:$D,3,0),"AGUARDANDO ANEXO")</f>
        <v>0</v>
      </c>
      <c r="P141" s="22">
        <f>IFERROR(VLOOKUP(C141,'[1]TB DIN INCLUIDOS'!$B:$H,3,0),"AGUARDANDO ANEXO")</f>
        <v>0</v>
      </c>
      <c r="Q141" s="26" cm="1">
        <f t="array" ref="Q141">_xlfn.IFS((P141&gt;N141),(N141*2),(P141&lt;=N141),(P141*2))</f>
        <v>0</v>
      </c>
      <c r="R141" s="22"/>
      <c r="S141" s="26">
        <f>IFERROR(VLOOKUP(T141,Apoio!A:B,2,0),"")</f>
        <v>1</v>
      </c>
      <c r="T141" s="22">
        <f>IFERROR(VLOOKUP(C141,'[1]TB DIN'!$B:$H,4,0),"AGUARDANDO ANEXO")</f>
        <v>18</v>
      </c>
      <c r="U141" s="22">
        <f>IFERROR(VLOOKUP(C141,'[1]TB DIN INCLUIDOS'!$B:$H,4,0),"AGUARDANDO ANEXO")</f>
        <v>0</v>
      </c>
      <c r="V141" s="26" cm="1">
        <f t="array" ref="V141">_xlfn.IFS((U141&gt;S141),(S141*2),(U141&lt;=S141),(U141*2))</f>
        <v>0</v>
      </c>
      <c r="W141" s="22"/>
      <c r="X141" s="26">
        <f>IFERROR(VLOOKUP(Y141,Apoio!A:B,2,0),"")</f>
        <v>1</v>
      </c>
      <c r="Y141" s="22">
        <v>17</v>
      </c>
      <c r="Z141" s="22">
        <f>IFERROR(VLOOKUP(C141,'[1]TB DIN INCLUIDOS'!$B:$H,5,0),"AGUARDANDO ANEXO")</f>
        <v>0</v>
      </c>
      <c r="AA141" s="26" cm="1">
        <f t="array" ref="AA141">_xlfn.IFS((Z141&gt;X141),(X141*2),(Z141&lt;=X141),(Z141*2))</f>
        <v>0</v>
      </c>
      <c r="AB141" s="22"/>
      <c r="AC141" s="26">
        <f>IFERROR(VLOOKUP(AD141,Apoio!A:B,2,0),"")</f>
        <v>1</v>
      </c>
      <c r="AD141" s="22">
        <f>IFERROR(VLOOKUP(C141,'[1]TB DIN'!$B:$H,6,0),"AGUARDANDO ANEXO")</f>
        <v>17</v>
      </c>
      <c r="AE141" s="22">
        <f>IFERROR(VLOOKUP(C141,'[1]TB DIN INCLUIDOS'!$B:$H,6,0),"AGUARDANDO ANEXO")</f>
        <v>1</v>
      </c>
      <c r="AF141" s="26" cm="1">
        <f t="array" ref="AF141">_xlfn.IFS((AE141&gt;AC141),(AC141*2),(AE141&lt;=AC141),(AE141*2))</f>
        <v>2</v>
      </c>
      <c r="AG141" s="22"/>
      <c r="AH141" s="28">
        <f t="shared" si="14"/>
        <v>52</v>
      </c>
      <c r="AI141" s="28">
        <f t="shared" si="15"/>
        <v>1</v>
      </c>
      <c r="AJ141" s="28">
        <f t="shared" si="16"/>
        <v>2</v>
      </c>
      <c r="AK141" s="28">
        <f t="shared" si="17"/>
        <v>0</v>
      </c>
      <c r="AL141" s="28">
        <f t="shared" si="18"/>
        <v>0</v>
      </c>
      <c r="AM141" s="23" t="s">
        <v>1849</v>
      </c>
      <c r="AN141" s="37">
        <f>VLOOKUP(C141,'[2]MARÇO-2024'!$B:$M,12,0)</f>
        <v>53</v>
      </c>
      <c r="AO141" s="37">
        <f t="shared" si="19"/>
        <v>1</v>
      </c>
      <c r="AP141" s="37" t="str">
        <f t="shared" si="20"/>
        <v/>
      </c>
    </row>
    <row r="142" spans="1:47" ht="13.5" customHeight="1" x14ac:dyDescent="0.25">
      <c r="A142" s="17">
        <v>4</v>
      </c>
      <c r="B142" s="17">
        <v>39</v>
      </c>
      <c r="C142" s="29">
        <v>4042</v>
      </c>
      <c r="D142" s="38">
        <v>33194874</v>
      </c>
      <c r="E142" s="18" t="s">
        <v>460</v>
      </c>
      <c r="F142" s="68" t="s">
        <v>700</v>
      </c>
      <c r="G142" s="62" t="s">
        <v>199</v>
      </c>
      <c r="H142" s="19" t="s">
        <v>27</v>
      </c>
      <c r="I142" s="19" t="s">
        <v>28</v>
      </c>
      <c r="J142" s="19" t="s">
        <v>1369</v>
      </c>
      <c r="K142" s="20" t="s">
        <v>1587</v>
      </c>
      <c r="L142" s="21">
        <v>188</v>
      </c>
      <c r="M142" s="21"/>
      <c r="N142" s="26" t="str">
        <f>IFERROR(VLOOKUP(O142,Apoio!A:B,2,0),"")</f>
        <v/>
      </c>
      <c r="O142" s="22">
        <f>IFERROR(VLOOKUP(C142,'[1]TB DIN'!$B:$D,3,0),"AGUARDANDO ANEXO")</f>
        <v>0</v>
      </c>
      <c r="P142" s="22">
        <f>IFERROR(VLOOKUP(C142,'[1]TB DIN INCLUIDOS'!$B:$H,3,0),"AGUARDANDO ANEXO")</f>
        <v>0</v>
      </c>
      <c r="Q142" s="26" cm="1">
        <f t="array" ref="Q142">_xlfn.IFS((P142&gt;N142),(N142*2),(P142&lt;=N142),(P142*2))</f>
        <v>0</v>
      </c>
      <c r="R142" s="22"/>
      <c r="S142" s="26">
        <f>IFERROR(VLOOKUP(T142,Apoio!A:B,2,0),"")</f>
        <v>1</v>
      </c>
      <c r="T142" s="22">
        <f>IFERROR(VLOOKUP(C142,'[1]TB DIN'!$B:$H,4,0),"AGUARDANDO ANEXO")</f>
        <v>17</v>
      </c>
      <c r="U142" s="22">
        <f>IFERROR(VLOOKUP(C142,'[1]TB DIN INCLUIDOS'!$B:$H,4,0),"AGUARDANDO ANEXO")</f>
        <v>0</v>
      </c>
      <c r="V142" s="26" cm="1">
        <f t="array" ref="V142">_xlfn.IFS((U142&gt;S142),(S142*2),(U142&lt;=S142),(U142*2))</f>
        <v>0</v>
      </c>
      <c r="W142" s="22"/>
      <c r="X142" s="26">
        <f>IFERROR(VLOOKUP(Y142,Apoio!A:B,2,0),"")</f>
        <v>4</v>
      </c>
      <c r="Y142" s="22">
        <f>IFERROR(VLOOKUP(C142,'[1]TB DIN'!$B:$H,5,0),"AGUARDANDO ANEXO")</f>
        <v>89</v>
      </c>
      <c r="Z142" s="22">
        <f>IFERROR(VLOOKUP(C142,'[1]TB DIN INCLUIDOS'!$B:$H,5,0),"AGUARDANDO ANEXO")</f>
        <v>2</v>
      </c>
      <c r="AA142" s="26" cm="1">
        <f t="array" ref="AA142">_xlfn.IFS((Z142&gt;X142),(X142*2),(Z142&lt;=X142),(Z142*2))</f>
        <v>4</v>
      </c>
      <c r="AB142" s="22"/>
      <c r="AC142" s="26">
        <f>IFERROR(VLOOKUP(AD142,Apoio!A:B,2,0),"")</f>
        <v>3</v>
      </c>
      <c r="AD142" s="22">
        <f>IFERROR(VLOOKUP(C142,'[1]TB DIN'!$B:$H,6,0),"AGUARDANDO ANEXO")</f>
        <v>72</v>
      </c>
      <c r="AE142" s="22">
        <f>IFERROR(VLOOKUP(C142,'[1]TB DIN INCLUIDOS'!$B:$H,6,0),"AGUARDANDO ANEXO")</f>
        <v>6</v>
      </c>
      <c r="AF142" s="26" cm="1">
        <f t="array" ref="AF142">_xlfn.IFS((AE142&gt;AC142),(AC142*2),(AE142&lt;=AC142),(AE142*2))</f>
        <v>6</v>
      </c>
      <c r="AG142" s="22"/>
      <c r="AH142" s="28">
        <f t="shared" si="14"/>
        <v>178</v>
      </c>
      <c r="AI142" s="28">
        <f t="shared" si="15"/>
        <v>8</v>
      </c>
      <c r="AJ142" s="28">
        <f t="shared" si="16"/>
        <v>10</v>
      </c>
      <c r="AK142" s="28">
        <f t="shared" si="17"/>
        <v>0</v>
      </c>
      <c r="AL142" s="28">
        <f t="shared" si="18"/>
        <v>0</v>
      </c>
      <c r="AM142" s="23" t="s">
        <v>1707</v>
      </c>
      <c r="AN142" s="37">
        <f>VLOOKUP(C142,'[2]MARÇO-2024'!$B:$M,12,0)</f>
        <v>180</v>
      </c>
      <c r="AO142" s="37">
        <f t="shared" si="19"/>
        <v>2</v>
      </c>
      <c r="AP142" s="37" t="str">
        <f t="shared" si="20"/>
        <v/>
      </c>
    </row>
    <row r="143" spans="1:47" ht="13.5" customHeight="1" x14ac:dyDescent="0.25">
      <c r="A143" s="17">
        <v>4</v>
      </c>
      <c r="B143" s="17">
        <v>40</v>
      </c>
      <c r="C143" s="29">
        <v>4043</v>
      </c>
      <c r="D143" s="38">
        <v>33194971</v>
      </c>
      <c r="E143" s="18" t="s">
        <v>461</v>
      </c>
      <c r="F143" s="68" t="s">
        <v>701</v>
      </c>
      <c r="G143" s="62" t="s">
        <v>200</v>
      </c>
      <c r="H143" s="19" t="s">
        <v>29</v>
      </c>
      <c r="I143" s="19" t="s">
        <v>29</v>
      </c>
      <c r="J143" s="19" t="s">
        <v>1370</v>
      </c>
      <c r="K143" s="20" t="s">
        <v>1588</v>
      </c>
      <c r="L143" s="21">
        <v>89</v>
      </c>
      <c r="M143" s="21"/>
      <c r="N143" s="26" t="str">
        <f>IFERROR(VLOOKUP(O143,Apoio!A:B,2,0),"")</f>
        <v/>
      </c>
      <c r="O143" s="22">
        <f>IFERROR(VLOOKUP(C143,'[1]TB DIN'!$B:$D,3,0),"AGUARDANDO ANEXO")</f>
        <v>0</v>
      </c>
      <c r="P143" s="22">
        <f>IFERROR(VLOOKUP(C143,'[1]TB DIN INCLUIDOS'!$B:$H,3,0),"AGUARDANDO ANEXO")</f>
        <v>0</v>
      </c>
      <c r="Q143" s="26" cm="1">
        <f t="array" ref="Q143">_xlfn.IFS((P143&gt;N143),(N143*2),(P143&lt;=N143),(P143*2))</f>
        <v>0</v>
      </c>
      <c r="R143" s="22"/>
      <c r="S143" s="26">
        <f>IFERROR(VLOOKUP(T143,Apoio!A:B,2,0),"")</f>
        <v>2</v>
      </c>
      <c r="T143" s="22">
        <v>27</v>
      </c>
      <c r="U143" s="22">
        <f>IFERROR(VLOOKUP(C143,'[1]TB DIN INCLUIDOS'!$B:$H,4,0),"AGUARDANDO ANEXO")</f>
        <v>0</v>
      </c>
      <c r="V143" s="26" cm="1">
        <f t="array" ref="V143">_xlfn.IFS((U143&gt;S143),(S143*2),(U143&lt;=S143),(U143*2))</f>
        <v>0</v>
      </c>
      <c r="W143" s="22"/>
      <c r="X143" s="26">
        <f>IFERROR(VLOOKUP(Y143,Apoio!A:B,2,0),"")</f>
        <v>2</v>
      </c>
      <c r="Y143" s="22">
        <f>IFERROR(VLOOKUP(C143,'[1]TB DIN'!$B:$H,5,0),"AGUARDANDO ANEXO")</f>
        <v>33</v>
      </c>
      <c r="Z143" s="22">
        <f>IFERROR(VLOOKUP(C143,'[1]TB DIN INCLUIDOS'!$B:$H,5,0),"AGUARDANDO ANEXO")</f>
        <v>0</v>
      </c>
      <c r="AA143" s="26" cm="1">
        <f t="array" ref="AA143">_xlfn.IFS((Z143&gt;X143),(X143*2),(Z143&lt;=X143),(Z143*2))</f>
        <v>0</v>
      </c>
      <c r="AB143" s="22"/>
      <c r="AC143" s="26">
        <f>IFERROR(VLOOKUP(AD143,Apoio!A:B,2,0),"")</f>
        <v>2</v>
      </c>
      <c r="AD143" s="22">
        <v>28</v>
      </c>
      <c r="AE143" s="22">
        <f>IFERROR(VLOOKUP(C143,'[1]TB DIN INCLUIDOS'!$B:$H,6,0),"AGUARDANDO ANEXO")</f>
        <v>1</v>
      </c>
      <c r="AF143" s="26" cm="1">
        <f t="array" ref="AF143">_xlfn.IFS((AE143&gt;AC143),(AC143*2),(AE143&lt;=AC143),(AE143*2))</f>
        <v>2</v>
      </c>
      <c r="AG143" s="22"/>
      <c r="AH143" s="28">
        <f t="shared" si="14"/>
        <v>88</v>
      </c>
      <c r="AI143" s="28">
        <f t="shared" si="15"/>
        <v>1</v>
      </c>
      <c r="AJ143" s="28">
        <f t="shared" si="16"/>
        <v>2</v>
      </c>
      <c r="AK143" s="28">
        <f t="shared" si="17"/>
        <v>0</v>
      </c>
      <c r="AL143" s="28">
        <f t="shared" si="18"/>
        <v>-1</v>
      </c>
      <c r="AM143" s="23" t="s">
        <v>1707</v>
      </c>
      <c r="AN143" s="37">
        <f>VLOOKUP(C143,'[2]MARÇO-2024'!$B:$M,12,0)</f>
        <v>88</v>
      </c>
      <c r="AO143" s="37">
        <f t="shared" si="19"/>
        <v>0</v>
      </c>
      <c r="AP143" s="37" t="str">
        <f t="shared" si="20"/>
        <v/>
      </c>
    </row>
    <row r="144" spans="1:47" ht="13.5" customHeight="1" x14ac:dyDescent="0.25">
      <c r="A144" s="17">
        <v>4</v>
      </c>
      <c r="B144" s="17">
        <v>41</v>
      </c>
      <c r="C144" s="29">
        <v>4044</v>
      </c>
      <c r="D144" s="38">
        <v>33195218</v>
      </c>
      <c r="E144" s="18">
        <v>35857698000140</v>
      </c>
      <c r="F144" s="68">
        <v>49041</v>
      </c>
      <c r="G144" s="62" t="s">
        <v>1862</v>
      </c>
      <c r="H144" s="19" t="s">
        <v>30</v>
      </c>
      <c r="I144" s="19" t="s">
        <v>31</v>
      </c>
      <c r="J144" s="19" t="s">
        <v>1371</v>
      </c>
      <c r="K144" s="20" t="s">
        <v>1585</v>
      </c>
      <c r="L144" s="21">
        <v>217</v>
      </c>
      <c r="M144" s="21"/>
      <c r="N144" s="26" t="str">
        <f>IFERROR(VLOOKUP(O144,Apoio!A:B,2,0),"")</f>
        <v/>
      </c>
      <c r="O144" s="22">
        <f>IFERROR(VLOOKUP(C144,'[1]TB DIN'!$B:$D,3,0),"AGUARDANDO ANEXO")</f>
        <v>0</v>
      </c>
      <c r="P144" s="22">
        <f>IFERROR(VLOOKUP(C144,'[1]TB DIN INCLUIDOS'!$B:$H,3,0),"AGUARDANDO ANEXO")</f>
        <v>0</v>
      </c>
      <c r="Q144" s="26" cm="1">
        <f t="array" ref="Q144">_xlfn.IFS((P144&gt;N144),(N144*2),(P144&lt;=N144),(P144*2))</f>
        <v>0</v>
      </c>
      <c r="R144" s="22"/>
      <c r="S144" s="26">
        <f>IFERROR(VLOOKUP(T144,Apoio!A:B,2,0),"")</f>
        <v>3</v>
      </c>
      <c r="T144" s="22">
        <f>IFERROR(VLOOKUP(C144,'[1]TB DIN'!$B:$H,4,0),"AGUARDANDO ANEXO")</f>
        <v>61</v>
      </c>
      <c r="U144" s="22">
        <f>IFERROR(VLOOKUP(C144,'[1]TB DIN INCLUIDOS'!$B:$H,4,0),"AGUARDANDO ANEXO")</f>
        <v>0</v>
      </c>
      <c r="V144" s="26" cm="1">
        <f t="array" ref="V144">_xlfn.IFS((U144&gt;S144),(S144*2),(U144&lt;=S144),(U144*2))</f>
        <v>0</v>
      </c>
      <c r="W144" s="22"/>
      <c r="X144" s="26">
        <f>IFERROR(VLOOKUP(Y144,Apoio!A:B,2,0),"")</f>
        <v>4</v>
      </c>
      <c r="Y144" s="22">
        <v>81</v>
      </c>
      <c r="Z144" s="22">
        <f>IFERROR(VLOOKUP(C144,'[1]TB DIN INCLUIDOS'!$B:$H,5,0),"AGUARDANDO ANEXO")</f>
        <v>0</v>
      </c>
      <c r="AA144" s="26" cm="1">
        <f t="array" ref="AA144">_xlfn.IFS((Z144&gt;X144),(X144*2),(Z144&lt;=X144),(Z144*2))</f>
        <v>0</v>
      </c>
      <c r="AB144" s="22"/>
      <c r="AC144" s="26">
        <f>IFERROR(VLOOKUP(AD144,Apoio!A:B,2,0),"")</f>
        <v>3</v>
      </c>
      <c r="AD144" s="22">
        <v>67</v>
      </c>
      <c r="AE144" s="22">
        <f>IFERROR(VLOOKUP(C144,'[1]TB DIN INCLUIDOS'!$B:$H,6,0),"AGUARDANDO ANEXO")</f>
        <v>5</v>
      </c>
      <c r="AF144" s="26" cm="1">
        <f t="array" ref="AF144">_xlfn.IFS((AE144&gt;AC144),(AC144*2),(AE144&lt;=AC144),(AE144*2))</f>
        <v>6</v>
      </c>
      <c r="AG144" s="22"/>
      <c r="AH144" s="28">
        <f t="shared" si="14"/>
        <v>209</v>
      </c>
      <c r="AI144" s="28">
        <f t="shared" si="15"/>
        <v>5</v>
      </c>
      <c r="AJ144" s="28">
        <f t="shared" si="16"/>
        <v>6</v>
      </c>
      <c r="AK144" s="28">
        <f t="shared" si="17"/>
        <v>2</v>
      </c>
      <c r="AL144" s="28">
        <f t="shared" si="18"/>
        <v>0</v>
      </c>
      <c r="AM144" s="23" t="s">
        <v>1707</v>
      </c>
      <c r="AN144" s="37">
        <f>VLOOKUP(C144,'[2]MARÇO-2024'!$B:$M,12,0)</f>
        <v>200</v>
      </c>
      <c r="AO144" s="37">
        <f t="shared" si="19"/>
        <v>-9</v>
      </c>
      <c r="AP144" s="37" t="str">
        <f t="shared" si="20"/>
        <v/>
      </c>
    </row>
    <row r="145" spans="1:42" ht="13.5" customHeight="1" x14ac:dyDescent="0.25">
      <c r="A145" s="17">
        <v>4</v>
      </c>
      <c r="B145" s="17">
        <v>42</v>
      </c>
      <c r="C145" s="29">
        <v>4045</v>
      </c>
      <c r="D145" s="43">
        <v>33194882</v>
      </c>
      <c r="E145" s="18" t="s">
        <v>453</v>
      </c>
      <c r="F145" s="68" t="s">
        <v>702</v>
      </c>
      <c r="G145" s="66" t="s">
        <v>202</v>
      </c>
      <c r="H145" s="19" t="s">
        <v>32</v>
      </c>
      <c r="I145" s="19" t="s">
        <v>33</v>
      </c>
      <c r="J145" s="19" t="s">
        <v>1372</v>
      </c>
      <c r="K145" s="20" t="s">
        <v>1583</v>
      </c>
      <c r="L145" s="21">
        <v>157</v>
      </c>
      <c r="M145" s="21"/>
      <c r="N145" s="26" t="str">
        <f>IFERROR(VLOOKUP(O145,Apoio!A:B,2,0),"")</f>
        <v/>
      </c>
      <c r="O145" s="22">
        <f>IFERROR(VLOOKUP(C145,'[1]TB DIN'!$B:$D,3,0),"AGUARDANDO ANEXO")</f>
        <v>0</v>
      </c>
      <c r="P145" s="22">
        <f>IFERROR(VLOOKUP(C145,'[1]TB DIN INCLUIDOS'!$B:$H,3,0),"AGUARDANDO ANEXO")</f>
        <v>0</v>
      </c>
      <c r="Q145" s="26" cm="1">
        <f t="array" ref="Q145">_xlfn.IFS((P145&gt;N145),(N145*2),(P145&lt;=N145),(P145*2))</f>
        <v>0</v>
      </c>
      <c r="R145" s="22"/>
      <c r="S145" s="26">
        <f>IFERROR(VLOOKUP(T145,Apoio!A:B,2,0),"")</f>
        <v>2</v>
      </c>
      <c r="T145" s="22">
        <f>IFERROR(VLOOKUP(C145,'[1]TB DIN'!$B:$H,4,0),"AGUARDANDO ANEXO")</f>
        <v>28</v>
      </c>
      <c r="U145" s="22">
        <f>IFERROR(VLOOKUP(C145,'[1]TB DIN INCLUIDOS'!$B:$H,4,0),"AGUARDANDO ANEXO")</f>
        <v>0</v>
      </c>
      <c r="V145" s="26" cm="1">
        <f t="array" ref="V145">_xlfn.IFS((U145&gt;S145),(S145*2),(U145&lt;=S145),(U145*2))</f>
        <v>0</v>
      </c>
      <c r="W145" s="22"/>
      <c r="X145" s="26">
        <f>IFERROR(VLOOKUP(Y145,Apoio!A:B,2,0),"")</f>
        <v>3</v>
      </c>
      <c r="Y145" s="22">
        <v>66</v>
      </c>
      <c r="Z145" s="22">
        <f>IFERROR(VLOOKUP(C145,'[1]TB DIN INCLUIDOS'!$B:$H,5,0),"AGUARDANDO ANEXO")</f>
        <v>0</v>
      </c>
      <c r="AA145" s="26" cm="1">
        <f t="array" ref="AA145">_xlfn.IFS((Z145&gt;X145),(X145*2),(Z145&lt;=X145),(Z145*2))</f>
        <v>0</v>
      </c>
      <c r="AB145" s="22"/>
      <c r="AC145" s="26">
        <f>IFERROR(VLOOKUP(AD145,Apoio!A:B,2,0),"")</f>
        <v>3</v>
      </c>
      <c r="AD145" s="22">
        <v>57</v>
      </c>
      <c r="AE145" s="22">
        <f>IFERROR(VLOOKUP(C145,'[1]TB DIN INCLUIDOS'!$B:$H,6,0),"AGUARDANDO ANEXO")</f>
        <v>0</v>
      </c>
      <c r="AF145" s="26" cm="1">
        <f t="array" ref="AF145">_xlfn.IFS((AE145&gt;AC145),(AC145*2),(AE145&lt;=AC145),(AE145*2))</f>
        <v>0</v>
      </c>
      <c r="AG145" s="22"/>
      <c r="AH145" s="28">
        <f t="shared" si="14"/>
        <v>151</v>
      </c>
      <c r="AI145" s="28">
        <f t="shared" si="15"/>
        <v>0</v>
      </c>
      <c r="AJ145" s="28">
        <f t="shared" si="16"/>
        <v>0</v>
      </c>
      <c r="AK145" s="28">
        <f t="shared" si="17"/>
        <v>6</v>
      </c>
      <c r="AL145" s="28">
        <f t="shared" si="18"/>
        <v>0</v>
      </c>
      <c r="AM145" s="23" t="s">
        <v>1707</v>
      </c>
      <c r="AN145" s="37">
        <f>VLOOKUP(C145,'[2]MARÇO-2024'!$B:$M,12,0)</f>
        <v>151</v>
      </c>
      <c r="AO145" s="37">
        <f t="shared" si="19"/>
        <v>0</v>
      </c>
      <c r="AP145" s="37" t="str">
        <f t="shared" si="20"/>
        <v/>
      </c>
    </row>
    <row r="146" spans="1:42" ht="13.5" customHeight="1" x14ac:dyDescent="0.25">
      <c r="A146" s="17">
        <v>4</v>
      </c>
      <c r="B146" s="17">
        <v>43</v>
      </c>
      <c r="C146" s="29">
        <v>4046</v>
      </c>
      <c r="D146" s="38">
        <v>33194904</v>
      </c>
      <c r="E146" s="18">
        <v>26544349000188</v>
      </c>
      <c r="F146" s="68">
        <v>42021</v>
      </c>
      <c r="G146" s="62" t="s">
        <v>203</v>
      </c>
      <c r="H146" s="19" t="s">
        <v>34</v>
      </c>
      <c r="I146" s="19" t="s">
        <v>35</v>
      </c>
      <c r="J146" s="19" t="s">
        <v>1373</v>
      </c>
      <c r="K146" s="20" t="s">
        <v>1570</v>
      </c>
      <c r="L146" s="21">
        <v>74</v>
      </c>
      <c r="M146" s="21"/>
      <c r="N146" s="26" t="str">
        <f>IFERROR(VLOOKUP(O146,Apoio!A:B,2,0),"")</f>
        <v/>
      </c>
      <c r="O146" s="22">
        <f>IFERROR(VLOOKUP(C146,'[1]TB DIN'!$B:$D,3,0),"AGUARDANDO ANEXO")</f>
        <v>0</v>
      </c>
      <c r="P146" s="22">
        <f>IFERROR(VLOOKUP(C146,'[1]TB DIN INCLUIDOS'!$B:$H,3,0),"AGUARDANDO ANEXO")</f>
        <v>0</v>
      </c>
      <c r="Q146" s="26" cm="1">
        <f t="array" ref="Q146">_xlfn.IFS((P146&gt;N146),(N146*2),(P146&lt;=N146),(P146*2))</f>
        <v>0</v>
      </c>
      <c r="R146" s="22"/>
      <c r="S146" s="26">
        <f>IFERROR(VLOOKUP(T146,Apoio!A:B,2,0),"")</f>
        <v>1</v>
      </c>
      <c r="T146" s="22">
        <f>IFERROR(VLOOKUP(C146,'[1]TB DIN'!$B:$H,4,0),"AGUARDANDO ANEXO")</f>
        <v>19</v>
      </c>
      <c r="U146" s="22">
        <f>IFERROR(VLOOKUP(C146,'[1]TB DIN INCLUIDOS'!$B:$H,4,0),"AGUARDANDO ANEXO")</f>
        <v>0</v>
      </c>
      <c r="V146" s="26" cm="1">
        <f t="array" ref="V146">_xlfn.IFS((U146&gt;S146),(S146*2),(U146&lt;=S146),(U146*2))</f>
        <v>0</v>
      </c>
      <c r="W146" s="22"/>
      <c r="X146" s="26">
        <f>IFERROR(VLOOKUP(Y146,Apoio!A:B,2,0),"")</f>
        <v>2</v>
      </c>
      <c r="Y146" s="22">
        <f>IFERROR(VLOOKUP(C146,'[1]TB DIN'!$B:$H,5,0),"AGUARDANDO ANEXO")</f>
        <v>28</v>
      </c>
      <c r="Z146" s="22">
        <f>IFERROR(VLOOKUP(C146,'[1]TB DIN INCLUIDOS'!$B:$H,5,0),"AGUARDANDO ANEXO")</f>
        <v>0</v>
      </c>
      <c r="AA146" s="26" cm="1">
        <f t="array" ref="AA146">_xlfn.IFS((Z146&gt;X146),(X146*2),(Z146&lt;=X146),(Z146*2))</f>
        <v>0</v>
      </c>
      <c r="AB146" s="22"/>
      <c r="AC146" s="26">
        <f>IFERROR(VLOOKUP(AD146,Apoio!A:B,2,0),"")</f>
        <v>2</v>
      </c>
      <c r="AD146" s="22">
        <f>IFERROR(VLOOKUP(C146,'[1]TB DIN'!$B:$H,6,0),"AGUARDANDO ANEXO")</f>
        <v>26</v>
      </c>
      <c r="AE146" s="22">
        <f>IFERROR(VLOOKUP(C146,'[1]TB DIN INCLUIDOS'!$B:$H,6,0),"AGUARDANDO ANEXO")</f>
        <v>3</v>
      </c>
      <c r="AF146" s="26" cm="1">
        <f t="array" ref="AF146">_xlfn.IFS((AE146&gt;AC146),(AC146*2),(AE146&lt;=AC146),(AE146*2))</f>
        <v>4</v>
      </c>
      <c r="AG146" s="22"/>
      <c r="AH146" s="28">
        <f t="shared" si="14"/>
        <v>73</v>
      </c>
      <c r="AI146" s="28">
        <f t="shared" si="15"/>
        <v>3</v>
      </c>
      <c r="AJ146" s="28">
        <f t="shared" si="16"/>
        <v>4</v>
      </c>
      <c r="AK146" s="28">
        <f t="shared" si="17"/>
        <v>0</v>
      </c>
      <c r="AL146" s="28">
        <f t="shared" si="18"/>
        <v>-3</v>
      </c>
      <c r="AM146" s="23" t="s">
        <v>1707</v>
      </c>
      <c r="AN146" s="37">
        <f>VLOOKUP(C146,'[2]MARÇO-2024'!$B:$M,12,0)</f>
        <v>73</v>
      </c>
      <c r="AO146" s="37">
        <f t="shared" si="19"/>
        <v>0</v>
      </c>
      <c r="AP146" s="37" t="str">
        <f t="shared" si="20"/>
        <v/>
      </c>
    </row>
    <row r="147" spans="1:42" ht="13.5" customHeight="1" x14ac:dyDescent="0.25">
      <c r="A147" s="17">
        <v>4</v>
      </c>
      <c r="B147" s="17">
        <v>44</v>
      </c>
      <c r="C147" s="29">
        <v>4047</v>
      </c>
      <c r="D147" s="38">
        <v>33194831</v>
      </c>
      <c r="E147" s="18">
        <v>34704019000130</v>
      </c>
      <c r="F147" s="68">
        <v>45043</v>
      </c>
      <c r="G147" s="62" t="s">
        <v>204</v>
      </c>
      <c r="H147" s="19" t="s">
        <v>36</v>
      </c>
      <c r="I147" s="19" t="s">
        <v>33</v>
      </c>
      <c r="J147" s="19" t="s">
        <v>1374</v>
      </c>
      <c r="K147" s="20" t="s">
        <v>1588</v>
      </c>
      <c r="L147" s="21">
        <v>281</v>
      </c>
      <c r="M147" s="21"/>
      <c r="N147" s="26" t="str">
        <f>IFERROR(VLOOKUP(O147,Apoio!A:B,2,0),"")</f>
        <v/>
      </c>
      <c r="O147" s="22">
        <f>IFERROR(VLOOKUP(C147,'[1]TB DIN'!$B:$D,3,0),"AGUARDANDO ANEXO")</f>
        <v>0</v>
      </c>
      <c r="P147" s="22">
        <f>IFERROR(VLOOKUP(C147,'[1]TB DIN INCLUIDOS'!$B:$H,3,0),"AGUARDANDO ANEXO")</f>
        <v>0</v>
      </c>
      <c r="Q147" s="26" cm="1">
        <f t="array" ref="Q147">_xlfn.IFS((P147&gt;N147),(N147*2),(P147&lt;=N147),(P147*2))</f>
        <v>0</v>
      </c>
      <c r="R147" s="22"/>
      <c r="S147" s="26">
        <f>IFERROR(VLOOKUP(T147,Apoio!A:B,2,0),"")</f>
        <v>4</v>
      </c>
      <c r="T147" s="22">
        <v>85</v>
      </c>
      <c r="U147" s="22">
        <f>IFERROR(VLOOKUP(C147,'[1]TB DIN INCLUIDOS'!$B:$H,4,0),"AGUARDANDO ANEXO")</f>
        <v>1</v>
      </c>
      <c r="V147" s="26" cm="1">
        <f t="array" ref="V147">_xlfn.IFS((U147&gt;S147),(S147*2),(U147&lt;=S147),(U147*2))</f>
        <v>2</v>
      </c>
      <c r="W147" s="22"/>
      <c r="X147" s="26">
        <f>IFERROR(VLOOKUP(Y147,Apoio!A:B,2,0),"")</f>
        <v>5</v>
      </c>
      <c r="Y147" s="22">
        <v>117</v>
      </c>
      <c r="Z147" s="22">
        <f>IFERROR(VLOOKUP(C147,'[1]TB DIN INCLUIDOS'!$B:$H,5,0),"AGUARDANDO ANEXO")</f>
        <v>3</v>
      </c>
      <c r="AA147" s="26" cm="1">
        <f t="array" ref="AA147">_xlfn.IFS((Z147&gt;X147),(X147*2),(Z147&lt;=X147),(Z147*2))</f>
        <v>6</v>
      </c>
      <c r="AB147" s="22"/>
      <c r="AC147" s="26">
        <f>IFERROR(VLOOKUP(AD147,Apoio!A:B,2,0),"")</f>
        <v>3</v>
      </c>
      <c r="AD147" s="22">
        <v>69</v>
      </c>
      <c r="AE147" s="22">
        <f>IFERROR(VLOOKUP(C147,'[1]TB DIN INCLUIDOS'!$B:$H,6,0),"AGUARDANDO ANEXO")</f>
        <v>6</v>
      </c>
      <c r="AF147" s="26" cm="1">
        <f t="array" ref="AF147">_xlfn.IFS((AE147&gt;AC147),(AC147*2),(AE147&lt;=AC147),(AE147*2))</f>
        <v>6</v>
      </c>
      <c r="AG147" s="22"/>
      <c r="AH147" s="28">
        <f t="shared" si="14"/>
        <v>271</v>
      </c>
      <c r="AI147" s="28">
        <f t="shared" si="15"/>
        <v>10</v>
      </c>
      <c r="AJ147" s="28">
        <f t="shared" si="16"/>
        <v>14</v>
      </c>
      <c r="AK147" s="28">
        <f t="shared" si="17"/>
        <v>0</v>
      </c>
      <c r="AL147" s="28">
        <f t="shared" si="18"/>
        <v>-4</v>
      </c>
      <c r="AM147" s="23" t="s">
        <v>1707</v>
      </c>
      <c r="AN147" s="37">
        <f>VLOOKUP(C147,'[2]MARÇO-2024'!$B:$M,12,0)</f>
        <v>271</v>
      </c>
      <c r="AO147" s="37">
        <f t="shared" si="19"/>
        <v>0</v>
      </c>
      <c r="AP147" s="37" t="str">
        <f t="shared" si="20"/>
        <v/>
      </c>
    </row>
    <row r="148" spans="1:42" ht="13.5" customHeight="1" x14ac:dyDescent="0.25">
      <c r="A148" s="17">
        <v>4</v>
      </c>
      <c r="B148" s="17">
        <v>45</v>
      </c>
      <c r="C148" s="29">
        <v>4048</v>
      </c>
      <c r="D148" s="38">
        <v>33194718</v>
      </c>
      <c r="E148" s="18" t="s">
        <v>455</v>
      </c>
      <c r="F148" s="68" t="s">
        <v>703</v>
      </c>
      <c r="G148" s="62" t="s">
        <v>205</v>
      </c>
      <c r="H148" s="19" t="s">
        <v>37</v>
      </c>
      <c r="I148" s="19" t="s">
        <v>38</v>
      </c>
      <c r="J148" s="19" t="s">
        <v>1375</v>
      </c>
      <c r="K148" s="20" t="s">
        <v>1570</v>
      </c>
      <c r="L148" s="21">
        <v>128</v>
      </c>
      <c r="M148" s="21"/>
      <c r="N148" s="26" t="str">
        <f>IFERROR(VLOOKUP(O148,Apoio!A:B,2,0),"")</f>
        <v/>
      </c>
      <c r="O148" s="22">
        <f>IFERROR(VLOOKUP(C148,'[1]TB DIN'!$B:$D,3,0),"AGUARDANDO ANEXO")</f>
        <v>0</v>
      </c>
      <c r="P148" s="22">
        <f>IFERROR(VLOOKUP(C148,'[1]TB DIN INCLUIDOS'!$B:$H,3,0),"AGUARDANDO ANEXO")</f>
        <v>0</v>
      </c>
      <c r="Q148" s="26" cm="1">
        <f t="array" ref="Q148">_xlfn.IFS((P148&gt;N148),(N148*2),(P148&lt;=N148),(P148*2))</f>
        <v>0</v>
      </c>
      <c r="R148" s="22"/>
      <c r="S148" s="26">
        <f>IFERROR(VLOOKUP(T148,Apoio!A:B,2,0),"")</f>
        <v>1</v>
      </c>
      <c r="T148" s="22">
        <v>22</v>
      </c>
      <c r="U148" s="22">
        <f>IFERROR(VLOOKUP(C148,'[1]TB DIN INCLUIDOS'!$B:$H,4,0),"AGUARDANDO ANEXO")</f>
        <v>0</v>
      </c>
      <c r="V148" s="26" cm="1">
        <f t="array" ref="V148">_xlfn.IFS((U148&gt;S148),(S148*2),(U148&lt;=S148),(U148*2))</f>
        <v>0</v>
      </c>
      <c r="W148" s="22"/>
      <c r="X148" s="26">
        <f>IFERROR(VLOOKUP(Y148,Apoio!A:B,2,0),"")</f>
        <v>2</v>
      </c>
      <c r="Y148" s="22">
        <v>47</v>
      </c>
      <c r="Z148" s="22">
        <f>IFERROR(VLOOKUP(C148,'[1]TB DIN INCLUIDOS'!$B:$H,5,0),"AGUARDANDO ANEXO")</f>
        <v>0</v>
      </c>
      <c r="AA148" s="26" cm="1">
        <f t="array" ref="AA148">_xlfn.IFS((Z148&gt;X148),(X148*2),(Z148&lt;=X148),(Z148*2))</f>
        <v>0</v>
      </c>
      <c r="AB148" s="22"/>
      <c r="AC148" s="26">
        <f>IFERROR(VLOOKUP(AD148,Apoio!A:B,2,0),"")</f>
        <v>3</v>
      </c>
      <c r="AD148" s="22">
        <v>59</v>
      </c>
      <c r="AE148" s="22">
        <f>IFERROR(VLOOKUP(C148,'[1]TB DIN INCLUIDOS'!$B:$H,6,0),"AGUARDANDO ANEXO")</f>
        <v>0</v>
      </c>
      <c r="AF148" s="26" cm="1">
        <f t="array" ref="AF148">_xlfn.IFS((AE148&gt;AC148),(AC148*2),(AE148&lt;=AC148),(AE148*2))</f>
        <v>0</v>
      </c>
      <c r="AG148" s="22"/>
      <c r="AH148" s="28">
        <f t="shared" si="14"/>
        <v>128</v>
      </c>
      <c r="AI148" s="28">
        <f t="shared" si="15"/>
        <v>0</v>
      </c>
      <c r="AJ148" s="28">
        <f t="shared" si="16"/>
        <v>0</v>
      </c>
      <c r="AK148" s="28">
        <f t="shared" si="17"/>
        <v>0</v>
      </c>
      <c r="AL148" s="28">
        <f t="shared" si="18"/>
        <v>0</v>
      </c>
      <c r="AM148" s="23" t="s">
        <v>1707</v>
      </c>
      <c r="AN148" s="37">
        <f>VLOOKUP(C148,'[2]MARÇO-2024'!$B:$M,12,0)</f>
        <v>72</v>
      </c>
      <c r="AO148" s="37">
        <f t="shared" si="19"/>
        <v>-56</v>
      </c>
      <c r="AP148" s="37" t="str">
        <f t="shared" si="20"/>
        <v/>
      </c>
    </row>
    <row r="149" spans="1:42" ht="13.5" customHeight="1" x14ac:dyDescent="0.25">
      <c r="A149" s="17">
        <v>4</v>
      </c>
      <c r="B149" s="17">
        <v>46</v>
      </c>
      <c r="C149" s="29">
        <v>4049</v>
      </c>
      <c r="D149" s="41"/>
      <c r="E149" s="18"/>
      <c r="F149" s="68"/>
      <c r="G149" s="62" t="s">
        <v>1748</v>
      </c>
      <c r="H149" s="19" t="s">
        <v>1669</v>
      </c>
      <c r="I149" s="19" t="s">
        <v>1669</v>
      </c>
      <c r="J149" s="19" t="s">
        <v>1783</v>
      </c>
      <c r="K149" s="20" t="s">
        <v>1577</v>
      </c>
      <c r="L149" s="21">
        <v>60</v>
      </c>
      <c r="M149" s="21"/>
      <c r="N149" s="26" t="str">
        <f>IFERROR(VLOOKUP(O149,Apoio!A:B,2,0),"")</f>
        <v/>
      </c>
      <c r="O149" s="22">
        <f>IFERROR(VLOOKUP(C149,'[1]TB DIN'!$B:$D,3,0),"AGUARDANDO ANEXO")</f>
        <v>0</v>
      </c>
      <c r="P149" s="22">
        <f>IFERROR(VLOOKUP(C149,'[1]TB DIN INCLUIDOS'!$B:$H,3,0),"AGUARDANDO ANEXO")</f>
        <v>0</v>
      </c>
      <c r="Q149" s="26" cm="1">
        <f t="array" ref="Q149">_xlfn.IFS((P149&gt;N149),(N149*2),(P149&lt;=N149),(P149*2))</f>
        <v>0</v>
      </c>
      <c r="R149" s="22"/>
      <c r="S149" s="26">
        <f>IFERROR(VLOOKUP(T149,Apoio!A:B,2,0),"")</f>
        <v>1</v>
      </c>
      <c r="T149" s="22">
        <f>IFERROR(VLOOKUP(C149,'[1]TB DIN'!$B:$H,4,0),"AGUARDANDO ANEXO")</f>
        <v>20</v>
      </c>
      <c r="U149" s="22">
        <f>IFERROR(VLOOKUP(C149,'[1]TB DIN INCLUIDOS'!$B:$H,4,0),"AGUARDANDO ANEXO")</f>
        <v>0</v>
      </c>
      <c r="V149" s="26" cm="1">
        <f t="array" ref="V149">_xlfn.IFS((U149&gt;S149),(S149*2),(U149&lt;=S149),(U149*2))</f>
        <v>0</v>
      </c>
      <c r="W149" s="22"/>
      <c r="X149" s="26">
        <f>IFERROR(VLOOKUP(Y149,Apoio!A:B,2,0),"")</f>
        <v>1</v>
      </c>
      <c r="Y149" s="22">
        <f>IFERROR(VLOOKUP(C149,'[1]TB DIN'!$B:$H,5,0),"AGUARDANDO ANEXO")</f>
        <v>25</v>
      </c>
      <c r="Z149" s="22">
        <f>IFERROR(VLOOKUP(C149,'[1]TB DIN INCLUIDOS'!$B:$H,5,0),"AGUARDANDO ANEXO")</f>
        <v>0</v>
      </c>
      <c r="AA149" s="26" cm="1">
        <f t="array" ref="AA149">_xlfn.IFS((Z149&gt;X149),(X149*2),(Z149&lt;=X149),(Z149*2))</f>
        <v>0</v>
      </c>
      <c r="AB149" s="22"/>
      <c r="AC149" s="26">
        <f>IFERROR(VLOOKUP(AD149,Apoio!A:B,2,0),"")</f>
        <v>1</v>
      </c>
      <c r="AD149" s="22">
        <f>IFERROR(VLOOKUP(C149,'[1]TB DIN'!$B:$H,6,0),"AGUARDANDO ANEXO")</f>
        <v>15</v>
      </c>
      <c r="AE149" s="22">
        <f>IFERROR(VLOOKUP(C149,'[1]TB DIN INCLUIDOS'!$B:$H,6,0),"AGUARDANDO ANEXO")</f>
        <v>0</v>
      </c>
      <c r="AF149" s="26" cm="1">
        <f t="array" ref="AF149">_xlfn.IFS((AE149&gt;AC149),(AC149*2),(AE149&lt;=AC149),(AE149*2))</f>
        <v>0</v>
      </c>
      <c r="AG149" s="22"/>
      <c r="AH149" s="28">
        <f t="shared" si="14"/>
        <v>60</v>
      </c>
      <c r="AI149" s="28">
        <f t="shared" si="15"/>
        <v>0</v>
      </c>
      <c r="AJ149" s="28">
        <f t="shared" si="16"/>
        <v>0</v>
      </c>
      <c r="AK149" s="28">
        <f t="shared" si="17"/>
        <v>0</v>
      </c>
      <c r="AL149" s="28">
        <f t="shared" si="18"/>
        <v>0</v>
      </c>
      <c r="AM149" s="23" t="s">
        <v>1709</v>
      </c>
      <c r="AN149" s="37">
        <f>VLOOKUP(C149,'[2]MARÇO-2024'!$B:$M,12,0)</f>
        <v>60</v>
      </c>
      <c r="AO149" s="37">
        <f t="shared" si="19"/>
        <v>0</v>
      </c>
      <c r="AP149" s="37" t="str">
        <f t="shared" si="20"/>
        <v/>
      </c>
    </row>
    <row r="150" spans="1:42" ht="13.5" customHeight="1" x14ac:dyDescent="0.25">
      <c r="A150" s="17">
        <v>4</v>
      </c>
      <c r="B150" s="17">
        <v>47</v>
      </c>
      <c r="C150" s="29">
        <v>4050</v>
      </c>
      <c r="D150" s="41"/>
      <c r="E150" s="18"/>
      <c r="F150" s="68"/>
      <c r="G150" s="62" t="s">
        <v>1718</v>
      </c>
      <c r="H150" s="19" t="s">
        <v>1670</v>
      </c>
      <c r="I150" s="19" t="s">
        <v>1670</v>
      </c>
      <c r="J150" s="19" t="s">
        <v>1784</v>
      </c>
      <c r="K150" s="20" t="s">
        <v>1570</v>
      </c>
      <c r="L150" s="21">
        <v>80</v>
      </c>
      <c r="M150" s="21"/>
      <c r="N150" s="26" t="str">
        <f>IFERROR(VLOOKUP(O150,Apoio!A:B,2,0),"")</f>
        <v/>
      </c>
      <c r="O150" s="22">
        <f>IFERROR(VLOOKUP(C150,'[1]TB DIN'!$B:$D,3,0),"AGUARDANDO ANEXO")</f>
        <v>0</v>
      </c>
      <c r="P150" s="22">
        <f>IFERROR(VLOOKUP(C150,'[1]TB DIN INCLUIDOS'!$B:$H,3,0),"AGUARDANDO ANEXO")</f>
        <v>0</v>
      </c>
      <c r="Q150" s="26" cm="1">
        <f t="array" ref="Q150">_xlfn.IFS((P150&gt;N150),(N150*2),(P150&lt;=N150),(P150*2))</f>
        <v>0</v>
      </c>
      <c r="R150" s="22"/>
      <c r="S150" s="26">
        <f>IFERROR(VLOOKUP(T150,Apoio!A:B,2,0),"")</f>
        <v>2</v>
      </c>
      <c r="T150" s="22">
        <v>28</v>
      </c>
      <c r="U150" s="22">
        <f>IFERROR(VLOOKUP(C150,'[1]TB DIN INCLUIDOS'!$B:$H,4,0),"AGUARDANDO ANEXO")</f>
        <v>0</v>
      </c>
      <c r="V150" s="26" cm="1">
        <f t="array" ref="V150">_xlfn.IFS((U150&gt;S150),(S150*2),(U150&lt;=S150),(U150*2))</f>
        <v>0</v>
      </c>
      <c r="W150" s="22"/>
      <c r="X150" s="26">
        <f>IFERROR(VLOOKUP(Y150,Apoio!A:B,2,0),"")</f>
        <v>2</v>
      </c>
      <c r="Y150" s="22">
        <v>30</v>
      </c>
      <c r="Z150" s="22">
        <f>IFERROR(VLOOKUP(C150,'[1]TB DIN INCLUIDOS'!$B:$H,5,0),"AGUARDANDO ANEXO")</f>
        <v>2</v>
      </c>
      <c r="AA150" s="26" cm="1">
        <f t="array" ref="AA150">_xlfn.IFS((Z150&gt;X150),(X150*2),(Z150&lt;=X150),(Z150*2))</f>
        <v>4</v>
      </c>
      <c r="AB150" s="22"/>
      <c r="AC150" s="26">
        <f>IFERROR(VLOOKUP(AD150,Apoio!A:B,2,0),"")</f>
        <v>1</v>
      </c>
      <c r="AD150" s="22">
        <f>IFERROR(VLOOKUP(C150,'[1]TB DIN'!$B:$H,6,0),"AGUARDANDO ANEXO")</f>
        <v>17</v>
      </c>
      <c r="AE150" s="22">
        <f>IFERROR(VLOOKUP(C150,'[1]TB DIN INCLUIDOS'!$B:$H,6,0),"AGUARDANDO ANEXO")</f>
        <v>1</v>
      </c>
      <c r="AF150" s="26" cm="1">
        <f t="array" ref="AF150">_xlfn.IFS((AE150&gt;AC150),(AC150*2),(AE150&lt;=AC150),(AE150*2))</f>
        <v>2</v>
      </c>
      <c r="AG150" s="22"/>
      <c r="AH150" s="28">
        <f t="shared" si="14"/>
        <v>75</v>
      </c>
      <c r="AI150" s="28">
        <f t="shared" si="15"/>
        <v>3</v>
      </c>
      <c r="AJ150" s="28">
        <f t="shared" si="16"/>
        <v>6</v>
      </c>
      <c r="AK150" s="28">
        <f t="shared" si="17"/>
        <v>0</v>
      </c>
      <c r="AL150" s="28">
        <f t="shared" si="18"/>
        <v>-1</v>
      </c>
      <c r="AM150" s="23" t="s">
        <v>1709</v>
      </c>
      <c r="AN150" s="37">
        <f>VLOOKUP(C150,'[2]MARÇO-2024'!$B:$M,12,0)</f>
        <v>76</v>
      </c>
      <c r="AO150" s="37">
        <f t="shared" si="19"/>
        <v>1</v>
      </c>
      <c r="AP150" s="37" t="str">
        <f t="shared" si="20"/>
        <v/>
      </c>
    </row>
    <row r="151" spans="1:42" ht="13.5" customHeight="1" x14ac:dyDescent="0.25">
      <c r="A151" s="17">
        <v>5</v>
      </c>
      <c r="B151" s="17">
        <v>1</v>
      </c>
      <c r="C151" s="29">
        <v>5001</v>
      </c>
      <c r="D151" s="38">
        <v>33096244</v>
      </c>
      <c r="E151" s="18" t="s">
        <v>462</v>
      </c>
      <c r="F151" s="68" t="s">
        <v>704</v>
      </c>
      <c r="G151" s="62" t="s">
        <v>206</v>
      </c>
      <c r="H151" s="19" t="s">
        <v>993</v>
      </c>
      <c r="I151" s="19" t="s">
        <v>1189</v>
      </c>
      <c r="J151" s="19" t="s">
        <v>1376</v>
      </c>
      <c r="K151" s="20" t="s">
        <v>1590</v>
      </c>
      <c r="L151" s="21">
        <v>115</v>
      </c>
      <c r="M151" s="21"/>
      <c r="N151" s="26">
        <f>IFERROR(VLOOKUP(O151,Apoio!A:B,2,0),"")</f>
        <v>1</v>
      </c>
      <c r="O151" s="22">
        <v>7</v>
      </c>
      <c r="P151" s="22">
        <f>IFERROR(VLOOKUP(C151,'[1]TB DIN INCLUIDOS'!$B:$H,3,0),"AGUARDANDO ANEXO")</f>
        <v>0</v>
      </c>
      <c r="Q151" s="26" cm="1">
        <f t="array" ref="Q151">_xlfn.IFS((P151&gt;N151),(N151*2),(P151&lt;=N151),(P151*2))</f>
        <v>0</v>
      </c>
      <c r="R151" s="22"/>
      <c r="S151" s="26">
        <f>IFERROR(VLOOKUP(T151,Apoio!A:B,2,0),"")</f>
        <v>2</v>
      </c>
      <c r="T151" s="22">
        <v>28</v>
      </c>
      <c r="U151" s="22">
        <f>IFERROR(VLOOKUP(C151,'[1]TB DIN INCLUIDOS'!$B:$H,4,0),"AGUARDANDO ANEXO")</f>
        <v>0</v>
      </c>
      <c r="V151" s="26" cm="1">
        <f t="array" ref="V151">_xlfn.IFS((U151&gt;S151),(S151*2),(U151&lt;=S151),(U151*2))</f>
        <v>0</v>
      </c>
      <c r="W151" s="22"/>
      <c r="X151" s="26">
        <f>IFERROR(VLOOKUP(Y151,Apoio!A:B,2,0),"")</f>
        <v>2</v>
      </c>
      <c r="Y151" s="22">
        <v>39</v>
      </c>
      <c r="Z151" s="22">
        <f>IFERROR(VLOOKUP(C151,'[1]TB DIN INCLUIDOS'!$B:$H,5,0),"AGUARDANDO ANEXO")</f>
        <v>0</v>
      </c>
      <c r="AA151" s="26" cm="1">
        <f t="array" ref="AA151">_xlfn.IFS((Z151&gt;X151),(X151*2),(Z151&lt;=X151),(Z151*2))</f>
        <v>0</v>
      </c>
      <c r="AB151" s="22"/>
      <c r="AC151" s="26">
        <f>IFERROR(VLOOKUP(AD151,Apoio!A:B,2,0),"")</f>
        <v>2</v>
      </c>
      <c r="AD151" s="22">
        <f>IFERROR(VLOOKUP(C151,'[1]TB DIN'!$B:$H,6,0),"AGUARDANDO ANEXO")</f>
        <v>40</v>
      </c>
      <c r="AE151" s="22">
        <f>IFERROR(VLOOKUP(C151,'[1]TB DIN INCLUIDOS'!$B:$H,6,0),"AGUARDANDO ANEXO")</f>
        <v>0</v>
      </c>
      <c r="AF151" s="26" cm="1">
        <f t="array" ref="AF151">_xlfn.IFS((AE151&gt;AC151),(AC151*2),(AE151&lt;=AC151),(AE151*2))</f>
        <v>0</v>
      </c>
      <c r="AG151" s="22"/>
      <c r="AH151" s="28">
        <f t="shared" si="14"/>
        <v>114</v>
      </c>
      <c r="AI151" s="28">
        <f t="shared" si="15"/>
        <v>0</v>
      </c>
      <c r="AJ151" s="28">
        <f t="shared" si="16"/>
        <v>0</v>
      </c>
      <c r="AK151" s="28">
        <f t="shared" si="17"/>
        <v>1</v>
      </c>
      <c r="AL151" s="28">
        <f t="shared" si="18"/>
        <v>0</v>
      </c>
      <c r="AM151" s="23" t="s">
        <v>1707</v>
      </c>
      <c r="AN151" s="37">
        <f>VLOOKUP(C151,'[2]MARÇO-2024'!$B:$M,12,0)</f>
        <v>114</v>
      </c>
      <c r="AO151" s="37">
        <f t="shared" si="19"/>
        <v>0</v>
      </c>
      <c r="AP151" s="37" t="str">
        <f t="shared" si="20"/>
        <v/>
      </c>
    </row>
    <row r="152" spans="1:42" ht="13.5" customHeight="1" x14ac:dyDescent="0.25">
      <c r="A152" s="17">
        <v>5</v>
      </c>
      <c r="B152" s="17">
        <v>2</v>
      </c>
      <c r="C152" s="29">
        <v>5002</v>
      </c>
      <c r="D152" s="38">
        <v>33122628</v>
      </c>
      <c r="E152" s="18" t="s">
        <v>469</v>
      </c>
      <c r="F152" s="68" t="s">
        <v>712</v>
      </c>
      <c r="G152" s="62" t="s">
        <v>214</v>
      </c>
      <c r="H152" s="19" t="s">
        <v>1191</v>
      </c>
      <c r="I152" s="19" t="s">
        <v>1191</v>
      </c>
      <c r="J152" s="19" t="s">
        <v>1384</v>
      </c>
      <c r="K152" s="20" t="s">
        <v>1591</v>
      </c>
      <c r="L152" s="21">
        <v>56</v>
      </c>
      <c r="M152" s="21"/>
      <c r="N152" s="26" t="str">
        <f>IFERROR(VLOOKUP(O152,Apoio!A:B,2,0),"")</f>
        <v/>
      </c>
      <c r="O152" s="22">
        <f>IFERROR(VLOOKUP(C152,'[1]TB DIN'!$B:$D,3,0),"AGUARDANDO ANEXO")</f>
        <v>0</v>
      </c>
      <c r="P152" s="22">
        <f>IFERROR(VLOOKUP(C152,'[1]TB DIN INCLUIDOS'!$B:$H,3,0),"AGUARDANDO ANEXO")</f>
        <v>0</v>
      </c>
      <c r="Q152" s="26" cm="1">
        <f t="array" ref="Q152">_xlfn.IFS((P152&gt;N152),(N152*2),(P152&lt;=N152),(P152*2))</f>
        <v>0</v>
      </c>
      <c r="R152" s="22"/>
      <c r="S152" s="26" t="str">
        <f>IFERROR(VLOOKUP(T152,Apoio!A:B,2,0),"")</f>
        <v/>
      </c>
      <c r="T152" s="22">
        <f>IFERROR(VLOOKUP(C152,'[1]TB DIN'!$B:$H,4,0),"AGUARDANDO ANEXO")</f>
        <v>0</v>
      </c>
      <c r="U152" s="22">
        <f>IFERROR(VLOOKUP(C152,'[1]TB DIN INCLUIDOS'!$B:$H,4,0),"AGUARDANDO ANEXO")</f>
        <v>0</v>
      </c>
      <c r="V152" s="26" cm="1">
        <f t="array" ref="V152">_xlfn.IFS((U152&gt;S152),(S152*2),(U152&lt;=S152),(U152*2))</f>
        <v>0</v>
      </c>
      <c r="W152" s="22"/>
      <c r="X152" s="26">
        <f>IFERROR(VLOOKUP(Y152,Apoio!A:B,2,0),"")</f>
        <v>1</v>
      </c>
      <c r="Y152" s="22">
        <v>23</v>
      </c>
      <c r="Z152" s="22">
        <f>IFERROR(VLOOKUP(C152,'[1]TB DIN INCLUIDOS'!$B:$H,5,0),"AGUARDANDO ANEXO")</f>
        <v>1</v>
      </c>
      <c r="AA152" s="26" cm="1">
        <f t="array" ref="AA152">_xlfn.IFS((Z152&gt;X152),(X152*2),(Z152&lt;=X152),(Z152*2))</f>
        <v>2</v>
      </c>
      <c r="AB152" s="22"/>
      <c r="AC152" s="26">
        <f>IFERROR(VLOOKUP(AD152,Apoio!A:B,2,0),"")</f>
        <v>2</v>
      </c>
      <c r="AD152" s="22">
        <f>IFERROR(VLOOKUP(C152,'[1]TB DIN'!$B:$H,6,0),"AGUARDANDO ANEXO")</f>
        <v>28</v>
      </c>
      <c r="AE152" s="22">
        <f>IFERROR(VLOOKUP(C152,'[1]TB DIN INCLUIDOS'!$B:$H,6,0),"AGUARDANDO ANEXO")</f>
        <v>1</v>
      </c>
      <c r="AF152" s="26" cm="1">
        <f t="array" ref="AF152">_xlfn.IFS((AE152&gt;AC152),(AC152*2),(AE152&lt;=AC152),(AE152*2))</f>
        <v>2</v>
      </c>
      <c r="AG152" s="22"/>
      <c r="AH152" s="28">
        <f t="shared" si="14"/>
        <v>51</v>
      </c>
      <c r="AI152" s="28">
        <f t="shared" si="15"/>
        <v>2</v>
      </c>
      <c r="AJ152" s="28">
        <f t="shared" si="16"/>
        <v>4</v>
      </c>
      <c r="AK152" s="28">
        <f t="shared" si="17"/>
        <v>1</v>
      </c>
      <c r="AL152" s="28">
        <f t="shared" si="18"/>
        <v>0</v>
      </c>
      <c r="AM152" s="23" t="s">
        <v>1707</v>
      </c>
      <c r="AN152" s="37">
        <f>VLOOKUP(C152,'[2]MARÇO-2024'!$B:$M,12,0)</f>
        <v>47</v>
      </c>
      <c r="AO152" s="37">
        <f t="shared" si="19"/>
        <v>-4</v>
      </c>
      <c r="AP152" s="37" t="str">
        <f t="shared" si="20"/>
        <v/>
      </c>
    </row>
    <row r="153" spans="1:42" ht="13.5" customHeight="1" x14ac:dyDescent="0.25">
      <c r="A153" s="17">
        <v>5</v>
      </c>
      <c r="B153" s="17">
        <v>3</v>
      </c>
      <c r="C153" s="29">
        <v>5003</v>
      </c>
      <c r="D153" s="38">
        <v>33122750</v>
      </c>
      <c r="E153" s="18" t="s">
        <v>470</v>
      </c>
      <c r="F153" s="68" t="s">
        <v>713</v>
      </c>
      <c r="G153" s="62" t="s">
        <v>215</v>
      </c>
      <c r="H153" s="19" t="s">
        <v>999</v>
      </c>
      <c r="I153" s="19" t="s">
        <v>1192</v>
      </c>
      <c r="J153" s="19" t="s">
        <v>1385</v>
      </c>
      <c r="K153" s="20" t="s">
        <v>1597</v>
      </c>
      <c r="L153" s="21">
        <v>47</v>
      </c>
      <c r="M153" s="21"/>
      <c r="N153" s="26" t="str">
        <f>IFERROR(VLOOKUP(O153,Apoio!A:B,2,0),"")</f>
        <v/>
      </c>
      <c r="O153" s="22">
        <f>IFERROR(VLOOKUP(C153,'[1]TB DIN'!$B:$D,3,0),"AGUARDANDO ANEXO")</f>
        <v>0</v>
      </c>
      <c r="P153" s="22">
        <f>IFERROR(VLOOKUP(C153,'[1]TB DIN INCLUIDOS'!$B:$H,3,0),"AGUARDANDO ANEXO")</f>
        <v>0</v>
      </c>
      <c r="Q153" s="26" cm="1">
        <f t="array" ref="Q153">_xlfn.IFS((P153&gt;N153),(N153*2),(P153&lt;=N153),(P153*2))</f>
        <v>0</v>
      </c>
      <c r="R153" s="22"/>
      <c r="S153" s="26" t="str">
        <f>IFERROR(VLOOKUP(T153,Apoio!A:B,2,0),"")</f>
        <v/>
      </c>
      <c r="T153" s="22">
        <f>IFERROR(VLOOKUP(C153,'[1]TB DIN'!$B:$H,4,0),"AGUARDANDO ANEXO")</f>
        <v>0</v>
      </c>
      <c r="U153" s="22">
        <f>IFERROR(VLOOKUP(C153,'[1]TB DIN INCLUIDOS'!$B:$H,4,0),"AGUARDANDO ANEXO")</f>
        <v>0</v>
      </c>
      <c r="V153" s="26" cm="1">
        <f t="array" ref="V153">_xlfn.IFS((U153&gt;S153),(S153*2),(U153&lt;=S153),(U153*2))</f>
        <v>0</v>
      </c>
      <c r="W153" s="22"/>
      <c r="X153" s="26">
        <f>IFERROR(VLOOKUP(Y153,Apoio!A:B,2,0),"")</f>
        <v>1</v>
      </c>
      <c r="Y153" s="22">
        <v>25</v>
      </c>
      <c r="Z153" s="22">
        <f>IFERROR(VLOOKUP(C153,'[1]TB DIN INCLUIDOS'!$B:$H,5,0),"AGUARDANDO ANEXO")</f>
        <v>0</v>
      </c>
      <c r="AA153" s="26" cm="1">
        <f t="array" ref="AA153">_xlfn.IFS((Z153&gt;X153),(X153*2),(Z153&lt;=X153),(Z153*2))</f>
        <v>0</v>
      </c>
      <c r="AB153" s="22"/>
      <c r="AC153" s="26">
        <f>IFERROR(VLOOKUP(AD153,Apoio!A:B,2,0),"")</f>
        <v>1</v>
      </c>
      <c r="AD153" s="22">
        <f>IFERROR(VLOOKUP(C153,'[1]TB DIN'!$B:$H,6,0),"AGUARDANDO ANEXO")</f>
        <v>22</v>
      </c>
      <c r="AE153" s="22">
        <f>IFERROR(VLOOKUP(C153,'[1]TB DIN INCLUIDOS'!$B:$H,6,0),"AGUARDANDO ANEXO")</f>
        <v>2</v>
      </c>
      <c r="AF153" s="26" cm="1">
        <f t="array" ref="AF153">_xlfn.IFS((AE153&gt;AC153),(AC153*2),(AE153&lt;=AC153),(AE153*2))</f>
        <v>2</v>
      </c>
      <c r="AG153" s="22"/>
      <c r="AH153" s="28">
        <f t="shared" si="14"/>
        <v>47</v>
      </c>
      <c r="AI153" s="28">
        <f t="shared" si="15"/>
        <v>2</v>
      </c>
      <c r="AJ153" s="28">
        <f t="shared" si="16"/>
        <v>2</v>
      </c>
      <c r="AK153" s="28">
        <f t="shared" si="17"/>
        <v>0</v>
      </c>
      <c r="AL153" s="28">
        <f t="shared" si="18"/>
        <v>-2</v>
      </c>
      <c r="AM153" s="23" t="s">
        <v>1707</v>
      </c>
      <c r="AN153" s="37">
        <f>VLOOKUP(C153,'[2]MARÇO-2024'!$B:$M,12,0)</f>
        <v>46</v>
      </c>
      <c r="AO153" s="37">
        <f t="shared" si="19"/>
        <v>-1</v>
      </c>
      <c r="AP153" s="37" t="str">
        <f t="shared" si="20"/>
        <v/>
      </c>
    </row>
    <row r="154" spans="1:42" ht="13.5" customHeight="1" x14ac:dyDescent="0.25">
      <c r="A154" s="17">
        <v>5</v>
      </c>
      <c r="B154" s="17">
        <v>4</v>
      </c>
      <c r="C154" s="29">
        <v>5004</v>
      </c>
      <c r="D154" s="38">
        <v>33122989</v>
      </c>
      <c r="E154" s="18" t="s">
        <v>467</v>
      </c>
      <c r="F154" s="68" t="s">
        <v>710</v>
      </c>
      <c r="G154" s="66" t="s">
        <v>212</v>
      </c>
      <c r="H154" s="19" t="s">
        <v>997</v>
      </c>
      <c r="I154" s="19" t="s">
        <v>1136</v>
      </c>
      <c r="J154" s="19" t="s">
        <v>1382</v>
      </c>
      <c r="K154" s="20" t="s">
        <v>1595</v>
      </c>
      <c r="L154" s="21">
        <v>65</v>
      </c>
      <c r="M154" s="21"/>
      <c r="N154" s="26" t="str">
        <f>IFERROR(VLOOKUP(O154,Apoio!A:B,2,0),"")</f>
        <v/>
      </c>
      <c r="O154" s="22">
        <f>IFERROR(VLOOKUP(C154,'[1]TB DIN'!$B:$D,3,0),"AGUARDANDO ANEXO")</f>
        <v>0</v>
      </c>
      <c r="P154" s="22">
        <f>IFERROR(VLOOKUP(C154,'[1]TB DIN INCLUIDOS'!$B:$H,3,0),"AGUARDANDO ANEXO")</f>
        <v>0</v>
      </c>
      <c r="Q154" s="26" cm="1">
        <f t="array" ref="Q154">_xlfn.IFS((P154&gt;N154),(N154*2),(P154&lt;=N154),(P154*2))</f>
        <v>0</v>
      </c>
      <c r="R154" s="22"/>
      <c r="S154" s="26" t="str">
        <f>IFERROR(VLOOKUP(T154,Apoio!A:B,2,0),"")</f>
        <v/>
      </c>
      <c r="T154" s="22">
        <f>IFERROR(VLOOKUP(C154,'[1]TB DIN'!$B:$H,4,0),"AGUARDANDO ANEXO")</f>
        <v>0</v>
      </c>
      <c r="U154" s="22">
        <f>IFERROR(VLOOKUP(C154,'[1]TB DIN INCLUIDOS'!$B:$H,4,0),"AGUARDANDO ANEXO")</f>
        <v>0</v>
      </c>
      <c r="V154" s="26" cm="1">
        <f t="array" ref="V154">_xlfn.IFS((U154&gt;S154),(S154*2),(U154&lt;=S154),(U154*2))</f>
        <v>0</v>
      </c>
      <c r="W154" s="22"/>
      <c r="X154" s="26">
        <f>IFERROR(VLOOKUP(Y154,Apoio!A:B,2,0),"")</f>
        <v>2</v>
      </c>
      <c r="Y154" s="22">
        <v>29</v>
      </c>
      <c r="Z154" s="22">
        <f>IFERROR(VLOOKUP(C154,'[1]TB DIN INCLUIDOS'!$B:$H,5,0),"AGUARDANDO ANEXO")</f>
        <v>1</v>
      </c>
      <c r="AA154" s="26" cm="1">
        <f t="array" ref="AA154">_xlfn.IFS((Z154&gt;X154),(X154*2),(Z154&lt;=X154),(Z154*2))</f>
        <v>2</v>
      </c>
      <c r="AB154" s="22"/>
      <c r="AC154" s="26">
        <f>IFERROR(VLOOKUP(AD154,Apoio!A:B,2,0),"")</f>
        <v>1</v>
      </c>
      <c r="AD154" s="22">
        <v>22</v>
      </c>
      <c r="AE154" s="22">
        <f>IFERROR(VLOOKUP(C154,'[1]TB DIN INCLUIDOS'!$B:$H,6,0),"AGUARDANDO ANEXO")</f>
        <v>1</v>
      </c>
      <c r="AF154" s="26" cm="1">
        <f t="array" ref="AF154">_xlfn.IFS((AE154&gt;AC154),(AC154*2),(AE154&lt;=AC154),(AE154*2))</f>
        <v>2</v>
      </c>
      <c r="AG154" s="22"/>
      <c r="AH154" s="28">
        <f t="shared" si="14"/>
        <v>51</v>
      </c>
      <c r="AI154" s="28">
        <f t="shared" si="15"/>
        <v>2</v>
      </c>
      <c r="AJ154" s="28">
        <f t="shared" si="16"/>
        <v>4</v>
      </c>
      <c r="AK154" s="28">
        <f t="shared" si="17"/>
        <v>10</v>
      </c>
      <c r="AL154" s="28">
        <f t="shared" si="18"/>
        <v>0</v>
      </c>
      <c r="AM154" s="23" t="s">
        <v>1707</v>
      </c>
      <c r="AN154" s="37">
        <f>VLOOKUP(C154,'[2]MARÇO-2024'!$B:$M,12,0)</f>
        <v>51</v>
      </c>
      <c r="AO154" s="37">
        <f t="shared" si="19"/>
        <v>0</v>
      </c>
      <c r="AP154" s="37" t="str">
        <f t="shared" si="20"/>
        <v/>
      </c>
    </row>
    <row r="155" spans="1:42" ht="13.5" customHeight="1" x14ac:dyDescent="0.25">
      <c r="A155" s="17">
        <v>5</v>
      </c>
      <c r="B155" s="17">
        <v>5</v>
      </c>
      <c r="C155" s="29">
        <v>5005</v>
      </c>
      <c r="D155" s="38">
        <v>33123039</v>
      </c>
      <c r="E155" s="18" t="s">
        <v>465</v>
      </c>
      <c r="F155" s="68" t="s">
        <v>708</v>
      </c>
      <c r="G155" s="62" t="s">
        <v>210</v>
      </c>
      <c r="H155" s="19" t="s">
        <v>995</v>
      </c>
      <c r="I155" s="19" t="s">
        <v>1136</v>
      </c>
      <c r="J155" s="19" t="s">
        <v>1380</v>
      </c>
      <c r="K155" s="20" t="s">
        <v>1593</v>
      </c>
      <c r="L155" s="21">
        <v>100</v>
      </c>
      <c r="M155" s="21"/>
      <c r="N155" s="26" t="str">
        <f>IFERROR(VLOOKUP(O155,Apoio!A:B,2,0),"")</f>
        <v/>
      </c>
      <c r="O155" s="22">
        <f>IFERROR(VLOOKUP(C155,'[1]TB DIN'!$B:$D,3,0),"AGUARDANDO ANEXO")</f>
        <v>0</v>
      </c>
      <c r="P155" s="22">
        <f>IFERROR(VLOOKUP(C155,'[1]TB DIN INCLUIDOS'!$B:$H,3,0),"AGUARDANDO ANEXO")</f>
        <v>0</v>
      </c>
      <c r="Q155" s="26" cm="1">
        <f t="array" ref="Q155">_xlfn.IFS((P155&gt;N155),(N155*2),(P155&lt;=N155),(P155*2))</f>
        <v>0</v>
      </c>
      <c r="R155" s="22"/>
      <c r="S155" s="26" t="str">
        <f>IFERROR(VLOOKUP(T155,Apoio!A:B,2,0),"")</f>
        <v/>
      </c>
      <c r="T155" s="22">
        <f>IFERROR(VLOOKUP(C155,'[1]TB DIN'!$B:$H,4,0),"AGUARDANDO ANEXO")</f>
        <v>0</v>
      </c>
      <c r="U155" s="22">
        <f>IFERROR(VLOOKUP(C155,'[1]TB DIN INCLUIDOS'!$B:$H,4,0),"AGUARDANDO ANEXO")</f>
        <v>0</v>
      </c>
      <c r="V155" s="26" cm="1">
        <f t="array" ref="V155">_xlfn.IFS((U155&gt;S155),(S155*2),(U155&lt;=S155),(U155*2))</f>
        <v>0</v>
      </c>
      <c r="W155" s="22"/>
      <c r="X155" s="26">
        <f>IFERROR(VLOOKUP(Y155,Apoio!A:B,2,0),"")</f>
        <v>3</v>
      </c>
      <c r="Y155" s="22">
        <f>IFERROR(VLOOKUP(C155,'[1]TB DIN'!$B:$H,5,0),"AGUARDANDO ANEXO")</f>
        <v>58</v>
      </c>
      <c r="Z155" s="22">
        <f>IFERROR(VLOOKUP(C155,'[1]TB DIN INCLUIDOS'!$B:$H,5,0),"AGUARDANDO ANEXO")</f>
        <v>1</v>
      </c>
      <c r="AA155" s="26" cm="1">
        <f t="array" ref="AA155">_xlfn.IFS((Z155&gt;X155),(X155*2),(Z155&lt;=X155),(Z155*2))</f>
        <v>2</v>
      </c>
      <c r="AB155" s="22"/>
      <c r="AC155" s="26">
        <f>IFERROR(VLOOKUP(AD155,Apoio!A:B,2,0),"")</f>
        <v>2</v>
      </c>
      <c r="AD155" s="22">
        <f>IFERROR(VLOOKUP(C155,'[1]TB DIN'!$B:$H,6,0),"AGUARDANDO ANEXO")</f>
        <v>40</v>
      </c>
      <c r="AE155" s="22">
        <f>IFERROR(VLOOKUP(C155,'[1]TB DIN INCLUIDOS'!$B:$H,6,0),"AGUARDANDO ANEXO")</f>
        <v>0</v>
      </c>
      <c r="AF155" s="26" cm="1">
        <f t="array" ref="AF155">_xlfn.IFS((AE155&gt;AC155),(AC155*2),(AE155&lt;=AC155),(AE155*2))</f>
        <v>0</v>
      </c>
      <c r="AG155" s="22"/>
      <c r="AH155" s="28">
        <f t="shared" si="14"/>
        <v>98</v>
      </c>
      <c r="AI155" s="28">
        <f t="shared" si="15"/>
        <v>1</v>
      </c>
      <c r="AJ155" s="28">
        <f t="shared" si="16"/>
        <v>2</v>
      </c>
      <c r="AK155" s="28">
        <f t="shared" si="17"/>
        <v>0</v>
      </c>
      <c r="AL155" s="28">
        <f t="shared" si="18"/>
        <v>0</v>
      </c>
      <c r="AM155" s="23" t="s">
        <v>1707</v>
      </c>
      <c r="AN155" s="37">
        <f>VLOOKUP(C155,'[2]MARÇO-2024'!$B:$M,12,0)</f>
        <v>98</v>
      </c>
      <c r="AO155" s="37">
        <f t="shared" si="19"/>
        <v>0</v>
      </c>
      <c r="AP155" s="37" t="str">
        <f t="shared" si="20"/>
        <v/>
      </c>
    </row>
    <row r="156" spans="1:42" ht="13.5" customHeight="1" x14ac:dyDescent="0.25">
      <c r="A156" s="17">
        <v>5</v>
      </c>
      <c r="B156" s="17">
        <v>6</v>
      </c>
      <c r="C156" s="29">
        <v>5006</v>
      </c>
      <c r="D156" s="38">
        <v>33123659</v>
      </c>
      <c r="E156" s="18" t="s">
        <v>466</v>
      </c>
      <c r="F156" s="68" t="s">
        <v>709</v>
      </c>
      <c r="G156" s="62" t="s">
        <v>211</v>
      </c>
      <c r="H156" s="19" t="s">
        <v>996</v>
      </c>
      <c r="I156" s="19" t="s">
        <v>1190</v>
      </c>
      <c r="J156" s="19" t="s">
        <v>1381</v>
      </c>
      <c r="K156" s="20" t="s">
        <v>1594</v>
      </c>
      <c r="L156" s="21">
        <v>200</v>
      </c>
      <c r="M156" s="21"/>
      <c r="N156" s="26" t="str">
        <f>IFERROR(VLOOKUP(O156,Apoio!A:B,2,0),"")</f>
        <v/>
      </c>
      <c r="O156" s="22">
        <f>IFERROR(VLOOKUP(C156,'[1]TB DIN'!$B:$D,3,0),"AGUARDANDO ANEXO")</f>
        <v>0</v>
      </c>
      <c r="P156" s="22">
        <f>IFERROR(VLOOKUP(C156,'[1]TB DIN INCLUIDOS'!$B:$H,3,0),"AGUARDANDO ANEXO")</f>
        <v>0</v>
      </c>
      <c r="Q156" s="26" cm="1">
        <f t="array" ref="Q156">_xlfn.IFS((P156&gt;N156),(N156*2),(P156&lt;=N156),(P156*2))</f>
        <v>0</v>
      </c>
      <c r="R156" s="22"/>
      <c r="S156" s="26">
        <f>IFERROR(VLOOKUP(T156,Apoio!A:B,2,0),"")</f>
        <v>2</v>
      </c>
      <c r="T156" s="22">
        <f>IFERROR(VLOOKUP(C156,'[1]TB DIN'!$B:$H,4,0),"AGUARDANDO ANEXO")</f>
        <v>36</v>
      </c>
      <c r="U156" s="22">
        <f>IFERROR(VLOOKUP(C156,'[1]TB DIN INCLUIDOS'!$B:$H,4,0),"AGUARDANDO ANEXO")</f>
        <v>0</v>
      </c>
      <c r="V156" s="26" cm="1">
        <f t="array" ref="V156">_xlfn.IFS((U156&gt;S156),(S156*2),(U156&lt;=S156),(U156*2))</f>
        <v>0</v>
      </c>
      <c r="W156" s="22"/>
      <c r="X156" s="26">
        <f>IFERROR(VLOOKUP(Y156,Apoio!A:B,2,0),"")</f>
        <v>3</v>
      </c>
      <c r="Y156" s="22">
        <f>IFERROR(VLOOKUP(C156,'[1]TB DIN'!$B:$H,5,0),"AGUARDANDO ANEXO")</f>
        <v>72</v>
      </c>
      <c r="Z156" s="22">
        <v>5</v>
      </c>
      <c r="AA156" s="26" cm="1">
        <f t="array" ref="AA156">_xlfn.IFS((Z156&gt;X156),(X156*2),(Z156&lt;=X156),(Z156*2))</f>
        <v>6</v>
      </c>
      <c r="AB156" s="22"/>
      <c r="AC156" s="26">
        <f>IFERROR(VLOOKUP(AD156,Apoio!A:B,2,0),"")</f>
        <v>4</v>
      </c>
      <c r="AD156" s="22">
        <f>IFERROR(VLOOKUP(C156,'[1]TB DIN'!$B:$H,6,0),"AGUARDANDO ANEXO")</f>
        <v>80</v>
      </c>
      <c r="AE156" s="22">
        <f>IFERROR(VLOOKUP(C156,'[1]TB DIN INCLUIDOS'!$B:$H,6,0),"AGUARDANDO ANEXO")</f>
        <v>2</v>
      </c>
      <c r="AF156" s="26" cm="1">
        <f t="array" ref="AF156">_xlfn.IFS((AE156&gt;AC156),(AC156*2),(AE156&lt;=AC156),(AE156*2))</f>
        <v>4</v>
      </c>
      <c r="AG156" s="22"/>
      <c r="AH156" s="28">
        <f t="shared" si="14"/>
        <v>188</v>
      </c>
      <c r="AI156" s="28">
        <f t="shared" si="15"/>
        <v>7</v>
      </c>
      <c r="AJ156" s="28">
        <f t="shared" si="16"/>
        <v>10</v>
      </c>
      <c r="AK156" s="28">
        <f t="shared" si="17"/>
        <v>2</v>
      </c>
      <c r="AL156" s="28">
        <f t="shared" si="18"/>
        <v>0</v>
      </c>
      <c r="AM156" s="23" t="s">
        <v>1707</v>
      </c>
      <c r="AN156" s="37">
        <f>VLOOKUP(C156,'[2]MARÇO-2024'!$B:$M,12,0)</f>
        <v>188</v>
      </c>
      <c r="AO156" s="37">
        <f t="shared" si="19"/>
        <v>0</v>
      </c>
      <c r="AP156" s="37" t="str">
        <f t="shared" si="20"/>
        <v/>
      </c>
    </row>
    <row r="157" spans="1:42" ht="13.5" customHeight="1" x14ac:dyDescent="0.25">
      <c r="A157" s="17">
        <v>5</v>
      </c>
      <c r="B157" s="17">
        <v>7</v>
      </c>
      <c r="C157" s="29">
        <v>5007</v>
      </c>
      <c r="D157" s="38">
        <v>33191670</v>
      </c>
      <c r="E157" s="18" t="s">
        <v>468</v>
      </c>
      <c r="F157" s="68" t="s">
        <v>711</v>
      </c>
      <c r="G157" s="62" t="s">
        <v>213</v>
      </c>
      <c r="H157" s="19" t="s">
        <v>998</v>
      </c>
      <c r="I157" s="19" t="s">
        <v>998</v>
      </c>
      <c r="J157" s="19" t="s">
        <v>1383</v>
      </c>
      <c r="K157" s="20" t="s">
        <v>1596</v>
      </c>
      <c r="L157" s="21">
        <v>55</v>
      </c>
      <c r="M157" s="21"/>
      <c r="N157" s="26" t="str">
        <f>IFERROR(VLOOKUP(O157,Apoio!A:B,2,0),"")</f>
        <v/>
      </c>
      <c r="O157" s="22">
        <f>IFERROR(VLOOKUP(C157,'[1]TB DIN'!$B:$D,3,0),"AGUARDANDO ANEXO")</f>
        <v>0</v>
      </c>
      <c r="P157" s="22">
        <f>IFERROR(VLOOKUP(C157,'[1]TB DIN INCLUIDOS'!$B:$H,3,0),"AGUARDANDO ANEXO")</f>
        <v>0</v>
      </c>
      <c r="Q157" s="26" cm="1">
        <f t="array" ref="Q157">_xlfn.IFS((P157&gt;N157),(N157*2),(P157&lt;=N157),(P157*2))</f>
        <v>0</v>
      </c>
      <c r="R157" s="22"/>
      <c r="S157" s="26" t="str">
        <f>IFERROR(VLOOKUP(T157,Apoio!A:B,2,0),"")</f>
        <v/>
      </c>
      <c r="T157" s="22">
        <f>IFERROR(VLOOKUP(C157,'[1]TB DIN'!$B:$H,4,0),"AGUARDANDO ANEXO")</f>
        <v>0</v>
      </c>
      <c r="U157" s="22">
        <f>IFERROR(VLOOKUP(C157,'[1]TB DIN INCLUIDOS'!$B:$H,4,0),"AGUARDANDO ANEXO")</f>
        <v>0</v>
      </c>
      <c r="V157" s="26" cm="1">
        <f t="array" ref="V157">_xlfn.IFS((U157&gt;S157),(S157*2),(U157&lt;=S157),(U157*2))</f>
        <v>0</v>
      </c>
      <c r="W157" s="22"/>
      <c r="X157" s="26">
        <f>IFERROR(VLOOKUP(Y157,Apoio!A:B,2,0),"")</f>
        <v>2</v>
      </c>
      <c r="Y157" s="22">
        <v>26</v>
      </c>
      <c r="Z157" s="22">
        <f>IFERROR(VLOOKUP(C157,'[1]TB DIN INCLUIDOS'!$B:$H,5,0),"AGUARDANDO ANEXO")</f>
        <v>0</v>
      </c>
      <c r="AA157" s="26" cm="1">
        <f t="array" ref="AA157">_xlfn.IFS((Z157&gt;X157),(X157*2),(Z157&lt;=X157),(Z157*2))</f>
        <v>0</v>
      </c>
      <c r="AB157" s="22"/>
      <c r="AC157" s="26">
        <f>IFERROR(VLOOKUP(AD157,Apoio!A:B,2,0),"")</f>
        <v>2</v>
      </c>
      <c r="AD157" s="22">
        <v>29</v>
      </c>
      <c r="AE157" s="22">
        <f>IFERROR(VLOOKUP(C157,'[1]TB DIN INCLUIDOS'!$B:$H,6,0),"AGUARDANDO ANEXO")</f>
        <v>0</v>
      </c>
      <c r="AF157" s="26" cm="1">
        <f t="array" ref="AF157">_xlfn.IFS((AE157&gt;AC157),(AC157*2),(AE157&lt;=AC157),(AE157*2))</f>
        <v>0</v>
      </c>
      <c r="AG157" s="22"/>
      <c r="AH157" s="28">
        <f t="shared" si="14"/>
        <v>55</v>
      </c>
      <c r="AI157" s="28">
        <f t="shared" si="15"/>
        <v>0</v>
      </c>
      <c r="AJ157" s="28">
        <f t="shared" si="16"/>
        <v>0</v>
      </c>
      <c r="AK157" s="28">
        <f t="shared" si="17"/>
        <v>0</v>
      </c>
      <c r="AL157" s="28">
        <f t="shared" si="18"/>
        <v>0</v>
      </c>
      <c r="AM157" s="23" t="s">
        <v>1707</v>
      </c>
      <c r="AN157" s="37">
        <f>VLOOKUP(C157,'[2]MARÇO-2024'!$B:$M,12,0)</f>
        <v>55</v>
      </c>
      <c r="AO157" s="37">
        <f t="shared" si="19"/>
        <v>0</v>
      </c>
      <c r="AP157" s="37" t="str">
        <f t="shared" si="20"/>
        <v/>
      </c>
    </row>
    <row r="158" spans="1:42" ht="13.5" customHeight="1" x14ac:dyDescent="0.25">
      <c r="A158" s="17">
        <v>5</v>
      </c>
      <c r="B158" s="17">
        <v>8</v>
      </c>
      <c r="C158" s="29">
        <v>5008</v>
      </c>
      <c r="D158" s="38">
        <v>33190682</v>
      </c>
      <c r="E158" s="18" t="s">
        <v>464</v>
      </c>
      <c r="F158" s="68" t="s">
        <v>707</v>
      </c>
      <c r="G158" s="62" t="s">
        <v>209</v>
      </c>
      <c r="H158" s="19" t="s">
        <v>31</v>
      </c>
      <c r="I158" s="19" t="s">
        <v>31</v>
      </c>
      <c r="J158" s="19" t="s">
        <v>1379</v>
      </c>
      <c r="K158" s="20" t="s">
        <v>1592</v>
      </c>
      <c r="L158" s="21">
        <v>152</v>
      </c>
      <c r="M158" s="21"/>
      <c r="N158" s="26" t="str">
        <f>IFERROR(VLOOKUP(O158,Apoio!A:B,2,0),"")</f>
        <v/>
      </c>
      <c r="O158" s="22">
        <f>IFERROR(VLOOKUP(C158,'[1]TB DIN'!$B:$D,3,0),"AGUARDANDO ANEXO")</f>
        <v>0</v>
      </c>
      <c r="P158" s="22">
        <f>IFERROR(VLOOKUP(C158,'[1]TB DIN INCLUIDOS'!$B:$H,3,0),"AGUARDANDO ANEXO")</f>
        <v>0</v>
      </c>
      <c r="Q158" s="26" cm="1">
        <f t="array" ref="Q158">_xlfn.IFS((P158&gt;N158),(N158*2),(P158&lt;=N158),(P158*2))</f>
        <v>0</v>
      </c>
      <c r="R158" s="22"/>
      <c r="S158" s="26">
        <f>IFERROR(VLOOKUP(T158,Apoio!A:B,2,0),"")</f>
        <v>3</v>
      </c>
      <c r="T158" s="22">
        <v>63</v>
      </c>
      <c r="U158" s="22">
        <f>IFERROR(VLOOKUP(C158,'[1]TB DIN INCLUIDOS'!$B:$H,4,0),"AGUARDANDO ANEXO")</f>
        <v>0</v>
      </c>
      <c r="V158" s="26" cm="1">
        <f t="array" ref="V158">_xlfn.IFS((U158&gt;S158),(S158*2),(U158&lt;=S158),(U158*2))</f>
        <v>0</v>
      </c>
      <c r="W158" s="22"/>
      <c r="X158" s="26">
        <f>IFERROR(VLOOKUP(Y158,Apoio!A:B,2,0),"")</f>
        <v>1</v>
      </c>
      <c r="Y158" s="22">
        <f>IFERROR(VLOOKUP(C158,'[1]TB DIN'!$B:$H,5,0),"AGUARDANDO ANEXO")</f>
        <v>24</v>
      </c>
      <c r="Z158" s="22">
        <f>IFERROR(VLOOKUP(C158,'[1]TB DIN INCLUIDOS'!$B:$H,5,0),"AGUARDANDO ANEXO")</f>
        <v>0</v>
      </c>
      <c r="AA158" s="26" cm="1">
        <f t="array" ref="AA158">_xlfn.IFS((Z158&gt;X158),(X158*2),(Z158&lt;=X158),(Z158*2))</f>
        <v>0</v>
      </c>
      <c r="AB158" s="22"/>
      <c r="AC158" s="26">
        <f>IFERROR(VLOOKUP(AD158,Apoio!A:B,2,0),"")</f>
        <v>3</v>
      </c>
      <c r="AD158" s="22">
        <f>IFERROR(VLOOKUP(C158,'[1]TB DIN'!$B:$H,6,0),"AGUARDANDO ANEXO")</f>
        <v>61</v>
      </c>
      <c r="AE158" s="22">
        <f>IFERROR(VLOOKUP(C158,'[1]TB DIN INCLUIDOS'!$B:$H,6,0),"AGUARDANDO ANEXO")</f>
        <v>2</v>
      </c>
      <c r="AF158" s="26" cm="1">
        <f t="array" ref="AF158">_xlfn.IFS((AE158&gt;AC158),(AC158*2),(AE158&lt;=AC158),(AE158*2))</f>
        <v>4</v>
      </c>
      <c r="AG158" s="22"/>
      <c r="AH158" s="28">
        <f t="shared" si="14"/>
        <v>148</v>
      </c>
      <c r="AI158" s="28">
        <f t="shared" si="15"/>
        <v>2</v>
      </c>
      <c r="AJ158" s="28">
        <f t="shared" si="16"/>
        <v>4</v>
      </c>
      <c r="AK158" s="28">
        <f t="shared" si="17"/>
        <v>0</v>
      </c>
      <c r="AL158" s="28">
        <f t="shared" si="18"/>
        <v>0</v>
      </c>
      <c r="AM158" s="23" t="s">
        <v>1707</v>
      </c>
      <c r="AN158" s="37">
        <f>VLOOKUP(C158,'[2]MARÇO-2024'!$B:$M,12,0)</f>
        <v>148</v>
      </c>
      <c r="AO158" s="37">
        <f t="shared" si="19"/>
        <v>0</v>
      </c>
      <c r="AP158" s="37" t="str">
        <f t="shared" si="20"/>
        <v/>
      </c>
    </row>
    <row r="159" spans="1:42" ht="13.5" customHeight="1" x14ac:dyDescent="0.25">
      <c r="A159" s="17">
        <v>5</v>
      </c>
      <c r="B159" s="17">
        <v>9</v>
      </c>
      <c r="C159" s="29">
        <v>5009</v>
      </c>
      <c r="D159" s="38">
        <v>33191921</v>
      </c>
      <c r="E159" s="18" t="s">
        <v>463</v>
      </c>
      <c r="F159" s="68" t="s">
        <v>706</v>
      </c>
      <c r="G159" s="62" t="s">
        <v>208</v>
      </c>
      <c r="H159" s="19" t="s">
        <v>994</v>
      </c>
      <c r="I159" s="19" t="s">
        <v>39</v>
      </c>
      <c r="J159" s="19" t="s">
        <v>1378</v>
      </c>
      <c r="K159" s="20" t="s">
        <v>1591</v>
      </c>
      <c r="L159" s="21">
        <v>229</v>
      </c>
      <c r="M159" s="21"/>
      <c r="N159" s="26" t="str">
        <f>IFERROR(VLOOKUP(O159,Apoio!A:B,2,0),"")</f>
        <v/>
      </c>
      <c r="O159" s="22">
        <f>IFERROR(VLOOKUP(C159,'[1]TB DIN'!$B:$D,3,0),"AGUARDANDO ANEXO")</f>
        <v>0</v>
      </c>
      <c r="P159" s="22">
        <f>IFERROR(VLOOKUP(C159,'[1]TB DIN INCLUIDOS'!$B:$H,3,0),"AGUARDANDO ANEXO")</f>
        <v>0</v>
      </c>
      <c r="Q159" s="26" cm="1">
        <f t="array" ref="Q159">_xlfn.IFS((P159&gt;N159),(N159*2),(P159&lt;=N159),(P159*2))</f>
        <v>0</v>
      </c>
      <c r="R159" s="22"/>
      <c r="S159" s="26">
        <f>IFERROR(VLOOKUP(T159,Apoio!A:B,2,0),"")</f>
        <v>2</v>
      </c>
      <c r="T159" s="22">
        <f>IFERROR(VLOOKUP(C159,'[1]TB DIN'!$B:$H,4,0),"AGUARDANDO ANEXO")</f>
        <v>48</v>
      </c>
      <c r="U159" s="22">
        <f>IFERROR(VLOOKUP(C159,'[1]TB DIN INCLUIDOS'!$B:$H,4,0),"AGUARDANDO ANEXO")</f>
        <v>0</v>
      </c>
      <c r="V159" s="26" cm="1">
        <f t="array" ref="V159">_xlfn.IFS((U159&gt;S159),(S159*2),(U159&lt;=S159),(U159*2))</f>
        <v>0</v>
      </c>
      <c r="W159" s="22"/>
      <c r="X159" s="26">
        <f>IFERROR(VLOOKUP(Y159,Apoio!A:B,2,0),"")</f>
        <v>4</v>
      </c>
      <c r="Y159" s="22">
        <v>93</v>
      </c>
      <c r="Z159" s="22">
        <f>IFERROR(VLOOKUP(C159,'[1]TB DIN INCLUIDOS'!$B:$H,5,0),"AGUARDANDO ANEXO")</f>
        <v>0</v>
      </c>
      <c r="AA159" s="26" cm="1">
        <f t="array" ref="AA159">_xlfn.IFS((Z159&gt;X159),(X159*2),(Z159&lt;=X159),(Z159*2))</f>
        <v>0</v>
      </c>
      <c r="AB159" s="22"/>
      <c r="AC159" s="26">
        <f>IFERROR(VLOOKUP(AD159,Apoio!A:B,2,0),"")</f>
        <v>4</v>
      </c>
      <c r="AD159" s="22">
        <v>84</v>
      </c>
      <c r="AE159" s="22">
        <f>IFERROR(VLOOKUP(C159,'[1]TB DIN INCLUIDOS'!$B:$H,6,0),"AGUARDANDO ANEXO")</f>
        <v>2</v>
      </c>
      <c r="AF159" s="26" cm="1">
        <f t="array" ref="AF159">_xlfn.IFS((AE159&gt;AC159),(AC159*2),(AE159&lt;=AC159),(AE159*2))</f>
        <v>4</v>
      </c>
      <c r="AG159" s="22"/>
      <c r="AH159" s="28">
        <f t="shared" si="14"/>
        <v>225</v>
      </c>
      <c r="AI159" s="28">
        <f t="shared" si="15"/>
        <v>2</v>
      </c>
      <c r="AJ159" s="28">
        <f t="shared" si="16"/>
        <v>4</v>
      </c>
      <c r="AK159" s="28">
        <f t="shared" si="17"/>
        <v>0</v>
      </c>
      <c r="AL159" s="28">
        <f t="shared" si="18"/>
        <v>0</v>
      </c>
      <c r="AM159" s="23" t="s">
        <v>1707</v>
      </c>
      <c r="AN159" s="37">
        <f>VLOOKUP(C159,'[2]MARÇO-2024'!$B:$M,12,0)</f>
        <v>225</v>
      </c>
      <c r="AO159" s="37">
        <f t="shared" si="19"/>
        <v>0</v>
      </c>
      <c r="AP159" s="37" t="str">
        <f t="shared" si="20"/>
        <v/>
      </c>
    </row>
    <row r="160" spans="1:42" ht="13.5" customHeight="1" x14ac:dyDescent="0.25">
      <c r="A160" s="17">
        <v>5</v>
      </c>
      <c r="B160" s="17">
        <v>10</v>
      </c>
      <c r="C160" s="29">
        <v>5010</v>
      </c>
      <c r="D160" s="38">
        <v>33192154</v>
      </c>
      <c r="E160" s="18" t="s">
        <v>437</v>
      </c>
      <c r="F160" s="68" t="s">
        <v>705</v>
      </c>
      <c r="G160" s="62" t="s">
        <v>207</v>
      </c>
      <c r="H160" s="19" t="s">
        <v>865</v>
      </c>
      <c r="I160" s="19" t="s">
        <v>1174</v>
      </c>
      <c r="J160" s="19" t="s">
        <v>1377</v>
      </c>
      <c r="K160" s="20" t="s">
        <v>1591</v>
      </c>
      <c r="L160" s="21">
        <v>484</v>
      </c>
      <c r="M160" s="21"/>
      <c r="N160" s="26" t="str">
        <f>IFERROR(VLOOKUP(O160,Apoio!A:B,2,0),"")</f>
        <v/>
      </c>
      <c r="O160" s="22">
        <f>IFERROR(VLOOKUP(C160,'[1]TB DIN'!$B:$D,3,0),"AGUARDANDO ANEXO")</f>
        <v>0</v>
      </c>
      <c r="P160" s="22">
        <f>IFERROR(VLOOKUP(C160,'[1]TB DIN INCLUIDOS'!$B:$H,3,0),"AGUARDANDO ANEXO")</f>
        <v>0</v>
      </c>
      <c r="Q160" s="26" cm="1">
        <f t="array" ref="Q160">_xlfn.IFS((P160&gt;N160),(N160*2),(P160&lt;=N160),(P160*2))</f>
        <v>0</v>
      </c>
      <c r="R160" s="22"/>
      <c r="S160" s="26">
        <f>IFERROR(VLOOKUP(T160,Apoio!A:B,2,0),"")</f>
        <v>4</v>
      </c>
      <c r="T160" s="22">
        <v>96</v>
      </c>
      <c r="U160" s="22">
        <f>IFERROR(VLOOKUP(C160,'[1]TB DIN INCLUIDOS'!$B:$H,4,0),"AGUARDANDO ANEXO")</f>
        <v>0</v>
      </c>
      <c r="V160" s="26" cm="1">
        <f t="array" ref="V160">_xlfn.IFS((U160&gt;S160),(S160*2),(U160&lt;=S160),(U160*2))</f>
        <v>0</v>
      </c>
      <c r="W160" s="22"/>
      <c r="X160" s="26">
        <f>IFERROR(VLOOKUP(Y160,Apoio!A:B,2,0),"")</f>
        <v>8</v>
      </c>
      <c r="Y160" s="22">
        <v>184</v>
      </c>
      <c r="Z160" s="22">
        <f>IFERROR(VLOOKUP(C160,'[1]TB DIN INCLUIDOS'!$B:$H,5,0),"AGUARDANDO ANEXO")</f>
        <v>2</v>
      </c>
      <c r="AA160" s="26" cm="1">
        <f t="array" ref="AA160">_xlfn.IFS((Z160&gt;X160),(X160*2),(Z160&lt;=X160),(Z160*2))</f>
        <v>4</v>
      </c>
      <c r="AB160" s="22"/>
      <c r="AC160" s="26">
        <f>IFERROR(VLOOKUP(AD160,Apoio!A:B,2,0),"")</f>
        <v>8</v>
      </c>
      <c r="AD160" s="22">
        <v>196</v>
      </c>
      <c r="AE160" s="22">
        <v>2</v>
      </c>
      <c r="AF160" s="26" cm="1">
        <f t="array" ref="AF160">_xlfn.IFS((AE160&gt;AC160),(AC160*2),(AE160&lt;=AC160),(AE160*2))</f>
        <v>4</v>
      </c>
      <c r="AG160" s="22"/>
      <c r="AH160" s="28">
        <f t="shared" si="14"/>
        <v>476</v>
      </c>
      <c r="AI160" s="28">
        <f t="shared" si="15"/>
        <v>4</v>
      </c>
      <c r="AJ160" s="28">
        <f t="shared" si="16"/>
        <v>8</v>
      </c>
      <c r="AK160" s="28">
        <f t="shared" si="17"/>
        <v>0</v>
      </c>
      <c r="AL160" s="28">
        <f t="shared" si="18"/>
        <v>0</v>
      </c>
      <c r="AM160" s="23" t="s">
        <v>1707</v>
      </c>
      <c r="AN160" s="37">
        <f>VLOOKUP(C160,'[2]MARÇO-2024'!$B:$M,12,0)</f>
        <v>465</v>
      </c>
      <c r="AO160" s="37">
        <f t="shared" si="19"/>
        <v>-11</v>
      </c>
      <c r="AP160" s="37" t="str">
        <f t="shared" si="20"/>
        <v/>
      </c>
    </row>
    <row r="161" spans="1:42" ht="13.5" customHeight="1" x14ac:dyDescent="0.25">
      <c r="A161" s="17">
        <v>5</v>
      </c>
      <c r="B161" s="17">
        <v>11</v>
      </c>
      <c r="C161" s="29">
        <v>5012</v>
      </c>
      <c r="D161" s="38">
        <v>33192138</v>
      </c>
      <c r="E161" s="18" t="s">
        <v>437</v>
      </c>
      <c r="F161" s="68" t="s">
        <v>714</v>
      </c>
      <c r="G161" s="62" t="s">
        <v>216</v>
      </c>
      <c r="H161" s="19" t="s">
        <v>1000</v>
      </c>
      <c r="I161" s="19" t="s">
        <v>1174</v>
      </c>
      <c r="J161" s="19" t="s">
        <v>1386</v>
      </c>
      <c r="K161" s="20" t="s">
        <v>1582</v>
      </c>
      <c r="L161" s="21">
        <v>269</v>
      </c>
      <c r="M161" s="21"/>
      <c r="N161" s="26" t="str">
        <f>IFERROR(VLOOKUP(O161,Apoio!A:B,2,0),"")</f>
        <v/>
      </c>
      <c r="O161" s="22">
        <f>IFERROR(VLOOKUP(C161,'[1]TB DIN'!$B:$D,3,0),"AGUARDANDO ANEXO")</f>
        <v>0</v>
      </c>
      <c r="P161" s="22">
        <f>IFERROR(VLOOKUP(C161,'[1]TB DIN INCLUIDOS'!$B:$H,3,0),"AGUARDANDO ANEXO")</f>
        <v>0</v>
      </c>
      <c r="Q161" s="26" cm="1">
        <f t="array" ref="Q161">_xlfn.IFS((P161&gt;N161),(N161*2),(P161&lt;=N161),(P161*2))</f>
        <v>0</v>
      </c>
      <c r="R161" s="22"/>
      <c r="S161" s="26">
        <f>IFERROR(VLOOKUP(T161,Apoio!A:B,2,0),"")</f>
        <v>2</v>
      </c>
      <c r="T161" s="22">
        <f>IFERROR(VLOOKUP(C161,'[1]TB DIN'!$B:$H,4,0),"AGUARDANDO ANEXO")</f>
        <v>27</v>
      </c>
      <c r="U161" s="22">
        <f>IFERROR(VLOOKUP(C161,'[1]TB DIN INCLUIDOS'!$B:$H,4,0),"AGUARDANDO ANEXO")</f>
        <v>0</v>
      </c>
      <c r="V161" s="26" cm="1">
        <f t="array" ref="V161">_xlfn.IFS((U161&gt;S161),(S161*2),(U161&lt;=S161),(U161*2))</f>
        <v>0</v>
      </c>
      <c r="W161" s="22"/>
      <c r="X161" s="26">
        <f>IFERROR(VLOOKUP(Y161,Apoio!A:B,2,0),"")</f>
        <v>5</v>
      </c>
      <c r="Y161" s="22">
        <v>105</v>
      </c>
      <c r="Z161" s="22">
        <f>IFERROR(VLOOKUP(C161,'[1]TB DIN INCLUIDOS'!$B:$H,5,0),"AGUARDANDO ANEXO")</f>
        <v>3</v>
      </c>
      <c r="AA161" s="26" cm="1">
        <f t="array" ref="AA161">_xlfn.IFS((Z161&gt;X161),(X161*2),(Z161&lt;=X161),(Z161*2))</f>
        <v>6</v>
      </c>
      <c r="AB161" s="22"/>
      <c r="AC161" s="26">
        <f>IFERROR(VLOOKUP(AD161,Apoio!A:B,2,0),"")</f>
        <v>5</v>
      </c>
      <c r="AD161" s="22">
        <f>IFERROR(VLOOKUP(C161,'[1]TB DIN'!$B:$H,6,0),"AGUARDANDO ANEXO")</f>
        <v>116</v>
      </c>
      <c r="AE161" s="22">
        <f>IFERROR(VLOOKUP(C161,'[1]TB DIN INCLUIDOS'!$B:$H,6,0),"AGUARDANDO ANEXO")</f>
        <v>7</v>
      </c>
      <c r="AF161" s="26" cm="1">
        <f t="array" ref="AF161">_xlfn.IFS((AE161&gt;AC161),(AC161*2),(AE161&lt;=AC161),(AE161*2))</f>
        <v>10</v>
      </c>
      <c r="AG161" s="22"/>
      <c r="AH161" s="28">
        <f t="shared" si="14"/>
        <v>248</v>
      </c>
      <c r="AI161" s="28">
        <f t="shared" si="15"/>
        <v>10</v>
      </c>
      <c r="AJ161" s="28">
        <f t="shared" si="16"/>
        <v>16</v>
      </c>
      <c r="AK161" s="28">
        <f t="shared" si="17"/>
        <v>5</v>
      </c>
      <c r="AL161" s="28">
        <f t="shared" si="18"/>
        <v>0</v>
      </c>
      <c r="AM161" s="23" t="s">
        <v>1707</v>
      </c>
      <c r="AN161" s="37">
        <f>VLOOKUP(C161,'[2]MARÇO-2024'!$B:$M,12,0)</f>
        <v>251</v>
      </c>
      <c r="AO161" s="37">
        <f t="shared" si="19"/>
        <v>3</v>
      </c>
      <c r="AP161" s="37" t="str">
        <f t="shared" si="20"/>
        <v/>
      </c>
    </row>
    <row r="162" spans="1:42" ht="13.5" customHeight="1" x14ac:dyDescent="0.25">
      <c r="A162" s="17">
        <v>5</v>
      </c>
      <c r="B162" s="17">
        <v>12</v>
      </c>
      <c r="C162" s="29">
        <v>5013</v>
      </c>
      <c r="D162" s="38">
        <v>33194734</v>
      </c>
      <c r="E162" s="18" t="s">
        <v>471</v>
      </c>
      <c r="F162" s="68" t="s">
        <v>715</v>
      </c>
      <c r="G162" s="62" t="s">
        <v>217</v>
      </c>
      <c r="H162" s="19" t="s">
        <v>40</v>
      </c>
      <c r="I162" s="19" t="s">
        <v>41</v>
      </c>
      <c r="J162" s="19" t="s">
        <v>1387</v>
      </c>
      <c r="K162" s="20" t="s">
        <v>1598</v>
      </c>
      <c r="L162" s="21">
        <v>44</v>
      </c>
      <c r="M162" s="21"/>
      <c r="N162" s="26" t="str">
        <f>IFERROR(VLOOKUP(O162,Apoio!A:B,2,0),"")</f>
        <v/>
      </c>
      <c r="O162" s="22">
        <f>IFERROR(VLOOKUP(C162,'[1]TB DIN'!$B:$D,3,0),"AGUARDANDO ANEXO")</f>
        <v>0</v>
      </c>
      <c r="P162" s="22">
        <f>IFERROR(VLOOKUP(C162,'[1]TB DIN INCLUIDOS'!$B:$H,3,0),"AGUARDANDO ANEXO")</f>
        <v>0</v>
      </c>
      <c r="Q162" s="26" cm="1">
        <f t="array" ref="Q162">_xlfn.IFS((P162&gt;N162),(N162*2),(P162&lt;=N162),(P162*2))</f>
        <v>0</v>
      </c>
      <c r="R162" s="22"/>
      <c r="S162" s="26" t="str">
        <f>IFERROR(VLOOKUP(T162,Apoio!A:B,2,0),"")</f>
        <v/>
      </c>
      <c r="T162" s="22">
        <f>IFERROR(VLOOKUP(C162,'[1]TB DIN'!$B:$H,4,0),"AGUARDANDO ANEXO")</f>
        <v>0</v>
      </c>
      <c r="U162" s="22">
        <f>IFERROR(VLOOKUP(C162,'[1]TB DIN INCLUIDOS'!$B:$H,4,0),"AGUARDANDO ANEXO")</f>
        <v>0</v>
      </c>
      <c r="V162" s="26" cm="1">
        <f t="array" ref="V162">_xlfn.IFS((U162&gt;S162),(S162*2),(U162&lt;=S162),(U162*2))</f>
        <v>0</v>
      </c>
      <c r="W162" s="22"/>
      <c r="X162" s="26">
        <f>IFERROR(VLOOKUP(Y162,Apoio!A:B,2,0),"")</f>
        <v>1</v>
      </c>
      <c r="Y162" s="22">
        <f>IFERROR(VLOOKUP(C162,'[1]TB DIN'!$B:$H,5,0),"AGUARDANDO ANEXO")</f>
        <v>22</v>
      </c>
      <c r="Z162" s="22">
        <f>IFERROR(VLOOKUP(C162,'[1]TB DIN INCLUIDOS'!$B:$H,5,0),"AGUARDANDO ANEXO")</f>
        <v>0</v>
      </c>
      <c r="AA162" s="26" cm="1">
        <f t="array" ref="AA162">_xlfn.IFS((Z162&gt;X162),(X162*2),(Z162&lt;=X162),(Z162*2))</f>
        <v>0</v>
      </c>
      <c r="AB162" s="22"/>
      <c r="AC162" s="26">
        <f>IFERROR(VLOOKUP(AD162,Apoio!A:B,2,0),"")</f>
        <v>1</v>
      </c>
      <c r="AD162" s="22">
        <f>IFERROR(VLOOKUP(C162,'[1]TB DIN'!$B:$H,6,0),"AGUARDANDO ANEXO")</f>
        <v>20</v>
      </c>
      <c r="AE162" s="22">
        <f>IFERROR(VLOOKUP(C162,'[1]TB DIN INCLUIDOS'!$B:$H,6,0),"AGUARDANDO ANEXO")</f>
        <v>1</v>
      </c>
      <c r="AF162" s="26" cm="1">
        <f t="array" ref="AF162">_xlfn.IFS((AE162&gt;AC162),(AC162*2),(AE162&lt;=AC162),(AE162*2))</f>
        <v>2</v>
      </c>
      <c r="AG162" s="22"/>
      <c r="AH162" s="28">
        <f t="shared" si="14"/>
        <v>42</v>
      </c>
      <c r="AI162" s="28">
        <f t="shared" si="15"/>
        <v>1</v>
      </c>
      <c r="AJ162" s="28">
        <f t="shared" si="16"/>
        <v>2</v>
      </c>
      <c r="AK162" s="28">
        <f t="shared" si="17"/>
        <v>0</v>
      </c>
      <c r="AL162" s="28">
        <f t="shared" si="18"/>
        <v>0</v>
      </c>
      <c r="AM162" s="23" t="s">
        <v>1707</v>
      </c>
      <c r="AN162" s="37">
        <f>VLOOKUP(C162,'[2]MARÇO-2024'!$B:$M,12,0)</f>
        <v>42</v>
      </c>
      <c r="AO162" s="37">
        <f t="shared" si="19"/>
        <v>0</v>
      </c>
      <c r="AP162" s="37" t="str">
        <f t="shared" si="20"/>
        <v/>
      </c>
    </row>
    <row r="163" spans="1:42" ht="13.5" customHeight="1" x14ac:dyDescent="0.25">
      <c r="A163" s="17">
        <v>5</v>
      </c>
      <c r="B163" s="17">
        <v>13</v>
      </c>
      <c r="C163" s="29">
        <v>5014</v>
      </c>
      <c r="D163" s="38">
        <v>33194939</v>
      </c>
      <c r="E163" s="18" t="s">
        <v>472</v>
      </c>
      <c r="F163" s="68" t="s">
        <v>717</v>
      </c>
      <c r="G163" s="62" t="s">
        <v>219</v>
      </c>
      <c r="H163" s="19" t="s">
        <v>867</v>
      </c>
      <c r="I163" s="19" t="s">
        <v>43</v>
      </c>
      <c r="J163" s="19" t="s">
        <v>1389</v>
      </c>
      <c r="K163" s="20" t="s">
        <v>1596</v>
      </c>
      <c r="L163" s="21">
        <v>192</v>
      </c>
      <c r="M163" s="21"/>
      <c r="N163" s="26" t="str">
        <f>IFERROR(VLOOKUP(O163,Apoio!A:B,2,0),"")</f>
        <v/>
      </c>
      <c r="O163" s="22">
        <f>IFERROR(VLOOKUP(C163,'[1]TB DIN'!$B:$D,3,0),"AGUARDANDO ANEXO")</f>
        <v>0</v>
      </c>
      <c r="P163" s="22">
        <f>IFERROR(VLOOKUP(C163,'[1]TB DIN INCLUIDOS'!$B:$H,3,0),"AGUARDANDO ANEXO")</f>
        <v>0</v>
      </c>
      <c r="Q163" s="26" cm="1">
        <f t="array" ref="Q163">_xlfn.IFS((P163&gt;N163),(N163*2),(P163&lt;=N163),(P163*2))</f>
        <v>0</v>
      </c>
      <c r="R163" s="22"/>
      <c r="S163" s="26" t="str">
        <f>IFERROR(VLOOKUP(T163,Apoio!A:B,2,0),"")</f>
        <v/>
      </c>
      <c r="T163" s="22">
        <f>IFERROR(VLOOKUP(C163,'[1]TB DIN'!$B:$H,4,0),"AGUARDANDO ANEXO")</f>
        <v>0</v>
      </c>
      <c r="U163" s="22">
        <f>IFERROR(VLOOKUP(C163,'[1]TB DIN INCLUIDOS'!$B:$H,4,0),"AGUARDANDO ANEXO")</f>
        <v>0</v>
      </c>
      <c r="V163" s="26" cm="1">
        <f t="array" ref="V163">_xlfn.IFS((U163&gt;S163),(S163*2),(U163&lt;=S163),(U163*2))</f>
        <v>0</v>
      </c>
      <c r="W163" s="22"/>
      <c r="X163" s="26">
        <f>IFERROR(VLOOKUP(Y163,Apoio!A:B,2,0),"")</f>
        <v>3</v>
      </c>
      <c r="Y163" s="22">
        <v>66</v>
      </c>
      <c r="Z163" s="22">
        <f>IFERROR(VLOOKUP(C163,'[1]TB DIN INCLUIDOS'!$B:$H,5,0),"AGUARDANDO ANEXO")</f>
        <v>0</v>
      </c>
      <c r="AA163" s="26" cm="1">
        <f t="array" ref="AA163">_xlfn.IFS((Z163&gt;X163),(X163*2),(Z163&lt;=X163),(Z163*2))</f>
        <v>0</v>
      </c>
      <c r="AB163" s="22"/>
      <c r="AC163" s="26">
        <f>IFERROR(VLOOKUP(AD163,Apoio!A:B,2,0),"")</f>
        <v>5</v>
      </c>
      <c r="AD163" s="22">
        <v>118</v>
      </c>
      <c r="AE163" s="22">
        <v>4</v>
      </c>
      <c r="AF163" s="26" cm="1">
        <f t="array" ref="AF163">_xlfn.IFS((AE163&gt;AC163),(AC163*2),(AE163&lt;=AC163),(AE163*2))</f>
        <v>8</v>
      </c>
      <c r="AG163" s="22"/>
      <c r="AH163" s="28">
        <f t="shared" si="14"/>
        <v>184</v>
      </c>
      <c r="AI163" s="28">
        <f t="shared" si="15"/>
        <v>4</v>
      </c>
      <c r="AJ163" s="28">
        <f t="shared" si="16"/>
        <v>8</v>
      </c>
      <c r="AK163" s="28">
        <f t="shared" si="17"/>
        <v>0</v>
      </c>
      <c r="AL163" s="28">
        <f t="shared" si="18"/>
        <v>0</v>
      </c>
      <c r="AM163" s="23" t="s">
        <v>1707</v>
      </c>
      <c r="AN163" s="37">
        <f>VLOOKUP(C163,'[2]MARÇO-2024'!$B:$M,12,0)</f>
        <v>188</v>
      </c>
      <c r="AO163" s="37">
        <f t="shared" si="19"/>
        <v>4</v>
      </c>
      <c r="AP163" s="37" t="str">
        <f t="shared" si="20"/>
        <v/>
      </c>
    </row>
    <row r="164" spans="1:42" ht="13.5" customHeight="1" x14ac:dyDescent="0.25">
      <c r="A164" s="17">
        <v>5</v>
      </c>
      <c r="B164" s="17">
        <v>14</v>
      </c>
      <c r="C164" s="29">
        <v>5015</v>
      </c>
      <c r="D164" s="38">
        <v>33194920</v>
      </c>
      <c r="E164" s="18" t="s">
        <v>472</v>
      </c>
      <c r="F164" s="68" t="s">
        <v>716</v>
      </c>
      <c r="G164" s="62" t="s">
        <v>218</v>
      </c>
      <c r="H164" s="19" t="s">
        <v>866</v>
      </c>
      <c r="I164" s="19" t="s">
        <v>43</v>
      </c>
      <c r="J164" s="19" t="s">
        <v>1388</v>
      </c>
      <c r="K164" s="20" t="s">
        <v>1590</v>
      </c>
      <c r="L164" s="21">
        <v>261</v>
      </c>
      <c r="M164" s="21"/>
      <c r="N164" s="26" t="str">
        <f>IFERROR(VLOOKUP(O164,Apoio!A:B,2,0),"")</f>
        <v/>
      </c>
      <c r="O164" s="22">
        <f>IFERROR(VLOOKUP(C164,'[1]TB DIN'!$B:$D,3,0),"AGUARDANDO ANEXO")</f>
        <v>0</v>
      </c>
      <c r="P164" s="22">
        <f>IFERROR(VLOOKUP(C164,'[1]TB DIN INCLUIDOS'!$B:$H,3,0),"AGUARDANDO ANEXO")</f>
        <v>0</v>
      </c>
      <c r="Q164" s="26" cm="1">
        <f t="array" ref="Q164">_xlfn.IFS((P164&gt;N164),(N164*2),(P164&lt;=N164),(P164*2))</f>
        <v>0</v>
      </c>
      <c r="R164" s="22"/>
      <c r="S164" s="26">
        <f>IFERROR(VLOOKUP(T164,Apoio!A:B,2,0),"")</f>
        <v>1</v>
      </c>
      <c r="T164" s="22">
        <f>IFERROR(VLOOKUP(C164,'[1]TB DIN'!$B:$H,4,0),"AGUARDANDO ANEXO")</f>
        <v>19</v>
      </c>
      <c r="U164" s="22">
        <f>IFERROR(VLOOKUP(C164,'[1]TB DIN INCLUIDOS'!$B:$H,4,0),"AGUARDANDO ANEXO")</f>
        <v>0</v>
      </c>
      <c r="V164" s="26" cm="1">
        <f t="array" ref="V164">_xlfn.IFS((U164&gt;S164),(S164*2),(U164&lt;=S164),(U164*2))</f>
        <v>0</v>
      </c>
      <c r="W164" s="22"/>
      <c r="X164" s="26">
        <f>IFERROR(VLOOKUP(Y164,Apoio!A:B,2,0),"")</f>
        <v>5</v>
      </c>
      <c r="Y164" s="22">
        <v>115</v>
      </c>
      <c r="Z164" s="22">
        <f>IFERROR(VLOOKUP(C164,'[1]TB DIN INCLUIDOS'!$B:$H,5,0),"AGUARDANDO ANEXO")</f>
        <v>7</v>
      </c>
      <c r="AA164" s="26" cm="1">
        <f t="array" ref="AA164">_xlfn.IFS((Z164&gt;X164),(X164*2),(Z164&lt;=X164),(Z164*2))</f>
        <v>10</v>
      </c>
      <c r="AB164" s="22"/>
      <c r="AC164" s="26">
        <f>IFERROR(VLOOKUP(AD164,Apoio!A:B,2,0),"")</f>
        <v>5</v>
      </c>
      <c r="AD164" s="22">
        <f>IFERROR(VLOOKUP(C164,'[1]TB DIN'!$B:$H,6,0),"AGUARDANDO ANEXO")</f>
        <v>113</v>
      </c>
      <c r="AE164" s="22">
        <v>6</v>
      </c>
      <c r="AF164" s="26" cm="1">
        <f t="array" ref="AF164">_xlfn.IFS((AE164&gt;AC164),(AC164*2),(AE164&lt;=AC164),(AE164*2))</f>
        <v>10</v>
      </c>
      <c r="AG164" s="22"/>
      <c r="AH164" s="28">
        <f t="shared" si="14"/>
        <v>247</v>
      </c>
      <c r="AI164" s="28">
        <f t="shared" si="15"/>
        <v>13</v>
      </c>
      <c r="AJ164" s="28">
        <f t="shared" si="16"/>
        <v>20</v>
      </c>
      <c r="AK164" s="28">
        <f t="shared" si="17"/>
        <v>0</v>
      </c>
      <c r="AL164" s="28">
        <f t="shared" si="18"/>
        <v>-6</v>
      </c>
      <c r="AM164" s="23" t="s">
        <v>1707</v>
      </c>
      <c r="AN164" s="37">
        <f>VLOOKUP(C164,'[2]MARÇO-2024'!$B:$M,12,0)</f>
        <v>245</v>
      </c>
      <c r="AO164" s="37">
        <f t="shared" si="19"/>
        <v>-2</v>
      </c>
      <c r="AP164" s="37" t="str">
        <f t="shared" si="20"/>
        <v/>
      </c>
    </row>
    <row r="165" spans="1:42" ht="13.5" customHeight="1" x14ac:dyDescent="0.25">
      <c r="A165" s="17">
        <v>5</v>
      </c>
      <c r="B165" s="17">
        <v>15</v>
      </c>
      <c r="C165" s="29">
        <v>5016</v>
      </c>
      <c r="D165" s="38">
        <v>33148880</v>
      </c>
      <c r="E165" s="18" t="s">
        <v>473</v>
      </c>
      <c r="F165" s="68" t="s">
        <v>718</v>
      </c>
      <c r="G165" s="62" t="s">
        <v>220</v>
      </c>
      <c r="H165" s="19" t="s">
        <v>44</v>
      </c>
      <c r="I165" s="19" t="s">
        <v>44</v>
      </c>
      <c r="J165" s="19" t="s">
        <v>1390</v>
      </c>
      <c r="K165" s="20" t="s">
        <v>1590</v>
      </c>
      <c r="L165" s="21">
        <v>187</v>
      </c>
      <c r="M165" s="21"/>
      <c r="N165" s="26" t="str">
        <f>IFERROR(VLOOKUP(O165,Apoio!A:B,2,0),"")</f>
        <v/>
      </c>
      <c r="O165" s="22">
        <f>IFERROR(VLOOKUP(C165,'[1]TB DIN'!$B:$D,3,0),"AGUARDANDO ANEXO")</f>
        <v>0</v>
      </c>
      <c r="P165" s="22">
        <f>IFERROR(VLOOKUP(C165,'[1]TB DIN INCLUIDOS'!$B:$H,3,0),"AGUARDANDO ANEXO")</f>
        <v>0</v>
      </c>
      <c r="Q165" s="26" cm="1">
        <f t="array" ref="Q165">_xlfn.IFS((P165&gt;N165),(N165*2),(P165&lt;=N165),(P165*2))</f>
        <v>0</v>
      </c>
      <c r="R165" s="22"/>
      <c r="S165" s="26">
        <f>IFERROR(VLOOKUP(T165,Apoio!A:B,2,0),"")</f>
        <v>1</v>
      </c>
      <c r="T165" s="22">
        <f>IFERROR(VLOOKUP(C165,'[1]TB DIN'!$B:$H,4,0),"AGUARDANDO ANEXO")</f>
        <v>18</v>
      </c>
      <c r="U165" s="22">
        <f>IFERROR(VLOOKUP(C165,'[1]TB DIN INCLUIDOS'!$B:$H,4,0),"AGUARDANDO ANEXO")</f>
        <v>0</v>
      </c>
      <c r="V165" s="26" cm="1">
        <f t="array" ref="V165">_xlfn.IFS((U165&gt;S165),(S165*2),(U165&lt;=S165),(U165*2))</f>
        <v>0</v>
      </c>
      <c r="W165" s="22"/>
      <c r="X165" s="26">
        <f>IFERROR(VLOOKUP(Y165,Apoio!A:B,2,0),"")</f>
        <v>4</v>
      </c>
      <c r="Y165" s="22">
        <v>95</v>
      </c>
      <c r="Z165" s="22">
        <f>IFERROR(VLOOKUP(C165,'[1]TB DIN INCLUIDOS'!$B:$H,5,0),"AGUARDANDO ANEXO")</f>
        <v>1</v>
      </c>
      <c r="AA165" s="26" cm="1">
        <f t="array" ref="AA165">_xlfn.IFS((Z165&gt;X165),(X165*2),(Z165&lt;=X165),(Z165*2))</f>
        <v>2</v>
      </c>
      <c r="AB165" s="22"/>
      <c r="AC165" s="26">
        <f>IFERROR(VLOOKUP(AD165,Apoio!A:B,2,0),"")</f>
        <v>3</v>
      </c>
      <c r="AD165" s="22">
        <v>70</v>
      </c>
      <c r="AE165" s="22">
        <f>IFERROR(VLOOKUP(C165,'[1]TB DIN INCLUIDOS'!$B:$H,6,0),"AGUARDANDO ANEXO")</f>
        <v>1</v>
      </c>
      <c r="AF165" s="26" cm="1">
        <f t="array" ref="AF165">_xlfn.IFS((AE165&gt;AC165),(AC165*2),(AE165&lt;=AC165),(AE165*2))</f>
        <v>2</v>
      </c>
      <c r="AG165" s="22"/>
      <c r="AH165" s="28">
        <f t="shared" si="14"/>
        <v>183</v>
      </c>
      <c r="AI165" s="28">
        <f t="shared" si="15"/>
        <v>2</v>
      </c>
      <c r="AJ165" s="28">
        <f t="shared" si="16"/>
        <v>4</v>
      </c>
      <c r="AK165" s="28">
        <f t="shared" si="17"/>
        <v>0</v>
      </c>
      <c r="AL165" s="28">
        <f t="shared" si="18"/>
        <v>0</v>
      </c>
      <c r="AM165" s="23" t="s">
        <v>1707</v>
      </c>
      <c r="AN165" s="37">
        <f>VLOOKUP(C165,'[2]MARÇO-2024'!$B:$M,12,0)</f>
        <v>180</v>
      </c>
      <c r="AO165" s="37">
        <f t="shared" si="19"/>
        <v>-3</v>
      </c>
      <c r="AP165" s="37" t="str">
        <f t="shared" si="20"/>
        <v/>
      </c>
    </row>
    <row r="166" spans="1:42" ht="13.5" customHeight="1" x14ac:dyDescent="0.25">
      <c r="A166" s="17">
        <v>6</v>
      </c>
      <c r="B166" s="17">
        <v>1</v>
      </c>
      <c r="C166" s="29">
        <v>6001</v>
      </c>
      <c r="D166" s="38">
        <v>33087377</v>
      </c>
      <c r="E166" s="18" t="s">
        <v>481</v>
      </c>
      <c r="F166" s="68" t="s">
        <v>726</v>
      </c>
      <c r="G166" s="62" t="s">
        <v>228</v>
      </c>
      <c r="H166" s="19" t="s">
        <v>1008</v>
      </c>
      <c r="I166" s="19" t="s">
        <v>1197</v>
      </c>
      <c r="J166" s="19" t="s">
        <v>1398</v>
      </c>
      <c r="K166" s="20" t="s">
        <v>1601</v>
      </c>
      <c r="L166" s="21">
        <v>114</v>
      </c>
      <c r="M166" s="21"/>
      <c r="N166" s="26" t="str">
        <f>IFERROR(VLOOKUP(O166,Apoio!A:B,2,0),"")</f>
        <v/>
      </c>
      <c r="O166" s="22">
        <f>IFERROR(VLOOKUP(C166,'[1]TB DIN'!$B:$D,3,0),"AGUARDANDO ANEXO")</f>
        <v>0</v>
      </c>
      <c r="P166" s="22">
        <f>IFERROR(VLOOKUP(C166,'[1]TB DIN INCLUIDOS'!$B:$H,3,0),"AGUARDANDO ANEXO")</f>
        <v>0</v>
      </c>
      <c r="Q166" s="26" cm="1">
        <f t="array" ref="Q166">_xlfn.IFS((P166&gt;N166),(N166*2),(P166&lt;=N166),(P166*2))</f>
        <v>0</v>
      </c>
      <c r="R166" s="22"/>
      <c r="S166" s="26" t="str">
        <f>IFERROR(VLOOKUP(T166,Apoio!A:B,2,0),"")</f>
        <v/>
      </c>
      <c r="T166" s="22">
        <f>IFERROR(VLOOKUP(C166,'[1]TB DIN'!$B:$H,4,0),"AGUARDANDO ANEXO")</f>
        <v>0</v>
      </c>
      <c r="U166" s="22">
        <f>IFERROR(VLOOKUP(C166,'[1]TB DIN INCLUIDOS'!$B:$H,4,0),"AGUARDANDO ANEXO")</f>
        <v>0</v>
      </c>
      <c r="V166" s="26" cm="1">
        <f t="array" ref="V166">_xlfn.IFS((U166&gt;S166),(S166*2),(U166&lt;=S166),(U166*2))</f>
        <v>0</v>
      </c>
      <c r="W166" s="22"/>
      <c r="X166" s="26">
        <f>IFERROR(VLOOKUP(Y166,Apoio!A:B,2,0),"")</f>
        <v>3</v>
      </c>
      <c r="Y166" s="22">
        <f>IFERROR(VLOOKUP(C166,'[1]TB DIN'!$B:$H,5,0),"AGUARDANDO ANEXO")</f>
        <v>55</v>
      </c>
      <c r="Z166" s="22">
        <v>2</v>
      </c>
      <c r="AA166" s="26" cm="1">
        <f t="array" ref="AA166">_xlfn.IFS((Z166&gt;X166),(X166*2),(Z166&lt;=X166),(Z166*2))</f>
        <v>4</v>
      </c>
      <c r="AB166" s="22"/>
      <c r="AC166" s="26">
        <f>IFERROR(VLOOKUP(AD166,Apoio!A:B,2,0),"")</f>
        <v>3</v>
      </c>
      <c r="AD166" s="22">
        <f>IFERROR(VLOOKUP(C166,'[1]TB DIN'!$B:$H,6,0),"AGUARDANDO ANEXO")</f>
        <v>55</v>
      </c>
      <c r="AE166" s="22">
        <v>6</v>
      </c>
      <c r="AF166" s="26" cm="1">
        <f t="array" ref="AF166">_xlfn.IFS((AE166&gt;AC166),(AC166*2),(AE166&lt;=AC166),(AE166*2))</f>
        <v>6</v>
      </c>
      <c r="AG166" s="22"/>
      <c r="AH166" s="28">
        <f t="shared" si="14"/>
        <v>110</v>
      </c>
      <c r="AI166" s="28">
        <f t="shared" si="15"/>
        <v>8</v>
      </c>
      <c r="AJ166" s="28">
        <f t="shared" si="16"/>
        <v>10</v>
      </c>
      <c r="AK166" s="28">
        <f t="shared" si="17"/>
        <v>0</v>
      </c>
      <c r="AL166" s="28">
        <f t="shared" si="18"/>
        <v>-6</v>
      </c>
      <c r="AM166" s="23" t="s">
        <v>1707</v>
      </c>
      <c r="AN166" s="37">
        <f>VLOOKUP(C166,'[2]MARÇO-2024'!$B:$M,12,0)</f>
        <v>110</v>
      </c>
      <c r="AO166" s="37">
        <f t="shared" si="19"/>
        <v>0</v>
      </c>
      <c r="AP166" s="37" t="str">
        <f t="shared" si="20"/>
        <v/>
      </c>
    </row>
    <row r="167" spans="1:42" ht="13.5" customHeight="1" x14ac:dyDescent="0.25">
      <c r="A167" s="17">
        <v>6</v>
      </c>
      <c r="B167" s="17">
        <v>2</v>
      </c>
      <c r="C167" s="29">
        <v>6002</v>
      </c>
      <c r="D167" s="38">
        <v>33096309</v>
      </c>
      <c r="E167" s="18" t="s">
        <v>482</v>
      </c>
      <c r="F167" s="68" t="s">
        <v>727</v>
      </c>
      <c r="G167" s="62" t="s">
        <v>229</v>
      </c>
      <c r="H167" s="19" t="s">
        <v>1009</v>
      </c>
      <c r="I167" s="19" t="s">
        <v>1009</v>
      </c>
      <c r="J167" s="19" t="s">
        <v>1399</v>
      </c>
      <c r="K167" s="20" t="s">
        <v>1599</v>
      </c>
      <c r="L167" s="21">
        <v>170</v>
      </c>
      <c r="M167" s="21"/>
      <c r="N167" s="26">
        <f>IFERROR(VLOOKUP(O167,Apoio!A:B,2,0),"")</f>
        <v>1</v>
      </c>
      <c r="O167" s="22">
        <v>19</v>
      </c>
      <c r="P167" s="22">
        <f>IFERROR(VLOOKUP(C167,'[1]TB DIN INCLUIDOS'!$B:$H,3,0),"AGUARDANDO ANEXO")</f>
        <v>0</v>
      </c>
      <c r="Q167" s="26" cm="1">
        <f t="array" ref="Q167">_xlfn.IFS((P167&gt;N167),(N167*2),(P167&lt;=N167),(P167*2))</f>
        <v>0</v>
      </c>
      <c r="R167" s="22"/>
      <c r="S167" s="26">
        <f>IFERROR(VLOOKUP(T167,Apoio!A:B,2,0),"")</f>
        <v>2</v>
      </c>
      <c r="T167" s="22">
        <v>41</v>
      </c>
      <c r="U167" s="22">
        <f>IFERROR(VLOOKUP(C167,'[1]TB DIN INCLUIDOS'!$B:$H,4,0),"AGUARDANDO ANEXO")</f>
        <v>0</v>
      </c>
      <c r="V167" s="26" cm="1">
        <f t="array" ref="V167">_xlfn.IFS((U167&gt;S167),(S167*2),(U167&lt;=S167),(U167*2))</f>
        <v>0</v>
      </c>
      <c r="W167" s="22"/>
      <c r="X167" s="26">
        <f>IFERROR(VLOOKUP(Y167,Apoio!A:B,2,0),"")</f>
        <v>3</v>
      </c>
      <c r="Y167" s="22">
        <v>54</v>
      </c>
      <c r="Z167" s="22">
        <f>IFERROR(VLOOKUP(C167,'[1]TB DIN INCLUIDOS'!$B:$H,5,0),"AGUARDANDO ANEXO")</f>
        <v>0</v>
      </c>
      <c r="AA167" s="26" cm="1">
        <f t="array" ref="AA167">_xlfn.IFS((Z167&gt;X167),(X167*2),(Z167&lt;=X167),(Z167*2))</f>
        <v>0</v>
      </c>
      <c r="AB167" s="22"/>
      <c r="AC167" s="26">
        <f>IFERROR(VLOOKUP(AD167,Apoio!A:B,2,0),"")</f>
        <v>3</v>
      </c>
      <c r="AD167" s="22">
        <v>56</v>
      </c>
      <c r="AE167" s="22">
        <f>IFERROR(VLOOKUP(C167,'[1]TB DIN INCLUIDOS'!$B:$H,6,0),"AGUARDANDO ANEXO")</f>
        <v>1</v>
      </c>
      <c r="AF167" s="26" cm="1">
        <f t="array" ref="AF167">_xlfn.IFS((AE167&gt;AC167),(AC167*2),(AE167&lt;=AC167),(AE167*2))</f>
        <v>2</v>
      </c>
      <c r="AG167" s="22"/>
      <c r="AH167" s="28">
        <f t="shared" si="14"/>
        <v>170</v>
      </c>
      <c r="AI167" s="28">
        <f t="shared" si="15"/>
        <v>1</v>
      </c>
      <c r="AJ167" s="28">
        <f t="shared" si="16"/>
        <v>2</v>
      </c>
      <c r="AK167" s="28">
        <f t="shared" si="17"/>
        <v>0</v>
      </c>
      <c r="AL167" s="28">
        <f t="shared" si="18"/>
        <v>-2</v>
      </c>
      <c r="AM167" s="23" t="s">
        <v>1707</v>
      </c>
      <c r="AN167" s="37">
        <f>VLOOKUP(C167,'[2]MARÇO-2024'!$B:$M,12,0)</f>
        <v>170</v>
      </c>
      <c r="AO167" s="37">
        <f t="shared" si="19"/>
        <v>0</v>
      </c>
      <c r="AP167" s="37" t="str">
        <f t="shared" si="20"/>
        <v/>
      </c>
    </row>
    <row r="168" spans="1:42" ht="13.5" customHeight="1" x14ac:dyDescent="0.25">
      <c r="A168" s="17">
        <v>6</v>
      </c>
      <c r="B168" s="17">
        <v>3</v>
      </c>
      <c r="C168" s="29">
        <v>6003</v>
      </c>
      <c r="D168" s="38">
        <v>33117462</v>
      </c>
      <c r="E168" s="18" t="s">
        <v>483</v>
      </c>
      <c r="F168" s="68" t="s">
        <v>728</v>
      </c>
      <c r="G168" s="62" t="s">
        <v>230</v>
      </c>
      <c r="H168" s="19" t="s">
        <v>1010</v>
      </c>
      <c r="I168" s="19" t="s">
        <v>1198</v>
      </c>
      <c r="J168" s="19" t="s">
        <v>1400</v>
      </c>
      <c r="K168" s="20" t="s">
        <v>1601</v>
      </c>
      <c r="L168" s="21">
        <v>101</v>
      </c>
      <c r="M168" s="21"/>
      <c r="N168" s="26" t="str">
        <f>IFERROR(VLOOKUP(O168,Apoio!A:B,2,0),"")</f>
        <v/>
      </c>
      <c r="O168" s="22">
        <f>IFERROR(VLOOKUP(C168,'[1]TB DIN'!$B:$D,3,0),"AGUARDANDO ANEXO")</f>
        <v>0</v>
      </c>
      <c r="P168" s="22">
        <f>IFERROR(VLOOKUP(C168,'[1]TB DIN INCLUIDOS'!$B:$H,3,0),"AGUARDANDO ANEXO")</f>
        <v>0</v>
      </c>
      <c r="Q168" s="26" cm="1">
        <f t="array" ref="Q168">_xlfn.IFS((P168&gt;N168),(N168*2),(P168&lt;=N168),(P168*2))</f>
        <v>0</v>
      </c>
      <c r="R168" s="22"/>
      <c r="S168" s="26">
        <f>IFERROR(VLOOKUP(T168,Apoio!A:B,2,0),"")</f>
        <v>1</v>
      </c>
      <c r="T168" s="22">
        <f>IFERROR(VLOOKUP(C168,'[1]TB DIN'!$B:$H,4,0),"AGUARDANDO ANEXO")</f>
        <v>15</v>
      </c>
      <c r="U168" s="22">
        <f>IFERROR(VLOOKUP(C168,'[1]TB DIN INCLUIDOS'!$B:$H,4,0),"AGUARDANDO ANEXO")</f>
        <v>0</v>
      </c>
      <c r="V168" s="26" cm="1">
        <f t="array" ref="V168">_xlfn.IFS((U168&gt;S168),(S168*2),(U168&lt;=S168),(U168*2))</f>
        <v>0</v>
      </c>
      <c r="W168" s="22"/>
      <c r="X168" s="26">
        <f>IFERROR(VLOOKUP(Y168,Apoio!A:B,2,0),"")</f>
        <v>2</v>
      </c>
      <c r="Y168" s="22">
        <v>40</v>
      </c>
      <c r="Z168" s="22">
        <f>IFERROR(VLOOKUP(C168,'[1]TB DIN INCLUIDOS'!$B:$H,5,0),"AGUARDANDO ANEXO")</f>
        <v>0</v>
      </c>
      <c r="AA168" s="26" cm="1">
        <f t="array" ref="AA168">_xlfn.IFS((Z168&gt;X168),(X168*2),(Z168&lt;=X168),(Z168*2))</f>
        <v>0</v>
      </c>
      <c r="AB168" s="22"/>
      <c r="AC168" s="26">
        <f>IFERROR(VLOOKUP(AD168,Apoio!A:B,2,0),"")</f>
        <v>2</v>
      </c>
      <c r="AD168" s="22">
        <f>IFERROR(VLOOKUP(C168,'[1]TB DIN'!$B:$H,6,0),"AGUARDANDO ANEXO")</f>
        <v>43</v>
      </c>
      <c r="AE168" s="22">
        <f>IFERROR(VLOOKUP(C168,'[1]TB DIN INCLUIDOS'!$B:$H,6,0),"AGUARDANDO ANEXO")</f>
        <v>3</v>
      </c>
      <c r="AF168" s="26" cm="1">
        <f t="array" ref="AF168">_xlfn.IFS((AE168&gt;AC168),(AC168*2),(AE168&lt;=AC168),(AE168*2))</f>
        <v>4</v>
      </c>
      <c r="AG168" s="22"/>
      <c r="AH168" s="28">
        <f t="shared" si="14"/>
        <v>98</v>
      </c>
      <c r="AI168" s="28">
        <f t="shared" si="15"/>
        <v>3</v>
      </c>
      <c r="AJ168" s="28">
        <f t="shared" si="16"/>
        <v>4</v>
      </c>
      <c r="AK168" s="28">
        <f t="shared" si="17"/>
        <v>0</v>
      </c>
      <c r="AL168" s="28">
        <f t="shared" si="18"/>
        <v>-1</v>
      </c>
      <c r="AM168" s="23" t="s">
        <v>1707</v>
      </c>
      <c r="AN168" s="37">
        <f>VLOOKUP(C168,'[2]MARÇO-2024'!$B:$M,12,0)</f>
        <v>97</v>
      </c>
      <c r="AO168" s="37">
        <f t="shared" si="19"/>
        <v>-1</v>
      </c>
      <c r="AP168" s="37" t="str">
        <f t="shared" si="20"/>
        <v/>
      </c>
    </row>
    <row r="169" spans="1:42" ht="13.5" customHeight="1" x14ac:dyDescent="0.25">
      <c r="A169" s="17">
        <v>6</v>
      </c>
      <c r="B169" s="17">
        <v>4</v>
      </c>
      <c r="C169" s="29">
        <v>6004</v>
      </c>
      <c r="D169" s="38">
        <v>33122385</v>
      </c>
      <c r="E169" s="18" t="s">
        <v>475</v>
      </c>
      <c r="F169" s="68" t="s">
        <v>720</v>
      </c>
      <c r="G169" s="64" t="s">
        <v>222</v>
      </c>
      <c r="H169" s="19" t="s">
        <v>1002</v>
      </c>
      <c r="I169" s="19" t="s">
        <v>1002</v>
      </c>
      <c r="J169" s="19" t="s">
        <v>1392</v>
      </c>
      <c r="K169" s="20" t="s">
        <v>1600</v>
      </c>
      <c r="L169" s="21">
        <v>84</v>
      </c>
      <c r="M169" s="21"/>
      <c r="N169" s="26" t="str">
        <f>IFERROR(VLOOKUP(O169,Apoio!A:B,2,0),"")</f>
        <v/>
      </c>
      <c r="O169" s="22">
        <f>IFERROR(VLOOKUP(C169,'[1]TB DIN'!$B:$D,3,0),"AGUARDANDO ANEXO")</f>
        <v>0</v>
      </c>
      <c r="P169" s="22">
        <f>IFERROR(VLOOKUP(C169,'[1]TB DIN INCLUIDOS'!$B:$H,3,0),"AGUARDANDO ANEXO")</f>
        <v>0</v>
      </c>
      <c r="Q169" s="26" cm="1">
        <f t="array" ref="Q169">_xlfn.IFS((P169&gt;N169),(N169*2),(P169&lt;=N169),(P169*2))</f>
        <v>0</v>
      </c>
      <c r="R169" s="22"/>
      <c r="S169" s="26">
        <f>IFERROR(VLOOKUP(T169,Apoio!A:B,2,0),"")</f>
        <v>1</v>
      </c>
      <c r="T169" s="22">
        <f>IFERROR(VLOOKUP(C169,'[1]TB DIN'!$B:$H,4,0),"AGUARDANDO ANEXO")</f>
        <v>10</v>
      </c>
      <c r="U169" s="22">
        <f>IFERROR(VLOOKUP(C169,'[1]TB DIN INCLUIDOS'!$B:$H,4,0),"AGUARDANDO ANEXO")</f>
        <v>0</v>
      </c>
      <c r="V169" s="26" cm="1">
        <f t="array" ref="V169">_xlfn.IFS((U169&gt;S169),(S169*2),(U169&lt;=S169),(U169*2))</f>
        <v>0</v>
      </c>
      <c r="W169" s="22"/>
      <c r="X169" s="26">
        <f>IFERROR(VLOOKUP(Y169,Apoio!A:B,2,0),"")</f>
        <v>2</v>
      </c>
      <c r="Y169" s="22">
        <f>IFERROR(VLOOKUP(C169,'[1]TB DIN'!$B:$H,5,0),"AGUARDANDO ANEXO")</f>
        <v>33</v>
      </c>
      <c r="Z169" s="22">
        <f>IFERROR(VLOOKUP(C169,'[1]TB DIN INCLUIDOS'!$B:$H,5,0),"AGUARDANDO ANEXO")</f>
        <v>0</v>
      </c>
      <c r="AA169" s="26" cm="1">
        <f t="array" ref="AA169">_xlfn.IFS((Z169&gt;X169),(X169*2),(Z169&lt;=X169),(Z169*2))</f>
        <v>0</v>
      </c>
      <c r="AB169" s="22"/>
      <c r="AC169" s="26">
        <f>IFERROR(VLOOKUP(AD169,Apoio!A:B,2,0),"")</f>
        <v>2</v>
      </c>
      <c r="AD169" s="22">
        <f>IFERROR(VLOOKUP(C169,'[1]TB DIN'!$B:$H,6,0),"AGUARDANDO ANEXO")</f>
        <v>41</v>
      </c>
      <c r="AE169" s="22">
        <f>IFERROR(VLOOKUP(C169,'[1]TB DIN INCLUIDOS'!$B:$H,6,0),"AGUARDANDO ANEXO")</f>
        <v>2</v>
      </c>
      <c r="AF169" s="26" cm="1">
        <f t="array" ref="AF169">_xlfn.IFS((AE169&gt;AC169),(AC169*2),(AE169&lt;=AC169),(AE169*2))</f>
        <v>4</v>
      </c>
      <c r="AG169" s="22"/>
      <c r="AH169" s="28">
        <f t="shared" si="14"/>
        <v>84</v>
      </c>
      <c r="AI169" s="28">
        <f t="shared" si="15"/>
        <v>2</v>
      </c>
      <c r="AJ169" s="28">
        <f t="shared" si="16"/>
        <v>4</v>
      </c>
      <c r="AK169" s="28">
        <f t="shared" si="17"/>
        <v>0</v>
      </c>
      <c r="AL169" s="28">
        <f t="shared" si="18"/>
        <v>-4</v>
      </c>
      <c r="AM169" s="23" t="s">
        <v>1849</v>
      </c>
      <c r="AN169" s="37">
        <f>VLOOKUP(C169,'[2]MARÇO-2024'!$B:$M,12,0)</f>
        <v>84</v>
      </c>
      <c r="AO169" s="37">
        <f t="shared" si="19"/>
        <v>0</v>
      </c>
      <c r="AP169" s="37" t="str">
        <f t="shared" si="20"/>
        <v/>
      </c>
    </row>
    <row r="170" spans="1:42" ht="13.5" customHeight="1" x14ac:dyDescent="0.25">
      <c r="A170" s="17">
        <v>6</v>
      </c>
      <c r="B170" s="17">
        <v>5</v>
      </c>
      <c r="C170" s="29">
        <v>6005</v>
      </c>
      <c r="D170" s="38">
        <v>33124914</v>
      </c>
      <c r="E170" s="18" t="s">
        <v>479</v>
      </c>
      <c r="F170" s="68" t="s">
        <v>724</v>
      </c>
      <c r="G170" s="62" t="s">
        <v>226</v>
      </c>
      <c r="H170" s="19" t="s">
        <v>1006</v>
      </c>
      <c r="I170" s="19" t="s">
        <v>1136</v>
      </c>
      <c r="J170" s="19" t="s">
        <v>1396</v>
      </c>
      <c r="K170" s="20" t="s">
        <v>1601</v>
      </c>
      <c r="L170" s="21">
        <v>60</v>
      </c>
      <c r="M170" s="21"/>
      <c r="N170" s="26" t="str">
        <f>IFERROR(VLOOKUP(O170,Apoio!A:B,2,0),"")</f>
        <v/>
      </c>
      <c r="O170" s="22">
        <f>IFERROR(VLOOKUP(C170,'[1]TB DIN'!$B:$D,3,0),"AGUARDANDO ANEXO")</f>
        <v>0</v>
      </c>
      <c r="P170" s="22">
        <f>IFERROR(VLOOKUP(C170,'[1]TB DIN INCLUIDOS'!$B:$H,3,0),"AGUARDANDO ANEXO")</f>
        <v>0</v>
      </c>
      <c r="Q170" s="26" cm="1">
        <f t="array" ref="Q170">_xlfn.IFS((P170&gt;N170),(N170*2),(P170&lt;=N170),(P170*2))</f>
        <v>0</v>
      </c>
      <c r="R170" s="22"/>
      <c r="S170" s="26" t="str">
        <f>IFERROR(VLOOKUP(T170,Apoio!A:B,2,0),"")</f>
        <v/>
      </c>
      <c r="T170" s="22">
        <f>IFERROR(VLOOKUP(C170,'[1]TB DIN'!$B:$H,4,0),"AGUARDANDO ANEXO")</f>
        <v>0</v>
      </c>
      <c r="U170" s="22">
        <f>IFERROR(VLOOKUP(C170,'[1]TB DIN INCLUIDOS'!$B:$H,4,0),"AGUARDANDO ANEXO")</f>
        <v>0</v>
      </c>
      <c r="V170" s="26" cm="1">
        <f t="array" ref="V170">_xlfn.IFS((U170&gt;S170),(S170*2),(U170&lt;=S170),(U170*2))</f>
        <v>0</v>
      </c>
      <c r="W170" s="22"/>
      <c r="X170" s="26">
        <f>IFERROR(VLOOKUP(Y170,Apoio!A:B,2,0),"")</f>
        <v>1</v>
      </c>
      <c r="Y170" s="22">
        <f>IFERROR(VLOOKUP(C170,'[1]TB DIN'!$B:$H,5,0),"AGUARDANDO ANEXO")</f>
        <v>22</v>
      </c>
      <c r="Z170" s="22">
        <f>IFERROR(VLOOKUP(C170,'[1]TB DIN INCLUIDOS'!$B:$H,5,0),"AGUARDANDO ANEXO")</f>
        <v>0</v>
      </c>
      <c r="AA170" s="26" cm="1">
        <f t="array" ref="AA170">_xlfn.IFS((Z170&gt;X170),(X170*2),(Z170&lt;=X170),(Z170*2))</f>
        <v>0</v>
      </c>
      <c r="AB170" s="22"/>
      <c r="AC170" s="26">
        <f>IFERROR(VLOOKUP(AD170,Apoio!A:B,2,0),"")</f>
        <v>2</v>
      </c>
      <c r="AD170" s="22">
        <f>IFERROR(VLOOKUP(C170,'[1]TB DIN'!$B:$H,6,0),"AGUARDANDO ANEXO")</f>
        <v>38</v>
      </c>
      <c r="AE170" s="22">
        <f>IFERROR(VLOOKUP(C170,'[1]TB DIN INCLUIDOS'!$B:$H,6,0),"AGUARDANDO ANEXO")</f>
        <v>0</v>
      </c>
      <c r="AF170" s="26" cm="1">
        <f t="array" ref="AF170">_xlfn.IFS((AE170&gt;AC170),(AC170*2),(AE170&lt;=AC170),(AE170*2))</f>
        <v>0</v>
      </c>
      <c r="AG170" s="22"/>
      <c r="AH170" s="28">
        <f t="shared" si="14"/>
        <v>60</v>
      </c>
      <c r="AI170" s="28">
        <f t="shared" si="15"/>
        <v>0</v>
      </c>
      <c r="AJ170" s="28">
        <f t="shared" si="16"/>
        <v>0</v>
      </c>
      <c r="AK170" s="28">
        <f t="shared" si="17"/>
        <v>0</v>
      </c>
      <c r="AL170" s="28">
        <f t="shared" si="18"/>
        <v>0</v>
      </c>
      <c r="AM170" s="23" t="s">
        <v>1707</v>
      </c>
      <c r="AN170" s="37">
        <f>VLOOKUP(C170,'[2]MARÇO-2024'!$B:$M,12,0)</f>
        <v>60</v>
      </c>
      <c r="AO170" s="37">
        <f t="shared" si="19"/>
        <v>0</v>
      </c>
      <c r="AP170" s="37" t="str">
        <f t="shared" si="20"/>
        <v/>
      </c>
    </row>
    <row r="171" spans="1:42" ht="13.5" customHeight="1" x14ac:dyDescent="0.25">
      <c r="A171" s="17">
        <v>6</v>
      </c>
      <c r="B171" s="17">
        <v>6</v>
      </c>
      <c r="C171" s="29">
        <v>6006</v>
      </c>
      <c r="D171" s="38">
        <v>33136360</v>
      </c>
      <c r="E171" s="18" t="s">
        <v>480</v>
      </c>
      <c r="F171" s="68" t="s">
        <v>725</v>
      </c>
      <c r="G171" s="62" t="s">
        <v>227</v>
      </c>
      <c r="H171" s="19" t="s">
        <v>1007</v>
      </c>
      <c r="I171" s="19" t="s">
        <v>1007</v>
      </c>
      <c r="J171" s="19" t="s">
        <v>1397</v>
      </c>
      <c r="K171" s="20" t="s">
        <v>1600</v>
      </c>
      <c r="L171" s="21">
        <v>90</v>
      </c>
      <c r="M171" s="21"/>
      <c r="N171" s="26" t="str">
        <f>IFERROR(VLOOKUP(O171,Apoio!A:B,2,0),"")</f>
        <v/>
      </c>
      <c r="O171" s="22">
        <f>IFERROR(VLOOKUP(C171,'[1]TB DIN'!$B:$D,3,0),"AGUARDANDO ANEXO")</f>
        <v>0</v>
      </c>
      <c r="P171" s="22">
        <f>IFERROR(VLOOKUP(C171,'[1]TB DIN INCLUIDOS'!$B:$H,3,0),"AGUARDANDO ANEXO")</f>
        <v>0</v>
      </c>
      <c r="Q171" s="26" cm="1">
        <f t="array" ref="Q171">_xlfn.IFS((P171&gt;N171),(N171*2),(P171&lt;=N171),(P171*2))</f>
        <v>0</v>
      </c>
      <c r="R171" s="22"/>
      <c r="S171" s="26" t="str">
        <f>IFERROR(VLOOKUP(T171,Apoio!A:B,2,0),"")</f>
        <v/>
      </c>
      <c r="T171" s="22">
        <f>IFERROR(VLOOKUP(C171,'[1]TB DIN'!$B:$H,4,0),"AGUARDANDO ANEXO")</f>
        <v>0</v>
      </c>
      <c r="U171" s="22">
        <f>IFERROR(VLOOKUP(C171,'[1]TB DIN INCLUIDOS'!$B:$H,4,0),"AGUARDANDO ANEXO")</f>
        <v>0</v>
      </c>
      <c r="V171" s="26" cm="1">
        <f t="array" ref="V171">_xlfn.IFS((U171&gt;S171),(S171*2),(U171&lt;=S171),(U171*2))</f>
        <v>0</v>
      </c>
      <c r="W171" s="22"/>
      <c r="X171" s="26">
        <f>IFERROR(VLOOKUP(Y171,Apoio!A:B,2,0),"")</f>
        <v>1</v>
      </c>
      <c r="Y171" s="22">
        <f>IFERROR(VLOOKUP(C171,'[1]TB DIN'!$B:$H,5,0),"AGUARDANDO ANEXO")</f>
        <v>25</v>
      </c>
      <c r="Z171" s="22">
        <f>IFERROR(VLOOKUP(C171,'[1]TB DIN INCLUIDOS'!$B:$H,5,0),"AGUARDANDO ANEXO")</f>
        <v>0</v>
      </c>
      <c r="AA171" s="26" cm="1">
        <f t="array" ref="AA171">_xlfn.IFS((Z171&gt;X171),(X171*2),(Z171&lt;=X171),(Z171*2))</f>
        <v>0</v>
      </c>
      <c r="AB171" s="22"/>
      <c r="AC171" s="26">
        <f>IFERROR(VLOOKUP(AD171,Apoio!A:B,2,0),"")</f>
        <v>3</v>
      </c>
      <c r="AD171" s="22">
        <f>IFERROR(VLOOKUP(C171,'[1]TB DIN'!$B:$H,6,0),"AGUARDANDO ANEXO")</f>
        <v>64</v>
      </c>
      <c r="AE171" s="22">
        <f>IFERROR(VLOOKUP(C171,'[1]TB DIN INCLUIDOS'!$B:$H,6,0),"AGUARDANDO ANEXO")</f>
        <v>1</v>
      </c>
      <c r="AF171" s="26" cm="1">
        <f t="array" ref="AF171">_xlfn.IFS((AE171&gt;AC171),(AC171*2),(AE171&lt;=AC171),(AE171*2))</f>
        <v>2</v>
      </c>
      <c r="AG171" s="22"/>
      <c r="AH171" s="28">
        <f t="shared" si="14"/>
        <v>89</v>
      </c>
      <c r="AI171" s="28">
        <f t="shared" si="15"/>
        <v>1</v>
      </c>
      <c r="AJ171" s="28">
        <f t="shared" si="16"/>
        <v>2</v>
      </c>
      <c r="AK171" s="28">
        <f t="shared" si="17"/>
        <v>0</v>
      </c>
      <c r="AL171" s="28">
        <f t="shared" si="18"/>
        <v>-1</v>
      </c>
      <c r="AM171" s="23" t="s">
        <v>1707</v>
      </c>
      <c r="AN171" s="37">
        <f>VLOOKUP(C171,'[2]MARÇO-2024'!$B:$M,12,0)</f>
        <v>89</v>
      </c>
      <c r="AO171" s="37">
        <f t="shared" si="19"/>
        <v>0</v>
      </c>
      <c r="AP171" s="37" t="str">
        <f t="shared" si="20"/>
        <v/>
      </c>
    </row>
    <row r="172" spans="1:42" ht="13.5" customHeight="1" x14ac:dyDescent="0.25">
      <c r="A172" s="17">
        <v>6</v>
      </c>
      <c r="B172" s="17">
        <v>7</v>
      </c>
      <c r="C172" s="29">
        <v>6007</v>
      </c>
      <c r="D172" s="38">
        <v>33145075</v>
      </c>
      <c r="E172" s="18" t="s">
        <v>477</v>
      </c>
      <c r="F172" s="68" t="s">
        <v>722</v>
      </c>
      <c r="G172" s="62" t="s">
        <v>224</v>
      </c>
      <c r="H172" s="19" t="s">
        <v>1004</v>
      </c>
      <c r="I172" s="19" t="s">
        <v>1195</v>
      </c>
      <c r="J172" s="19" t="s">
        <v>1394</v>
      </c>
      <c r="K172" s="20" t="s">
        <v>1600</v>
      </c>
      <c r="L172" s="21">
        <v>120</v>
      </c>
      <c r="M172" s="21"/>
      <c r="N172" s="26" t="str">
        <f>IFERROR(VLOOKUP(O172,Apoio!A:B,2,0),"")</f>
        <v/>
      </c>
      <c r="O172" s="22">
        <f>IFERROR(VLOOKUP(C172,'[1]TB DIN'!$B:$D,3,0),"AGUARDANDO ANEXO")</f>
        <v>0</v>
      </c>
      <c r="P172" s="22">
        <f>IFERROR(VLOOKUP(C172,'[1]TB DIN INCLUIDOS'!$B:$H,3,0),"AGUARDANDO ANEXO")</f>
        <v>0</v>
      </c>
      <c r="Q172" s="26" cm="1">
        <f t="array" ref="Q172">_xlfn.IFS((P172&gt;N172),(N172*2),(P172&lt;=N172),(P172*2))</f>
        <v>0</v>
      </c>
      <c r="R172" s="22"/>
      <c r="S172" s="26" t="str">
        <f>IFERROR(VLOOKUP(T172,Apoio!A:B,2,0),"")</f>
        <v/>
      </c>
      <c r="T172" s="22">
        <f>IFERROR(VLOOKUP(C172,'[1]TB DIN'!$B:$H,4,0),"AGUARDANDO ANEXO")</f>
        <v>0</v>
      </c>
      <c r="U172" s="22">
        <f>IFERROR(VLOOKUP(C172,'[1]TB DIN INCLUIDOS'!$B:$H,4,0),"AGUARDANDO ANEXO")</f>
        <v>0</v>
      </c>
      <c r="V172" s="26" cm="1">
        <f t="array" ref="V172">_xlfn.IFS((U172&gt;S172),(S172*2),(U172&lt;=S172),(U172*2))</f>
        <v>0</v>
      </c>
      <c r="W172" s="22"/>
      <c r="X172" s="26">
        <f>IFERROR(VLOOKUP(Y172,Apoio!A:B,2,0),"")</f>
        <v>3</v>
      </c>
      <c r="Y172" s="22">
        <v>51</v>
      </c>
      <c r="Z172" s="22">
        <f>IFERROR(VLOOKUP(C172,'[1]TB DIN INCLUIDOS'!$B:$H,5,0),"AGUARDANDO ANEXO")</f>
        <v>1</v>
      </c>
      <c r="AA172" s="26" cm="1">
        <f t="array" ref="AA172">_xlfn.IFS((Z172&gt;X172),(X172*2),(Z172&lt;=X172),(Z172*2))</f>
        <v>2</v>
      </c>
      <c r="AB172" s="22"/>
      <c r="AC172" s="26">
        <f>IFERROR(VLOOKUP(AD172,Apoio!A:B,2,0),"")</f>
        <v>3</v>
      </c>
      <c r="AD172" s="22">
        <v>67</v>
      </c>
      <c r="AE172" s="22">
        <f>IFERROR(VLOOKUP(C172,'[1]TB DIN INCLUIDOS'!$B:$H,6,0),"AGUARDANDO ANEXO")</f>
        <v>1</v>
      </c>
      <c r="AF172" s="26" cm="1">
        <f t="array" ref="AF172">_xlfn.IFS((AE172&gt;AC172),(AC172*2),(AE172&lt;=AC172),(AE172*2))</f>
        <v>2</v>
      </c>
      <c r="AG172" s="22"/>
      <c r="AH172" s="28">
        <f t="shared" si="14"/>
        <v>118</v>
      </c>
      <c r="AI172" s="28">
        <f t="shared" si="15"/>
        <v>2</v>
      </c>
      <c r="AJ172" s="28">
        <f t="shared" si="16"/>
        <v>4</v>
      </c>
      <c r="AK172" s="28">
        <f t="shared" si="17"/>
        <v>0</v>
      </c>
      <c r="AL172" s="28">
        <f t="shared" si="18"/>
        <v>-2</v>
      </c>
      <c r="AM172" s="23" t="s">
        <v>1707</v>
      </c>
      <c r="AN172" s="37">
        <f>VLOOKUP(C172,'[2]MARÇO-2024'!$B:$M,12,0)</f>
        <v>118</v>
      </c>
      <c r="AO172" s="37">
        <f t="shared" si="19"/>
        <v>0</v>
      </c>
      <c r="AP172" s="37" t="str">
        <f t="shared" si="20"/>
        <v/>
      </c>
    </row>
    <row r="173" spans="1:42" ht="13.5" customHeight="1" x14ac:dyDescent="0.25">
      <c r="A173" s="17">
        <v>6</v>
      </c>
      <c r="B173" s="17">
        <v>8</v>
      </c>
      <c r="C173" s="29">
        <v>6009</v>
      </c>
      <c r="D173" s="38">
        <v>33186138</v>
      </c>
      <c r="E173" s="18" t="s">
        <v>476</v>
      </c>
      <c r="F173" s="68" t="s">
        <v>721</v>
      </c>
      <c r="G173" s="62" t="s">
        <v>223</v>
      </c>
      <c r="H173" s="19" t="s">
        <v>1003</v>
      </c>
      <c r="I173" s="19" t="s">
        <v>1194</v>
      </c>
      <c r="J173" s="19" t="s">
        <v>1393</v>
      </c>
      <c r="K173" s="20" t="s">
        <v>1601</v>
      </c>
      <c r="L173" s="21">
        <v>322</v>
      </c>
      <c r="M173" s="21"/>
      <c r="N173" s="26" t="str">
        <f>IFERROR(VLOOKUP(O173,Apoio!A:B,2,0),"")</f>
        <v/>
      </c>
      <c r="O173" s="22">
        <f>IFERROR(VLOOKUP(C173,'[1]TB DIN'!$B:$D,3,0),"AGUARDANDO ANEXO")</f>
        <v>0</v>
      </c>
      <c r="P173" s="22">
        <f>IFERROR(VLOOKUP(C173,'[1]TB DIN INCLUIDOS'!$B:$H,3,0),"AGUARDANDO ANEXO")</f>
        <v>0</v>
      </c>
      <c r="Q173" s="26" cm="1">
        <f t="array" ref="Q173">_xlfn.IFS((P173&gt;N173),(N173*2),(P173&lt;=N173),(P173*2))</f>
        <v>0</v>
      </c>
      <c r="R173" s="22"/>
      <c r="S173" s="26" t="str">
        <f>IFERROR(VLOOKUP(T173,Apoio!A:B,2,0),"")</f>
        <v/>
      </c>
      <c r="T173" s="22">
        <f>IFERROR(VLOOKUP(C173,'[1]TB DIN'!$B:$H,4,0),"AGUARDANDO ANEXO")</f>
        <v>0</v>
      </c>
      <c r="U173" s="22">
        <f>IFERROR(VLOOKUP(C173,'[1]TB DIN INCLUIDOS'!$B:$H,4,0),"AGUARDANDO ANEXO")</f>
        <v>0</v>
      </c>
      <c r="V173" s="26" cm="1">
        <f t="array" ref="V173">_xlfn.IFS((U173&gt;S173),(S173*2),(U173&lt;=S173),(U173*2))</f>
        <v>0</v>
      </c>
      <c r="W173" s="22"/>
      <c r="X173" s="26">
        <f>IFERROR(VLOOKUP(Y173,Apoio!A:B,2,0),"")</f>
        <v>6</v>
      </c>
      <c r="Y173" s="22">
        <v>139</v>
      </c>
      <c r="Z173" s="22">
        <v>3</v>
      </c>
      <c r="AA173" s="26" cm="1">
        <f t="array" ref="AA173">_xlfn.IFS((Z173&gt;X173),(X173*2),(Z173&lt;=X173),(Z173*2))</f>
        <v>6</v>
      </c>
      <c r="AB173" s="22"/>
      <c r="AC173" s="26">
        <f>IFERROR(VLOOKUP(AD173,Apoio!A:B,2,0),"")</f>
        <v>7</v>
      </c>
      <c r="AD173" s="22">
        <v>164</v>
      </c>
      <c r="AE173" s="22">
        <v>10</v>
      </c>
      <c r="AF173" s="26" cm="1">
        <f t="array" ref="AF173">_xlfn.IFS((AE173&gt;AC173),(AC173*2),(AE173&lt;=AC173),(AE173*2))</f>
        <v>14</v>
      </c>
      <c r="AG173" s="22"/>
      <c r="AH173" s="28">
        <f t="shared" si="14"/>
        <v>303</v>
      </c>
      <c r="AI173" s="28">
        <f t="shared" si="15"/>
        <v>13</v>
      </c>
      <c r="AJ173" s="28">
        <f t="shared" si="16"/>
        <v>20</v>
      </c>
      <c r="AK173" s="28">
        <f t="shared" si="17"/>
        <v>0</v>
      </c>
      <c r="AL173" s="28">
        <f t="shared" si="18"/>
        <v>-1</v>
      </c>
      <c r="AM173" s="23" t="s">
        <v>1707</v>
      </c>
      <c r="AN173" s="37">
        <f>VLOOKUP(C173,'[2]MARÇO-2024'!$B:$M,12,0)</f>
        <v>313</v>
      </c>
      <c r="AO173" s="37">
        <f t="shared" si="19"/>
        <v>10</v>
      </c>
      <c r="AP173" s="37" t="str">
        <f t="shared" si="20"/>
        <v/>
      </c>
    </row>
    <row r="174" spans="1:42" ht="13.5" customHeight="1" x14ac:dyDescent="0.25">
      <c r="A174" s="17">
        <v>6</v>
      </c>
      <c r="B174" s="17">
        <v>9</v>
      </c>
      <c r="C174" s="29">
        <v>6012</v>
      </c>
      <c r="D174" s="38">
        <v>33192766</v>
      </c>
      <c r="E174" s="18" t="s">
        <v>474</v>
      </c>
      <c r="F174" s="68" t="s">
        <v>719</v>
      </c>
      <c r="G174" s="64" t="s">
        <v>221</v>
      </c>
      <c r="H174" s="19" t="s">
        <v>1001</v>
      </c>
      <c r="I174" s="19" t="s">
        <v>1193</v>
      </c>
      <c r="J174" s="19" t="s">
        <v>1391</v>
      </c>
      <c r="K174" s="20" t="s">
        <v>1599</v>
      </c>
      <c r="L174" s="21">
        <v>134</v>
      </c>
      <c r="M174" s="21"/>
      <c r="N174" s="26" t="str">
        <f>IFERROR(VLOOKUP(O174,Apoio!A:B,2,0),"")</f>
        <v/>
      </c>
      <c r="O174" s="22">
        <f>IFERROR(VLOOKUP(C174,'[1]TB DIN'!$B:$D,3,0),"AGUARDANDO ANEXO")</f>
        <v>0</v>
      </c>
      <c r="P174" s="22">
        <f>IFERROR(VLOOKUP(C174,'[1]TB DIN INCLUIDOS'!$B:$H,3,0),"AGUARDANDO ANEXO")</f>
        <v>0</v>
      </c>
      <c r="Q174" s="26" cm="1">
        <f t="array" ref="Q174">_xlfn.IFS((P174&gt;N174),(N174*2),(P174&lt;=N174),(P174*2))</f>
        <v>0</v>
      </c>
      <c r="R174" s="22"/>
      <c r="S174" s="26">
        <f>IFERROR(VLOOKUP(T174,Apoio!A:B,2,0),"")</f>
        <v>2</v>
      </c>
      <c r="T174" s="22">
        <f>IFERROR(VLOOKUP(C174,'[1]TB DIN'!$B:$H,4,0),"AGUARDANDO ANEXO")</f>
        <v>44</v>
      </c>
      <c r="U174" s="22">
        <f>IFERROR(VLOOKUP(C174,'[1]TB DIN INCLUIDOS'!$B:$H,4,0),"AGUARDANDO ANEXO")</f>
        <v>0</v>
      </c>
      <c r="V174" s="26" cm="1">
        <f t="array" ref="V174">_xlfn.IFS((U174&gt;S174),(S174*2),(U174&lt;=S174),(U174*2))</f>
        <v>0</v>
      </c>
      <c r="W174" s="22"/>
      <c r="X174" s="26">
        <f>IFERROR(VLOOKUP(Y174,Apoio!A:B,2,0),"")</f>
        <v>2</v>
      </c>
      <c r="Y174" s="22">
        <f>IFERROR(VLOOKUP(C174,'[1]TB DIN'!$B:$H,5,0),"AGUARDANDO ANEXO")</f>
        <v>44</v>
      </c>
      <c r="Z174" s="22">
        <f>IFERROR(VLOOKUP(C174,'[1]TB DIN INCLUIDOS'!$B:$H,5,0),"AGUARDANDO ANEXO")</f>
        <v>0</v>
      </c>
      <c r="AA174" s="26" cm="1">
        <f t="array" ref="AA174">_xlfn.IFS((Z174&gt;X174),(X174*2),(Z174&lt;=X174),(Z174*2))</f>
        <v>0</v>
      </c>
      <c r="AB174" s="22"/>
      <c r="AC174" s="26">
        <f>IFERROR(VLOOKUP(AD174,Apoio!A:B,2,0),"")</f>
        <v>2</v>
      </c>
      <c r="AD174" s="22">
        <f>IFERROR(VLOOKUP(C174,'[1]TB DIN'!$B:$H,6,0),"AGUARDANDO ANEXO")</f>
        <v>44</v>
      </c>
      <c r="AE174" s="22">
        <f>IFERROR(VLOOKUP(C174,'[1]TB DIN INCLUIDOS'!$B:$H,6,0),"AGUARDANDO ANEXO")</f>
        <v>2</v>
      </c>
      <c r="AF174" s="26" cm="1">
        <f t="array" ref="AF174">_xlfn.IFS((AE174&gt;AC174),(AC174*2),(AE174&lt;=AC174),(AE174*2))</f>
        <v>4</v>
      </c>
      <c r="AG174" s="22"/>
      <c r="AH174" s="28">
        <f t="shared" si="14"/>
        <v>132</v>
      </c>
      <c r="AI174" s="28">
        <f t="shared" si="15"/>
        <v>2</v>
      </c>
      <c r="AJ174" s="28">
        <f t="shared" si="16"/>
        <v>4</v>
      </c>
      <c r="AK174" s="28">
        <f t="shared" si="17"/>
        <v>0</v>
      </c>
      <c r="AL174" s="28">
        <f t="shared" si="18"/>
        <v>-2</v>
      </c>
      <c r="AM174" s="23" t="s">
        <v>1849</v>
      </c>
      <c r="AN174" s="37">
        <f>VLOOKUP(C174,'[2]MARÇO-2024'!$B:$M,12,0)</f>
        <v>135</v>
      </c>
      <c r="AO174" s="37">
        <f t="shared" si="19"/>
        <v>3</v>
      </c>
      <c r="AP174" s="37" t="str">
        <f t="shared" si="20"/>
        <v/>
      </c>
    </row>
    <row r="175" spans="1:42" ht="13.5" customHeight="1" x14ac:dyDescent="0.25">
      <c r="A175" s="17">
        <v>6</v>
      </c>
      <c r="B175" s="17">
        <v>10</v>
      </c>
      <c r="C175" s="29">
        <v>6013</v>
      </c>
      <c r="D175" s="38">
        <v>33190429</v>
      </c>
      <c r="E175" s="18" t="s">
        <v>478</v>
      </c>
      <c r="F175" s="68" t="s">
        <v>723</v>
      </c>
      <c r="G175" s="62" t="s">
        <v>225</v>
      </c>
      <c r="H175" s="19" t="s">
        <v>1005</v>
      </c>
      <c r="I175" s="19" t="s">
        <v>1196</v>
      </c>
      <c r="J175" s="19" t="s">
        <v>1395</v>
      </c>
      <c r="K175" s="20" t="s">
        <v>1602</v>
      </c>
      <c r="L175" s="21">
        <v>103</v>
      </c>
      <c r="M175" s="21"/>
      <c r="N175" s="26" t="str">
        <f>IFERROR(VLOOKUP(O175,Apoio!A:B,2,0),"")</f>
        <v/>
      </c>
      <c r="O175" s="22">
        <f>IFERROR(VLOOKUP(C175,'[1]TB DIN'!$B:$D,3,0),"AGUARDANDO ANEXO")</f>
        <v>0</v>
      </c>
      <c r="P175" s="22">
        <f>IFERROR(VLOOKUP(C175,'[1]TB DIN INCLUIDOS'!$B:$H,3,0),"AGUARDANDO ANEXO")</f>
        <v>0</v>
      </c>
      <c r="Q175" s="26" cm="1">
        <f t="array" ref="Q175">_xlfn.IFS((P175&gt;N175),(N175*2),(P175&lt;=N175),(P175*2))</f>
        <v>0</v>
      </c>
      <c r="R175" s="22"/>
      <c r="S175" s="26">
        <f>IFERROR(VLOOKUP(T175,Apoio!A:B,2,0),"")</f>
        <v>1</v>
      </c>
      <c r="T175" s="22">
        <f>IFERROR(VLOOKUP(C175,'[1]TB DIN'!$B:$H,4,0),"AGUARDANDO ANEXO")</f>
        <v>24</v>
      </c>
      <c r="U175" s="22">
        <f>IFERROR(VLOOKUP(C175,'[1]TB DIN INCLUIDOS'!$B:$H,4,0),"AGUARDANDO ANEXO")</f>
        <v>1</v>
      </c>
      <c r="V175" s="26" cm="1">
        <f t="array" ref="V175">_xlfn.IFS((U175&gt;S175),(S175*2),(U175&lt;=S175),(U175*2))</f>
        <v>2</v>
      </c>
      <c r="W175" s="22"/>
      <c r="X175" s="26">
        <f>IFERROR(VLOOKUP(Y175,Apoio!A:B,2,0),"")</f>
        <v>2</v>
      </c>
      <c r="Y175" s="22">
        <v>27</v>
      </c>
      <c r="Z175" s="22">
        <f>IFERROR(VLOOKUP(C175,'[1]TB DIN INCLUIDOS'!$B:$H,5,0),"AGUARDANDO ANEXO")</f>
        <v>0</v>
      </c>
      <c r="AA175" s="26" cm="1">
        <f t="array" ref="AA175">_xlfn.IFS((Z175&gt;X175),(X175*2),(Z175&lt;=X175),(Z175*2))</f>
        <v>0</v>
      </c>
      <c r="AB175" s="22"/>
      <c r="AC175" s="26">
        <f>IFERROR(VLOOKUP(AD175,Apoio!A:B,2,0),"")</f>
        <v>2</v>
      </c>
      <c r="AD175" s="22">
        <v>49</v>
      </c>
      <c r="AE175" s="22">
        <f>IFERROR(VLOOKUP(C175,'[1]TB DIN INCLUIDOS'!$B:$H,6,0),"AGUARDANDO ANEXO")</f>
        <v>0</v>
      </c>
      <c r="AF175" s="26" cm="1">
        <f t="array" ref="AF175">_xlfn.IFS((AE175&gt;AC175),(AC175*2),(AE175&lt;=AC175),(AE175*2))</f>
        <v>0</v>
      </c>
      <c r="AG175" s="22"/>
      <c r="AH175" s="28">
        <f t="shared" si="14"/>
        <v>100</v>
      </c>
      <c r="AI175" s="28">
        <f t="shared" si="15"/>
        <v>1</v>
      </c>
      <c r="AJ175" s="28">
        <f t="shared" si="16"/>
        <v>2</v>
      </c>
      <c r="AK175" s="28">
        <f t="shared" si="17"/>
        <v>1</v>
      </c>
      <c r="AL175" s="28">
        <f t="shared" si="18"/>
        <v>0</v>
      </c>
      <c r="AM175" s="23" t="s">
        <v>1707</v>
      </c>
      <c r="AN175" s="37">
        <f>VLOOKUP(C175,'[2]MARÇO-2024'!$B:$M,12,0)</f>
        <v>103</v>
      </c>
      <c r="AO175" s="37">
        <f t="shared" si="19"/>
        <v>3</v>
      </c>
      <c r="AP175" s="37" t="str">
        <f t="shared" si="20"/>
        <v/>
      </c>
    </row>
    <row r="176" spans="1:42" ht="13.5" customHeight="1" x14ac:dyDescent="0.25">
      <c r="A176" s="17">
        <v>6</v>
      </c>
      <c r="B176" s="17">
        <v>11</v>
      </c>
      <c r="C176" s="29">
        <v>6015</v>
      </c>
      <c r="D176" s="38">
        <v>33194955</v>
      </c>
      <c r="E176" s="18" t="s">
        <v>472</v>
      </c>
      <c r="F176" s="68" t="s">
        <v>729</v>
      </c>
      <c r="G176" s="62" t="s">
        <v>231</v>
      </c>
      <c r="H176" s="19" t="s">
        <v>1671</v>
      </c>
      <c r="I176" s="19" t="s">
        <v>43</v>
      </c>
      <c r="J176" s="19" t="s">
        <v>1401</v>
      </c>
      <c r="K176" s="20" t="s">
        <v>1603</v>
      </c>
      <c r="L176" s="21">
        <v>365</v>
      </c>
      <c r="M176" s="21"/>
      <c r="N176" s="26" t="str">
        <f>IFERROR(VLOOKUP(O176,Apoio!A:B,2,0),"")</f>
        <v/>
      </c>
      <c r="O176" s="22">
        <f>IFERROR(VLOOKUP(C176,'[1]TB DIN'!$B:$D,3,0),"AGUARDANDO ANEXO")</f>
        <v>0</v>
      </c>
      <c r="P176" s="22">
        <f>IFERROR(VLOOKUP(C176,'[1]TB DIN INCLUIDOS'!$B:$H,3,0),"AGUARDANDO ANEXO")</f>
        <v>0</v>
      </c>
      <c r="Q176" s="26" cm="1">
        <f t="array" ref="Q176">_xlfn.IFS((P176&gt;N176),(N176*2),(P176&lt;=N176),(P176*2))</f>
        <v>0</v>
      </c>
      <c r="R176" s="22"/>
      <c r="S176" s="26">
        <f>IFERROR(VLOOKUP(T176,Apoio!A:B,2,0),"")</f>
        <v>3</v>
      </c>
      <c r="T176" s="22">
        <v>60</v>
      </c>
      <c r="U176" s="22">
        <f>IFERROR(VLOOKUP(C176,'[1]TB DIN INCLUIDOS'!$B:$H,4,0),"AGUARDANDO ANEXO")</f>
        <v>0</v>
      </c>
      <c r="V176" s="26" cm="1">
        <f t="array" ref="V176">_xlfn.IFS((U176&gt;S176),(S176*2),(U176&lt;=S176),(U176*2))</f>
        <v>0</v>
      </c>
      <c r="W176" s="22"/>
      <c r="X176" s="26">
        <f>IFERROR(VLOOKUP(Y176,Apoio!A:B,2,0),"")</f>
        <v>6</v>
      </c>
      <c r="Y176" s="22">
        <v>129</v>
      </c>
      <c r="Z176" s="22">
        <f>IFERROR(VLOOKUP(C176,'[1]TB DIN INCLUIDOS'!$B:$H,5,0),"AGUARDANDO ANEXO")</f>
        <v>3</v>
      </c>
      <c r="AA176" s="26" cm="1">
        <f t="array" ref="AA176">_xlfn.IFS((Z176&gt;X176),(X176*2),(Z176&lt;=X176),(Z176*2))</f>
        <v>6</v>
      </c>
      <c r="AB176" s="22"/>
      <c r="AC176" s="26">
        <f>IFERROR(VLOOKUP(AD176,Apoio!A:B,2,0),"")</f>
        <v>7</v>
      </c>
      <c r="AD176" s="22">
        <v>162</v>
      </c>
      <c r="AE176" s="22">
        <f>IFERROR(VLOOKUP(C176,'[1]TB DIN INCLUIDOS'!$B:$H,6,0),"AGUARDANDO ANEXO")</f>
        <v>4</v>
      </c>
      <c r="AF176" s="26" cm="1">
        <f t="array" ref="AF176">_xlfn.IFS((AE176&gt;AC176),(AC176*2),(AE176&lt;=AC176),(AE176*2))</f>
        <v>8</v>
      </c>
      <c r="AG176" s="22"/>
      <c r="AH176" s="28">
        <f t="shared" si="14"/>
        <v>351</v>
      </c>
      <c r="AI176" s="28">
        <f t="shared" si="15"/>
        <v>7</v>
      </c>
      <c r="AJ176" s="28">
        <f t="shared" si="16"/>
        <v>14</v>
      </c>
      <c r="AK176" s="28">
        <f t="shared" si="17"/>
        <v>0</v>
      </c>
      <c r="AL176" s="28">
        <f t="shared" si="18"/>
        <v>0</v>
      </c>
      <c r="AM176" s="23" t="s">
        <v>1707</v>
      </c>
      <c r="AN176" s="37">
        <f>VLOOKUP(C176,'[2]MARÇO-2024'!$B:$M,12,0)</f>
        <v>346</v>
      </c>
      <c r="AO176" s="37">
        <f t="shared" si="19"/>
        <v>-5</v>
      </c>
      <c r="AP176" s="37" t="str">
        <f t="shared" si="20"/>
        <v/>
      </c>
    </row>
    <row r="177" spans="1:42" ht="13.5" customHeight="1" x14ac:dyDescent="0.25">
      <c r="A177" s="17">
        <v>6</v>
      </c>
      <c r="B177" s="17">
        <v>12</v>
      </c>
      <c r="C177" s="29">
        <v>6016</v>
      </c>
      <c r="D177" s="38">
        <v>33195544</v>
      </c>
      <c r="E177" s="18">
        <v>73563637000160</v>
      </c>
      <c r="F177" s="68">
        <v>61056</v>
      </c>
      <c r="G177" s="62" t="s">
        <v>863</v>
      </c>
      <c r="H177" s="19" t="s">
        <v>864</v>
      </c>
      <c r="I177" s="19" t="s">
        <v>1198</v>
      </c>
      <c r="J177" s="19" t="s">
        <v>1402</v>
      </c>
      <c r="K177" s="20" t="s">
        <v>1604</v>
      </c>
      <c r="L177" s="21">
        <v>184</v>
      </c>
      <c r="M177" s="21"/>
      <c r="N177" s="26" t="str">
        <f>IFERROR(VLOOKUP(O177,Apoio!A:B,2,0),"")</f>
        <v/>
      </c>
      <c r="O177" s="22">
        <f>IFERROR(VLOOKUP(C177,'[1]TB DIN'!$B:$D,3,0),"AGUARDANDO ANEXO")</f>
        <v>0</v>
      </c>
      <c r="P177" s="22">
        <f>IFERROR(VLOOKUP(C177,'[1]TB DIN INCLUIDOS'!$B:$H,3,0),"AGUARDANDO ANEXO")</f>
        <v>0</v>
      </c>
      <c r="Q177" s="26" cm="1">
        <f t="array" ref="Q177">_xlfn.IFS((P177&gt;N177),(N177*2),(P177&lt;=N177),(P177*2))</f>
        <v>0</v>
      </c>
      <c r="R177" s="22"/>
      <c r="S177" s="26">
        <f>IFERROR(VLOOKUP(T177,Apoio!A:B,2,0),"")</f>
        <v>2</v>
      </c>
      <c r="T177" s="22">
        <f>IFERROR(VLOOKUP(C177,'[1]TB DIN'!$B:$H,4,0),"AGUARDANDO ANEXO")</f>
        <v>47</v>
      </c>
      <c r="U177" s="22">
        <f>IFERROR(VLOOKUP(C177,'[1]TB DIN INCLUIDOS'!$B:$H,4,0),"AGUARDANDO ANEXO")</f>
        <v>1</v>
      </c>
      <c r="V177" s="26" cm="1">
        <f t="array" ref="V177">_xlfn.IFS((U177&gt;S177),(S177*2),(U177&lt;=S177),(U177*2))</f>
        <v>2</v>
      </c>
      <c r="W177" s="22"/>
      <c r="X177" s="26">
        <f>IFERROR(VLOOKUP(Y177,Apoio!A:B,2,0),"")</f>
        <v>3</v>
      </c>
      <c r="Y177" s="22">
        <f>IFERROR(VLOOKUP(C177,'[1]TB DIN'!$B:$H,5,0),"AGUARDANDO ANEXO")</f>
        <v>57</v>
      </c>
      <c r="Z177" s="22">
        <f>IFERROR(VLOOKUP(C177,'[1]TB DIN INCLUIDOS'!$B:$H,5,0),"AGUARDANDO ANEXO")</f>
        <v>0</v>
      </c>
      <c r="AA177" s="26" cm="1">
        <f t="array" ref="AA177">_xlfn.IFS((Z177&gt;X177),(X177*2),(Z177&lt;=X177),(Z177*2))</f>
        <v>0</v>
      </c>
      <c r="AB177" s="22"/>
      <c r="AC177" s="26">
        <f>IFERROR(VLOOKUP(AD177,Apoio!A:B,2,0),"")</f>
        <v>3</v>
      </c>
      <c r="AD177" s="22">
        <v>73</v>
      </c>
      <c r="AE177" s="22">
        <v>5</v>
      </c>
      <c r="AF177" s="26" cm="1">
        <f t="array" ref="AF177">_xlfn.IFS((AE177&gt;AC177),(AC177*2),(AE177&lt;=AC177),(AE177*2))</f>
        <v>6</v>
      </c>
      <c r="AG177" s="22"/>
      <c r="AH177" s="28">
        <f t="shared" si="14"/>
        <v>177</v>
      </c>
      <c r="AI177" s="28">
        <f t="shared" si="15"/>
        <v>6</v>
      </c>
      <c r="AJ177" s="28">
        <f t="shared" si="16"/>
        <v>8</v>
      </c>
      <c r="AK177" s="28">
        <f t="shared" si="17"/>
        <v>0</v>
      </c>
      <c r="AL177" s="28">
        <f t="shared" si="18"/>
        <v>-1</v>
      </c>
      <c r="AM177" s="23" t="s">
        <v>1707</v>
      </c>
      <c r="AN177" s="37">
        <f>VLOOKUP(C177,'[2]MARÇO-2024'!$B:$M,12,0)</f>
        <v>176</v>
      </c>
      <c r="AO177" s="37">
        <f t="shared" si="19"/>
        <v>-1</v>
      </c>
      <c r="AP177" s="37" t="str">
        <f t="shared" si="20"/>
        <v/>
      </c>
    </row>
    <row r="178" spans="1:42" ht="13.5" customHeight="1" x14ac:dyDescent="0.25">
      <c r="A178" s="17">
        <v>6</v>
      </c>
      <c r="B178" s="17">
        <v>13</v>
      </c>
      <c r="C178" s="29">
        <v>6017</v>
      </c>
      <c r="D178" s="43">
        <v>33198420</v>
      </c>
      <c r="E178" s="18"/>
      <c r="F178" s="68"/>
      <c r="G178" s="62" t="s">
        <v>1736</v>
      </c>
      <c r="H178" s="19" t="s">
        <v>1672</v>
      </c>
      <c r="I178" s="19" t="s">
        <v>1837</v>
      </c>
      <c r="J178" s="19" t="s">
        <v>1785</v>
      </c>
      <c r="K178" s="20" t="s">
        <v>1599</v>
      </c>
      <c r="L178" s="21">
        <v>45</v>
      </c>
      <c r="M178" s="21"/>
      <c r="N178" s="26" t="str">
        <f>IFERROR(VLOOKUP(O178,Apoio!A:B,2,0),"")</f>
        <v/>
      </c>
      <c r="O178" s="22">
        <f>IFERROR(VLOOKUP(C178,'[1]TB DIN'!$B:$D,3,0),"AGUARDANDO ANEXO")</f>
        <v>0</v>
      </c>
      <c r="P178" s="22">
        <f>IFERROR(VLOOKUP(C178,'[1]TB DIN INCLUIDOS'!$B:$H,3,0),"AGUARDANDO ANEXO")</f>
        <v>0</v>
      </c>
      <c r="Q178" s="26" cm="1">
        <f t="array" ref="Q178">_xlfn.IFS((P178&gt;N178),(N178*2),(P178&lt;=N178),(P178*2))</f>
        <v>0</v>
      </c>
      <c r="R178" s="22"/>
      <c r="S178" s="26">
        <f>IFERROR(VLOOKUP(T178,Apoio!A:B,2,0),"")</f>
        <v>1</v>
      </c>
      <c r="T178" s="22">
        <f>IFERROR(VLOOKUP(C178,'[1]TB DIN'!$B:$H,4,0),"AGUARDANDO ANEXO")</f>
        <v>12</v>
      </c>
      <c r="U178" s="22">
        <f>IFERROR(VLOOKUP(C178,'[1]TB DIN INCLUIDOS'!$B:$H,4,0),"AGUARDANDO ANEXO")</f>
        <v>0</v>
      </c>
      <c r="V178" s="26" cm="1">
        <f t="array" ref="V178">_xlfn.IFS((U178&gt;S178),(S178*2),(U178&lt;=S178),(U178*2))</f>
        <v>0</v>
      </c>
      <c r="W178" s="22"/>
      <c r="X178" s="26">
        <f>IFERROR(VLOOKUP(Y178,Apoio!A:B,2,0),"")</f>
        <v>1</v>
      </c>
      <c r="Y178" s="22">
        <v>13</v>
      </c>
      <c r="Z178" s="22">
        <f>IFERROR(VLOOKUP(C178,'[1]TB DIN INCLUIDOS'!$B:$H,5,0),"AGUARDANDO ANEXO")</f>
        <v>0</v>
      </c>
      <c r="AA178" s="26" cm="1">
        <f t="array" ref="AA178">_xlfn.IFS((Z178&gt;X178),(X178*2),(Z178&lt;=X178),(Z178*2))</f>
        <v>0</v>
      </c>
      <c r="AB178" s="22"/>
      <c r="AC178" s="26">
        <f>IFERROR(VLOOKUP(AD178,Apoio!A:B,2,0),"")</f>
        <v>1</v>
      </c>
      <c r="AD178" s="22">
        <v>20</v>
      </c>
      <c r="AE178" s="22">
        <f>IFERROR(VLOOKUP(C178,'[1]TB DIN INCLUIDOS'!$B:$H,6,0),"AGUARDANDO ANEXO")</f>
        <v>0</v>
      </c>
      <c r="AF178" s="26" cm="1">
        <f t="array" ref="AF178">_xlfn.IFS((AE178&gt;AC178),(AC178*2),(AE178&lt;=AC178),(AE178*2))</f>
        <v>0</v>
      </c>
      <c r="AG178" s="22"/>
      <c r="AH178" s="28">
        <f t="shared" si="14"/>
        <v>45</v>
      </c>
      <c r="AI178" s="28">
        <f t="shared" si="15"/>
        <v>0</v>
      </c>
      <c r="AJ178" s="28">
        <f t="shared" si="16"/>
        <v>0</v>
      </c>
      <c r="AK178" s="28">
        <f t="shared" si="17"/>
        <v>0</v>
      </c>
      <c r="AL178" s="28">
        <f t="shared" si="18"/>
        <v>0</v>
      </c>
      <c r="AM178" s="23" t="s">
        <v>1709</v>
      </c>
      <c r="AN178" s="37">
        <f>VLOOKUP(C178,'[2]MARÇO-2024'!$B:$M,12,0)</f>
        <v>45</v>
      </c>
      <c r="AO178" s="37">
        <f t="shared" si="19"/>
        <v>0</v>
      </c>
      <c r="AP178" s="37" t="str">
        <f t="shared" si="20"/>
        <v/>
      </c>
    </row>
    <row r="179" spans="1:42" ht="13.5" customHeight="1" x14ac:dyDescent="0.25">
      <c r="A179" s="17">
        <v>6</v>
      </c>
      <c r="B179" s="17">
        <v>14</v>
      </c>
      <c r="C179" s="29">
        <v>6018</v>
      </c>
      <c r="D179" s="38">
        <v>33199566</v>
      </c>
      <c r="E179" s="18"/>
      <c r="F179" s="68"/>
      <c r="G179" s="62" t="s">
        <v>1710</v>
      </c>
      <c r="H179" s="19" t="s">
        <v>1673</v>
      </c>
      <c r="I179" s="19" t="s">
        <v>39</v>
      </c>
      <c r="J179" s="19" t="s">
        <v>1786</v>
      </c>
      <c r="K179" s="20" t="s">
        <v>1787</v>
      </c>
      <c r="L179" s="21">
        <v>70</v>
      </c>
      <c r="M179" s="21"/>
      <c r="N179" s="26" t="str">
        <f>IFERROR(VLOOKUP(O179,Apoio!A:B,2,0),"")</f>
        <v/>
      </c>
      <c r="O179" s="22">
        <f>IFERROR(VLOOKUP(C179,'[1]TB DIN'!$B:$D,3,0),"AGUARDANDO ANEXO")</f>
        <v>0</v>
      </c>
      <c r="P179" s="22">
        <f>IFERROR(VLOOKUP(C179,'[1]TB DIN INCLUIDOS'!$B:$H,3,0),"AGUARDANDO ANEXO")</f>
        <v>0</v>
      </c>
      <c r="Q179" s="26" cm="1">
        <f t="array" ref="Q179">_xlfn.IFS((P179&gt;N179),(N179*2),(P179&lt;=N179),(P179*2))</f>
        <v>0</v>
      </c>
      <c r="R179" s="22"/>
      <c r="S179" s="26">
        <f>IFERROR(VLOOKUP(T179,Apoio!A:B,2,0),"")</f>
        <v>1</v>
      </c>
      <c r="T179" s="22">
        <v>13</v>
      </c>
      <c r="U179" s="22">
        <f>IFERROR(VLOOKUP(C179,'[1]TB DIN INCLUIDOS'!$B:$H,4,0),"AGUARDANDO ANEXO")</f>
        <v>0</v>
      </c>
      <c r="V179" s="26" cm="1">
        <f t="array" ref="V179">_xlfn.IFS((U179&gt;S179),(S179*2),(U179&lt;=S179),(U179*2))</f>
        <v>0</v>
      </c>
      <c r="W179" s="22"/>
      <c r="X179" s="26">
        <f>IFERROR(VLOOKUP(Y179,Apoio!A:B,2,0),"")</f>
        <v>2</v>
      </c>
      <c r="Y179" s="22">
        <v>29</v>
      </c>
      <c r="Z179" s="22">
        <f>IFERROR(VLOOKUP(C179,'[1]TB DIN INCLUIDOS'!$B:$H,5,0),"AGUARDANDO ANEXO")</f>
        <v>1</v>
      </c>
      <c r="AA179" s="26" cm="1">
        <f t="array" ref="AA179">_xlfn.IFS((Z179&gt;X179),(X179*2),(Z179&lt;=X179),(Z179*2))</f>
        <v>2</v>
      </c>
      <c r="AB179" s="22"/>
      <c r="AC179" s="26">
        <f>IFERROR(VLOOKUP(AD179,Apoio!A:B,2,0),"")</f>
        <v>1</v>
      </c>
      <c r="AD179" s="22">
        <v>25</v>
      </c>
      <c r="AE179" s="22">
        <f>IFERROR(VLOOKUP(C179,'[1]TB DIN INCLUIDOS'!$B:$H,6,0),"AGUARDANDO ANEXO")</f>
        <v>2</v>
      </c>
      <c r="AF179" s="26" cm="1">
        <f t="array" ref="AF179">_xlfn.IFS((AE179&gt;AC179),(AC179*2),(AE179&lt;=AC179),(AE179*2))</f>
        <v>2</v>
      </c>
      <c r="AG179" s="22"/>
      <c r="AH179" s="28">
        <f t="shared" si="14"/>
        <v>67</v>
      </c>
      <c r="AI179" s="28">
        <f t="shared" si="15"/>
        <v>3</v>
      </c>
      <c r="AJ179" s="28">
        <f t="shared" si="16"/>
        <v>4</v>
      </c>
      <c r="AK179" s="28">
        <f t="shared" si="17"/>
        <v>0</v>
      </c>
      <c r="AL179" s="28">
        <f t="shared" si="18"/>
        <v>-1</v>
      </c>
      <c r="AM179" s="23" t="s">
        <v>1709</v>
      </c>
      <c r="AN179" s="37">
        <f>VLOOKUP(C179,'[2]MARÇO-2024'!$B:$M,12,0)</f>
        <v>66</v>
      </c>
      <c r="AO179" s="37">
        <f t="shared" si="19"/>
        <v>-1</v>
      </c>
      <c r="AP179" s="37" t="str">
        <f t="shared" si="20"/>
        <v/>
      </c>
    </row>
    <row r="180" spans="1:42" ht="13.5" customHeight="1" x14ac:dyDescent="0.25">
      <c r="A180" s="17">
        <v>7</v>
      </c>
      <c r="B180" s="17">
        <v>1</v>
      </c>
      <c r="C180" s="29">
        <v>7001</v>
      </c>
      <c r="D180" s="38">
        <v>33095485</v>
      </c>
      <c r="E180" s="18" t="s">
        <v>488</v>
      </c>
      <c r="F180" s="68" t="s">
        <v>736</v>
      </c>
      <c r="G180" s="62" t="s">
        <v>238</v>
      </c>
      <c r="H180" s="19" t="s">
        <v>1016</v>
      </c>
      <c r="I180" s="19" t="s">
        <v>1203</v>
      </c>
      <c r="J180" s="19" t="s">
        <v>1409</v>
      </c>
      <c r="K180" s="20" t="s">
        <v>1609</v>
      </c>
      <c r="L180" s="21">
        <v>140</v>
      </c>
      <c r="M180" s="21"/>
      <c r="N180" s="26" t="str">
        <f>IFERROR(VLOOKUP(O180,Apoio!A:B,2,0),"")</f>
        <v/>
      </c>
      <c r="O180" s="22">
        <f>IFERROR(VLOOKUP(C180,'[1]TB DIN'!$B:$D,3,0),"AGUARDANDO ANEXO")</f>
        <v>0</v>
      </c>
      <c r="P180" s="22">
        <f>IFERROR(VLOOKUP(C180,'[1]TB DIN INCLUIDOS'!$B:$H,3,0),"AGUARDANDO ANEXO")</f>
        <v>0</v>
      </c>
      <c r="Q180" s="26" cm="1">
        <f t="array" ref="Q180">_xlfn.IFS((P180&gt;N180),(N180*2),(P180&lt;=N180),(P180*2))</f>
        <v>0</v>
      </c>
      <c r="R180" s="22"/>
      <c r="S180" s="26">
        <f>IFERROR(VLOOKUP(T180,Apoio!A:B,2,0),"")</f>
        <v>2</v>
      </c>
      <c r="T180" s="22">
        <f>IFERROR(VLOOKUP(C180,'[1]TB DIN'!$B:$H,4,0),"AGUARDANDO ANEXO")</f>
        <v>44</v>
      </c>
      <c r="U180" s="22">
        <f>IFERROR(VLOOKUP(C180,'[1]TB DIN INCLUIDOS'!$B:$H,4,0),"AGUARDANDO ANEXO")</f>
        <v>0</v>
      </c>
      <c r="V180" s="26" cm="1">
        <f t="array" ref="V180">_xlfn.IFS((U180&gt;S180),(S180*2),(U180&lt;=S180),(U180*2))</f>
        <v>0</v>
      </c>
      <c r="W180" s="22"/>
      <c r="X180" s="26">
        <f>IFERROR(VLOOKUP(Y180,Apoio!A:B,2,0),"")</f>
        <v>2</v>
      </c>
      <c r="Y180" s="22">
        <f>IFERROR(VLOOKUP(C180,'[1]TB DIN'!$B:$H,5,0),"AGUARDANDO ANEXO")</f>
        <v>48</v>
      </c>
      <c r="Z180" s="22">
        <f>IFERROR(VLOOKUP(C180,'[1]TB DIN INCLUIDOS'!$B:$H,5,0),"AGUARDANDO ANEXO")</f>
        <v>0</v>
      </c>
      <c r="AA180" s="26" cm="1">
        <f t="array" ref="AA180">_xlfn.IFS((Z180&gt;X180),(X180*2),(Z180&lt;=X180),(Z180*2))</f>
        <v>0</v>
      </c>
      <c r="AB180" s="22"/>
      <c r="AC180" s="26">
        <f>IFERROR(VLOOKUP(AD180,Apoio!A:B,2,0),"")</f>
        <v>2</v>
      </c>
      <c r="AD180" s="22">
        <v>49</v>
      </c>
      <c r="AE180" s="22">
        <f>IFERROR(VLOOKUP(C180,'[1]TB DIN INCLUIDOS'!$B:$H,6,0),"AGUARDANDO ANEXO")</f>
        <v>0</v>
      </c>
      <c r="AF180" s="26" cm="1">
        <f t="array" ref="AF180">_xlfn.IFS((AE180&gt;AC180),(AC180*2),(AE180&lt;=AC180),(AE180*2))</f>
        <v>0</v>
      </c>
      <c r="AG180" s="22"/>
      <c r="AH180" s="28">
        <f t="shared" si="14"/>
        <v>141</v>
      </c>
      <c r="AI180" s="28">
        <f t="shared" si="15"/>
        <v>0</v>
      </c>
      <c r="AJ180" s="28">
        <f t="shared" si="16"/>
        <v>0</v>
      </c>
      <c r="AK180" s="28">
        <f t="shared" si="17"/>
        <v>0</v>
      </c>
      <c r="AL180" s="28">
        <f t="shared" si="18"/>
        <v>-1</v>
      </c>
      <c r="AM180" s="23" t="s">
        <v>1707</v>
      </c>
      <c r="AN180" s="37">
        <f>VLOOKUP(C180,'[2]MARÇO-2024'!$B:$M,12,0)</f>
        <v>140</v>
      </c>
      <c r="AO180" s="37">
        <f t="shared" si="19"/>
        <v>-1</v>
      </c>
      <c r="AP180" s="37" t="str">
        <f t="shared" si="20"/>
        <v>Qt de aluno maior que a meta</v>
      </c>
    </row>
    <row r="181" spans="1:42" ht="13.5" customHeight="1" x14ac:dyDescent="0.25">
      <c r="A181" s="17">
        <v>7</v>
      </c>
      <c r="B181" s="17">
        <v>2</v>
      </c>
      <c r="C181" s="29">
        <v>7002</v>
      </c>
      <c r="D181" s="38">
        <v>33095531</v>
      </c>
      <c r="E181" s="18" t="s">
        <v>485</v>
      </c>
      <c r="F181" s="68" t="s">
        <v>732</v>
      </c>
      <c r="G181" s="62" t="s">
        <v>234</v>
      </c>
      <c r="H181" s="19" t="s">
        <v>1013</v>
      </c>
      <c r="I181" s="19" t="s">
        <v>1200</v>
      </c>
      <c r="J181" s="19" t="s">
        <v>1405</v>
      </c>
      <c r="K181" s="20" t="s">
        <v>1607</v>
      </c>
      <c r="L181" s="21">
        <v>115</v>
      </c>
      <c r="M181" s="21"/>
      <c r="N181" s="26" t="str">
        <f>IFERROR(VLOOKUP(O181,Apoio!A:B,2,0),"")</f>
        <v/>
      </c>
      <c r="O181" s="22">
        <f>IFERROR(VLOOKUP(C181,'[1]TB DIN'!$B:$D,3,0),"AGUARDANDO ANEXO")</f>
        <v>0</v>
      </c>
      <c r="P181" s="22">
        <f>IFERROR(VLOOKUP(C181,'[1]TB DIN INCLUIDOS'!$B:$H,3,0),"AGUARDANDO ANEXO")</f>
        <v>0</v>
      </c>
      <c r="Q181" s="26" cm="1">
        <f t="array" ref="Q181">_xlfn.IFS((P181&gt;N181),(N181*2),(P181&lt;=N181),(P181*2))</f>
        <v>0</v>
      </c>
      <c r="R181" s="22"/>
      <c r="S181" s="26">
        <f>IFERROR(VLOOKUP(T181,Apoio!A:B,2,0),"")</f>
        <v>1</v>
      </c>
      <c r="T181" s="22">
        <f>IFERROR(VLOOKUP(C181,'[1]TB DIN'!$B:$H,4,0),"AGUARDANDO ANEXO")</f>
        <v>19</v>
      </c>
      <c r="U181" s="22">
        <f>IFERROR(VLOOKUP(C181,'[1]TB DIN INCLUIDOS'!$B:$H,4,0),"AGUARDANDO ANEXO")</f>
        <v>0</v>
      </c>
      <c r="V181" s="26" cm="1">
        <f t="array" ref="V181">_xlfn.IFS((U181&gt;S181),(S181*2),(U181&lt;=S181),(U181*2))</f>
        <v>0</v>
      </c>
      <c r="W181" s="22"/>
      <c r="X181" s="26">
        <f>IFERROR(VLOOKUP(Y181,Apoio!A:B,2,0),"")</f>
        <v>2</v>
      </c>
      <c r="Y181" s="22">
        <v>41</v>
      </c>
      <c r="Z181" s="22">
        <f>IFERROR(VLOOKUP(C181,'[1]TB DIN INCLUIDOS'!$B:$H,5,0),"AGUARDANDO ANEXO")</f>
        <v>0</v>
      </c>
      <c r="AA181" s="26" cm="1">
        <f t="array" ref="AA181">_xlfn.IFS((Z181&gt;X181),(X181*2),(Z181&lt;=X181),(Z181*2))</f>
        <v>0</v>
      </c>
      <c r="AB181" s="22"/>
      <c r="AC181" s="26">
        <f>IFERROR(VLOOKUP(AD181,Apoio!A:B,2,0),"")</f>
        <v>3</v>
      </c>
      <c r="AD181" s="22">
        <f>IFERROR(VLOOKUP(C181,'[1]TB DIN'!$B:$H,6,0),"AGUARDANDO ANEXO")</f>
        <v>52</v>
      </c>
      <c r="AE181" s="22">
        <v>2</v>
      </c>
      <c r="AF181" s="26" cm="1">
        <f t="array" ref="AF181">_xlfn.IFS((AE181&gt;AC181),(AC181*2),(AE181&lt;=AC181),(AE181*2))</f>
        <v>4</v>
      </c>
      <c r="AG181" s="22"/>
      <c r="AH181" s="28">
        <f t="shared" si="14"/>
        <v>112</v>
      </c>
      <c r="AI181" s="28">
        <f t="shared" si="15"/>
        <v>2</v>
      </c>
      <c r="AJ181" s="28">
        <f t="shared" si="16"/>
        <v>4</v>
      </c>
      <c r="AK181" s="28">
        <f t="shared" si="17"/>
        <v>0</v>
      </c>
      <c r="AL181" s="28">
        <f t="shared" si="18"/>
        <v>-1</v>
      </c>
      <c r="AM181" s="23" t="s">
        <v>1707</v>
      </c>
      <c r="AN181" s="37">
        <f>VLOOKUP(C181,'[2]MARÇO-2024'!$B:$M,12,0)</f>
        <v>113</v>
      </c>
      <c r="AO181" s="37">
        <f t="shared" si="19"/>
        <v>1</v>
      </c>
      <c r="AP181" s="37" t="str">
        <f t="shared" si="20"/>
        <v/>
      </c>
    </row>
    <row r="182" spans="1:42" ht="13.5" customHeight="1" x14ac:dyDescent="0.25">
      <c r="A182" s="17">
        <v>7</v>
      </c>
      <c r="B182" s="17">
        <v>3</v>
      </c>
      <c r="C182" s="29">
        <v>7003</v>
      </c>
      <c r="D182" s="38">
        <v>33095558</v>
      </c>
      <c r="E182" s="18" t="s">
        <v>486</v>
      </c>
      <c r="F182" s="68" t="s">
        <v>734</v>
      </c>
      <c r="G182" s="64" t="s">
        <v>236</v>
      </c>
      <c r="H182" s="19" t="s">
        <v>1014</v>
      </c>
      <c r="I182" s="19" t="s">
        <v>1201</v>
      </c>
      <c r="J182" s="19" t="s">
        <v>1407</v>
      </c>
      <c r="K182" s="20" t="s">
        <v>1608</v>
      </c>
      <c r="L182" s="21">
        <v>323</v>
      </c>
      <c r="M182" s="21"/>
      <c r="N182" s="26">
        <f>IFERROR(VLOOKUP(O182,Apoio!A:B,2,0),"")</f>
        <v>1</v>
      </c>
      <c r="O182" s="22">
        <f>IFERROR(VLOOKUP(C182,'[1]TB DIN'!$B:$D,3,0),"AGUARDANDO ANEXO")</f>
        <v>12</v>
      </c>
      <c r="P182" s="22">
        <f>IFERROR(VLOOKUP(C182,'[1]TB DIN INCLUIDOS'!$B:$H,3,0),"AGUARDANDO ANEXO")</f>
        <v>0</v>
      </c>
      <c r="Q182" s="26" cm="1">
        <f t="array" ref="Q182">_xlfn.IFS((P182&gt;N182),(N182*2),(P182&lt;=N182),(P182*2))</f>
        <v>0</v>
      </c>
      <c r="R182" s="22"/>
      <c r="S182" s="26">
        <f>IFERROR(VLOOKUP(T182,Apoio!A:B,2,0),"")</f>
        <v>3</v>
      </c>
      <c r="T182" s="22">
        <v>68</v>
      </c>
      <c r="U182" s="22">
        <f>IFERROR(VLOOKUP(C182,'[1]TB DIN INCLUIDOS'!$B:$H,4,0),"AGUARDANDO ANEXO")</f>
        <v>1</v>
      </c>
      <c r="V182" s="26" cm="1">
        <f t="array" ref="V182">_xlfn.IFS((U182&gt;S182),(S182*2),(U182&lt;=S182),(U182*2))</f>
        <v>2</v>
      </c>
      <c r="W182" s="22"/>
      <c r="X182" s="26">
        <f>IFERROR(VLOOKUP(Y182,Apoio!A:B,2,0),"")</f>
        <v>5</v>
      </c>
      <c r="Y182" s="22">
        <v>102</v>
      </c>
      <c r="Z182" s="22">
        <f>IFERROR(VLOOKUP(C182,'[1]TB DIN INCLUIDOS'!$B:$H,5,0),"AGUARDANDO ANEXO")</f>
        <v>3</v>
      </c>
      <c r="AA182" s="26" cm="1">
        <f t="array" ref="AA182">_xlfn.IFS((Z182&gt;X182),(X182*2),(Z182&lt;=X182),(Z182*2))</f>
        <v>6</v>
      </c>
      <c r="AB182" s="22"/>
      <c r="AC182" s="26">
        <f>IFERROR(VLOOKUP(AD182,Apoio!A:B,2,0),"")</f>
        <v>5</v>
      </c>
      <c r="AD182" s="22">
        <v>123</v>
      </c>
      <c r="AE182" s="22">
        <v>6</v>
      </c>
      <c r="AF182" s="26" cm="1">
        <f t="array" ref="AF182">_xlfn.IFS((AE182&gt;AC182),(AC182*2),(AE182&lt;=AC182),(AE182*2))</f>
        <v>10</v>
      </c>
      <c r="AG182" s="22"/>
      <c r="AH182" s="28">
        <f t="shared" si="14"/>
        <v>305</v>
      </c>
      <c r="AI182" s="28">
        <f t="shared" si="15"/>
        <v>10</v>
      </c>
      <c r="AJ182" s="28">
        <f t="shared" si="16"/>
        <v>18</v>
      </c>
      <c r="AK182" s="28">
        <f t="shared" si="17"/>
        <v>0</v>
      </c>
      <c r="AL182" s="28">
        <f t="shared" si="18"/>
        <v>0</v>
      </c>
      <c r="AM182" s="23" t="s">
        <v>1707</v>
      </c>
      <c r="AN182" s="37">
        <f>VLOOKUP(C182,'[2]MARÇO-2024'!$B:$M,12,0)</f>
        <v>309</v>
      </c>
      <c r="AO182" s="37">
        <f t="shared" si="19"/>
        <v>4</v>
      </c>
      <c r="AP182" s="37" t="str">
        <f t="shared" si="20"/>
        <v/>
      </c>
    </row>
    <row r="183" spans="1:42" ht="13.5" customHeight="1" x14ac:dyDescent="0.25">
      <c r="A183" s="17">
        <v>7</v>
      </c>
      <c r="B183" s="17">
        <v>4</v>
      </c>
      <c r="C183" s="29">
        <v>7004</v>
      </c>
      <c r="D183" s="38">
        <v>33106410</v>
      </c>
      <c r="E183" s="18" t="s">
        <v>408</v>
      </c>
      <c r="F183" s="68" t="s">
        <v>730</v>
      </c>
      <c r="G183" s="62" t="s">
        <v>232</v>
      </c>
      <c r="H183" s="19" t="s">
        <v>1011</v>
      </c>
      <c r="I183" s="19" t="s">
        <v>1850</v>
      </c>
      <c r="J183" s="19" t="s">
        <v>1403</v>
      </c>
      <c r="K183" s="20" t="s">
        <v>1605</v>
      </c>
      <c r="L183" s="21">
        <v>144</v>
      </c>
      <c r="M183" s="21"/>
      <c r="N183" s="26" t="str">
        <f>IFERROR(VLOOKUP(O183,Apoio!A:B,2,0),"")</f>
        <v/>
      </c>
      <c r="O183" s="22">
        <f>IFERROR(VLOOKUP(C183,'[1]TB DIN'!$B:$D,3,0),"AGUARDANDO ANEXO")</f>
        <v>0</v>
      </c>
      <c r="P183" s="22">
        <f>IFERROR(VLOOKUP(C183,'[1]TB DIN INCLUIDOS'!$B:$H,3,0),"AGUARDANDO ANEXO")</f>
        <v>0</v>
      </c>
      <c r="Q183" s="26" cm="1">
        <f t="array" ref="Q183">_xlfn.IFS((P183&gt;N183),(N183*2),(P183&lt;=N183),(P183*2))</f>
        <v>0</v>
      </c>
      <c r="R183" s="22"/>
      <c r="S183" s="26" t="str">
        <f>IFERROR(VLOOKUP(T183,Apoio!A:B,2,0),"")</f>
        <v/>
      </c>
      <c r="T183" s="22">
        <f>IFERROR(VLOOKUP(C183,'[1]TB DIN'!$B:$H,4,0),"AGUARDANDO ANEXO")</f>
        <v>0</v>
      </c>
      <c r="U183" s="22">
        <f>IFERROR(VLOOKUP(C183,'[1]TB DIN INCLUIDOS'!$B:$H,4,0),"AGUARDANDO ANEXO")</f>
        <v>0</v>
      </c>
      <c r="V183" s="26" cm="1">
        <f t="array" ref="V183">_xlfn.IFS((U183&gt;S183),(S183*2),(U183&lt;=S183),(U183*2))</f>
        <v>0</v>
      </c>
      <c r="W183" s="22"/>
      <c r="X183" s="26">
        <f>IFERROR(VLOOKUP(Y183,Apoio!A:B,2,0),"")</f>
        <v>3</v>
      </c>
      <c r="Y183" s="22">
        <f>IFERROR(VLOOKUP(C183,'[1]TB DIN'!$B:$H,5,0),"AGUARDANDO ANEXO")</f>
        <v>72</v>
      </c>
      <c r="Z183" s="22">
        <f>IFERROR(VLOOKUP(C183,'[1]TB DIN INCLUIDOS'!$B:$H,5,0),"AGUARDANDO ANEXO")</f>
        <v>1</v>
      </c>
      <c r="AA183" s="26" cm="1">
        <f t="array" ref="AA183">_xlfn.IFS((Z183&gt;X183),(X183*2),(Z183&lt;=X183),(Z183*2))</f>
        <v>2</v>
      </c>
      <c r="AB183" s="22"/>
      <c r="AC183" s="26">
        <f>IFERROR(VLOOKUP(AD183,Apoio!A:B,2,0),"")</f>
        <v>3</v>
      </c>
      <c r="AD183" s="22">
        <f>IFERROR(VLOOKUP(C183,'[1]TB DIN'!$B:$H,6,0),"AGUARDANDO ANEXO")</f>
        <v>72</v>
      </c>
      <c r="AE183" s="22">
        <f>IFERROR(VLOOKUP(C183,'[1]TB DIN INCLUIDOS'!$B:$H,6,0),"AGUARDANDO ANEXO")</f>
        <v>1</v>
      </c>
      <c r="AF183" s="26" cm="1">
        <f t="array" ref="AF183">_xlfn.IFS((AE183&gt;AC183),(AC183*2),(AE183&lt;=AC183),(AE183*2))</f>
        <v>2</v>
      </c>
      <c r="AG183" s="22"/>
      <c r="AH183" s="28">
        <f t="shared" si="14"/>
        <v>144</v>
      </c>
      <c r="AI183" s="28">
        <f t="shared" si="15"/>
        <v>2</v>
      </c>
      <c r="AJ183" s="28">
        <f t="shared" si="16"/>
        <v>4</v>
      </c>
      <c r="AK183" s="28">
        <f t="shared" si="17"/>
        <v>0</v>
      </c>
      <c r="AL183" s="28">
        <f t="shared" si="18"/>
        <v>-4</v>
      </c>
      <c r="AM183" s="23" t="s">
        <v>1834</v>
      </c>
      <c r="AN183" s="37">
        <f>VLOOKUP(C183,'[2]MARÇO-2024'!$B:$M,12,0)</f>
        <v>144</v>
      </c>
      <c r="AO183" s="37">
        <f t="shared" si="19"/>
        <v>0</v>
      </c>
      <c r="AP183" s="37" t="str">
        <f t="shared" si="20"/>
        <v/>
      </c>
    </row>
    <row r="184" spans="1:42" ht="13.5" customHeight="1" x14ac:dyDescent="0.25">
      <c r="A184" s="17">
        <v>7</v>
      </c>
      <c r="B184" s="17">
        <v>5</v>
      </c>
      <c r="C184" s="29">
        <v>7007</v>
      </c>
      <c r="D184" s="38">
        <v>33121028</v>
      </c>
      <c r="E184" s="18" t="s">
        <v>494</v>
      </c>
      <c r="F184" s="68" t="s">
        <v>744</v>
      </c>
      <c r="G184" s="62" t="s">
        <v>246</v>
      </c>
      <c r="H184" s="19" t="s">
        <v>1024</v>
      </c>
      <c r="I184" s="19" t="s">
        <v>1210</v>
      </c>
      <c r="J184" s="19" t="s">
        <v>1417</v>
      </c>
      <c r="K184" s="20" t="s">
        <v>1605</v>
      </c>
      <c r="L184" s="21">
        <v>120</v>
      </c>
      <c r="M184" s="21"/>
      <c r="N184" s="26" t="str">
        <f>IFERROR(VLOOKUP(O184,Apoio!A:B,2,0),"")</f>
        <v/>
      </c>
      <c r="O184" s="22">
        <f>IFERROR(VLOOKUP(C184,'[1]TB DIN'!$B:$D,3,0),"AGUARDANDO ANEXO")</f>
        <v>0</v>
      </c>
      <c r="P184" s="22">
        <f>IFERROR(VLOOKUP(C184,'[1]TB DIN INCLUIDOS'!$B:$H,3,0),"AGUARDANDO ANEXO")</f>
        <v>0</v>
      </c>
      <c r="Q184" s="26" cm="1">
        <f t="array" ref="Q184">_xlfn.IFS((P184&gt;N184),(N184*2),(P184&lt;=N184),(P184*2))</f>
        <v>0</v>
      </c>
      <c r="R184" s="22"/>
      <c r="S184" s="26" t="str">
        <f>IFERROR(VLOOKUP(T184,Apoio!A:B,2,0),"")</f>
        <v/>
      </c>
      <c r="T184" s="22">
        <f>IFERROR(VLOOKUP(C184,'[1]TB DIN'!$B:$H,4,0),"AGUARDANDO ANEXO")</f>
        <v>0</v>
      </c>
      <c r="U184" s="22">
        <f>IFERROR(VLOOKUP(C184,'[1]TB DIN INCLUIDOS'!$B:$H,4,0),"AGUARDANDO ANEXO")</f>
        <v>0</v>
      </c>
      <c r="V184" s="26" cm="1">
        <f t="array" ref="V184">_xlfn.IFS((U184&gt;S184),(S184*2),(U184&lt;=S184),(U184*2))</f>
        <v>0</v>
      </c>
      <c r="W184" s="22"/>
      <c r="X184" s="26">
        <f>IFERROR(VLOOKUP(Y184,Apoio!A:B,2,0),"")</f>
        <v>3</v>
      </c>
      <c r="Y184" s="22">
        <v>58</v>
      </c>
      <c r="Z184" s="22">
        <f>IFERROR(VLOOKUP(C184,'[1]TB DIN INCLUIDOS'!$B:$H,5,0),"AGUARDANDO ANEXO")</f>
        <v>1</v>
      </c>
      <c r="AA184" s="26" cm="1">
        <f t="array" ref="AA184">_xlfn.IFS((Z184&gt;X184),(X184*2),(Z184&lt;=X184),(Z184*2))</f>
        <v>2</v>
      </c>
      <c r="AB184" s="22"/>
      <c r="AC184" s="26">
        <f>IFERROR(VLOOKUP(AD184,Apoio!A:B,2,0),"")</f>
        <v>3</v>
      </c>
      <c r="AD184" s="22">
        <f>IFERROR(VLOOKUP(C184,'[1]TB DIN'!$B:$H,6,0),"AGUARDANDO ANEXO")</f>
        <v>59</v>
      </c>
      <c r="AE184" s="22">
        <f>IFERROR(VLOOKUP(C184,'[1]TB DIN INCLUIDOS'!$B:$H,6,0),"AGUARDANDO ANEXO")</f>
        <v>1</v>
      </c>
      <c r="AF184" s="26" cm="1">
        <f t="array" ref="AF184">_xlfn.IFS((AE184&gt;AC184),(AC184*2),(AE184&lt;=AC184),(AE184*2))</f>
        <v>2</v>
      </c>
      <c r="AG184" s="22"/>
      <c r="AH184" s="28">
        <f t="shared" si="14"/>
        <v>117</v>
      </c>
      <c r="AI184" s="28">
        <f t="shared" si="15"/>
        <v>2</v>
      </c>
      <c r="AJ184" s="28">
        <f t="shared" si="16"/>
        <v>4</v>
      </c>
      <c r="AK184" s="28">
        <f t="shared" si="17"/>
        <v>0</v>
      </c>
      <c r="AL184" s="28">
        <f t="shared" si="18"/>
        <v>-1</v>
      </c>
      <c r="AM184" s="23" t="s">
        <v>1707</v>
      </c>
      <c r="AN184" s="37">
        <f>VLOOKUP(C184,'[2]MARÇO-2024'!$B:$M,12,0)</f>
        <v>116</v>
      </c>
      <c r="AO184" s="37">
        <f t="shared" si="19"/>
        <v>-1</v>
      </c>
      <c r="AP184" s="37" t="str">
        <f t="shared" si="20"/>
        <v/>
      </c>
    </row>
    <row r="185" spans="1:42" ht="13.5" customHeight="1" x14ac:dyDescent="0.25">
      <c r="A185" s="17">
        <v>7</v>
      </c>
      <c r="B185" s="17">
        <v>6</v>
      </c>
      <c r="C185" s="29">
        <v>7008</v>
      </c>
      <c r="D185" s="38">
        <v>33123110</v>
      </c>
      <c r="E185" s="18" t="s">
        <v>491</v>
      </c>
      <c r="F185" s="68" t="s">
        <v>740</v>
      </c>
      <c r="G185" s="62" t="s">
        <v>242</v>
      </c>
      <c r="H185" s="19" t="s">
        <v>1020</v>
      </c>
      <c r="I185" s="19" t="s">
        <v>1206</v>
      </c>
      <c r="J185" s="19" t="s">
        <v>1413</v>
      </c>
      <c r="K185" s="20" t="s">
        <v>1612</v>
      </c>
      <c r="L185" s="21">
        <v>60</v>
      </c>
      <c r="M185" s="21"/>
      <c r="N185" s="26" t="str">
        <f>IFERROR(VLOOKUP(O185,Apoio!A:B,2,0),"")</f>
        <v/>
      </c>
      <c r="O185" s="22">
        <f>IFERROR(VLOOKUP(C185,'[1]TB DIN'!$B:$D,3,0),"AGUARDANDO ANEXO")</f>
        <v>0</v>
      </c>
      <c r="P185" s="22">
        <f>IFERROR(VLOOKUP(C185,'[1]TB DIN INCLUIDOS'!$B:$H,3,0),"AGUARDANDO ANEXO")</f>
        <v>0</v>
      </c>
      <c r="Q185" s="26" cm="1">
        <f t="array" ref="Q185">_xlfn.IFS((P185&gt;N185),(N185*2),(P185&lt;=N185),(P185*2))</f>
        <v>0</v>
      </c>
      <c r="R185" s="22"/>
      <c r="S185" s="26" t="str">
        <f>IFERROR(VLOOKUP(T185,Apoio!A:B,2,0),"")</f>
        <v/>
      </c>
      <c r="T185" s="22">
        <f>IFERROR(VLOOKUP(C185,'[1]TB DIN'!$B:$H,4,0),"AGUARDANDO ANEXO")</f>
        <v>0</v>
      </c>
      <c r="U185" s="22">
        <f>IFERROR(VLOOKUP(C185,'[1]TB DIN INCLUIDOS'!$B:$H,4,0),"AGUARDANDO ANEXO")</f>
        <v>0</v>
      </c>
      <c r="V185" s="26" cm="1">
        <f t="array" ref="V185">_xlfn.IFS((U185&gt;S185),(S185*2),(U185&lt;=S185),(U185*2))</f>
        <v>0</v>
      </c>
      <c r="W185" s="22"/>
      <c r="X185" s="26">
        <f>IFERROR(VLOOKUP(Y185,Apoio!A:B,2,0),"")</f>
        <v>2</v>
      </c>
      <c r="Y185" s="22">
        <v>36</v>
      </c>
      <c r="Z185" s="22">
        <f>IFERROR(VLOOKUP(C185,'[1]TB DIN INCLUIDOS'!$B:$H,5,0),"AGUARDANDO ANEXO")</f>
        <v>0</v>
      </c>
      <c r="AA185" s="26" cm="1">
        <f t="array" ref="AA185">_xlfn.IFS((Z185&gt;X185),(X185*2),(Z185&lt;=X185),(Z185*2))</f>
        <v>0</v>
      </c>
      <c r="AB185" s="22"/>
      <c r="AC185" s="26">
        <f>IFERROR(VLOOKUP(AD185,Apoio!A:B,2,0),"")</f>
        <v>1</v>
      </c>
      <c r="AD185" s="22">
        <v>24</v>
      </c>
      <c r="AE185" s="22">
        <f>IFERROR(VLOOKUP(C185,'[1]TB DIN INCLUIDOS'!$B:$H,6,0),"AGUARDANDO ANEXO")</f>
        <v>0</v>
      </c>
      <c r="AF185" s="26" cm="1">
        <f t="array" ref="AF185">_xlfn.IFS((AE185&gt;AC185),(AC185*2),(AE185&lt;=AC185),(AE185*2))</f>
        <v>0</v>
      </c>
      <c r="AG185" s="22"/>
      <c r="AH185" s="28">
        <f t="shared" si="14"/>
        <v>60</v>
      </c>
      <c r="AI185" s="28">
        <f t="shared" si="15"/>
        <v>0</v>
      </c>
      <c r="AJ185" s="28">
        <f t="shared" si="16"/>
        <v>0</v>
      </c>
      <c r="AK185" s="28">
        <f t="shared" si="17"/>
        <v>0</v>
      </c>
      <c r="AL185" s="28">
        <f t="shared" si="18"/>
        <v>0</v>
      </c>
      <c r="AM185" s="23" t="s">
        <v>1707</v>
      </c>
      <c r="AN185" s="37">
        <f>VLOOKUP(C185,'[2]MARÇO-2024'!$B:$M,12,0)</f>
        <v>60</v>
      </c>
      <c r="AO185" s="37">
        <f t="shared" si="19"/>
        <v>0</v>
      </c>
      <c r="AP185" s="37" t="str">
        <f t="shared" si="20"/>
        <v/>
      </c>
    </row>
    <row r="186" spans="1:42" ht="13.5" customHeight="1" x14ac:dyDescent="0.25">
      <c r="A186" s="17">
        <v>7</v>
      </c>
      <c r="B186" s="17">
        <v>7</v>
      </c>
      <c r="C186" s="29">
        <v>7010</v>
      </c>
      <c r="D186" s="38">
        <v>33127115</v>
      </c>
      <c r="E186" s="18" t="s">
        <v>487</v>
      </c>
      <c r="F186" s="68" t="s">
        <v>735</v>
      </c>
      <c r="G186" s="62" t="s">
        <v>237</v>
      </c>
      <c r="H186" s="19" t="s">
        <v>1015</v>
      </c>
      <c r="I186" s="19" t="s">
        <v>1202</v>
      </c>
      <c r="J186" s="19" t="s">
        <v>1408</v>
      </c>
      <c r="K186" s="20" t="s">
        <v>1605</v>
      </c>
      <c r="L186" s="21">
        <v>83</v>
      </c>
      <c r="M186" s="21"/>
      <c r="N186" s="26" t="str">
        <f>IFERROR(VLOOKUP(O186,Apoio!A:B,2,0),"")</f>
        <v/>
      </c>
      <c r="O186" s="22">
        <f>IFERROR(VLOOKUP(C186,'[1]TB DIN'!$B:$D,3,0),"AGUARDANDO ANEXO")</f>
        <v>0</v>
      </c>
      <c r="P186" s="22">
        <f>IFERROR(VLOOKUP(C186,'[1]TB DIN INCLUIDOS'!$B:$H,3,0),"AGUARDANDO ANEXO")</f>
        <v>0</v>
      </c>
      <c r="Q186" s="26" cm="1">
        <f t="array" ref="Q186">_xlfn.IFS((P186&gt;N186),(N186*2),(P186&lt;=N186),(P186*2))</f>
        <v>0</v>
      </c>
      <c r="R186" s="22"/>
      <c r="S186" s="26" t="str">
        <f>IFERROR(VLOOKUP(T186,Apoio!A:B,2,0),"")</f>
        <v/>
      </c>
      <c r="T186" s="22">
        <f>IFERROR(VLOOKUP(C186,'[1]TB DIN'!$B:$H,4,0),"AGUARDANDO ANEXO")</f>
        <v>0</v>
      </c>
      <c r="U186" s="22">
        <f>IFERROR(VLOOKUP(C186,'[1]TB DIN INCLUIDOS'!$B:$H,4,0),"AGUARDANDO ANEXO")</f>
        <v>0</v>
      </c>
      <c r="V186" s="26" cm="1">
        <f t="array" ref="V186">_xlfn.IFS((U186&gt;S186),(S186*2),(U186&lt;=S186),(U186*2))</f>
        <v>0</v>
      </c>
      <c r="W186" s="22"/>
      <c r="X186" s="26">
        <f>IFERROR(VLOOKUP(Y186,Apoio!A:B,2,0),"")</f>
        <v>2</v>
      </c>
      <c r="Y186" s="22">
        <v>40</v>
      </c>
      <c r="Z186" s="22">
        <f>IFERROR(VLOOKUP(C186,'[1]TB DIN INCLUIDOS'!$B:$H,5,0),"AGUARDANDO ANEXO")</f>
        <v>0</v>
      </c>
      <c r="AA186" s="26" cm="1">
        <f t="array" ref="AA186">_xlfn.IFS((Z186&gt;X186),(X186*2),(Z186&lt;=X186),(Z186*2))</f>
        <v>0</v>
      </c>
      <c r="AB186" s="22"/>
      <c r="AC186" s="26">
        <f>IFERROR(VLOOKUP(AD186,Apoio!A:B,2,0),"")</f>
        <v>2</v>
      </c>
      <c r="AD186" s="22">
        <v>41</v>
      </c>
      <c r="AE186" s="22">
        <f>IFERROR(VLOOKUP(C186,'[1]TB DIN INCLUIDOS'!$B:$H,6,0),"AGUARDANDO ANEXO")</f>
        <v>1</v>
      </c>
      <c r="AF186" s="26" cm="1">
        <f t="array" ref="AF186">_xlfn.IFS((AE186&gt;AC186),(AC186*2),(AE186&lt;=AC186),(AE186*2))</f>
        <v>2</v>
      </c>
      <c r="AG186" s="22"/>
      <c r="AH186" s="28">
        <f t="shared" si="14"/>
        <v>81</v>
      </c>
      <c r="AI186" s="28">
        <f t="shared" si="15"/>
        <v>1</v>
      </c>
      <c r="AJ186" s="28">
        <f t="shared" si="16"/>
        <v>2</v>
      </c>
      <c r="AK186" s="28">
        <f t="shared" si="17"/>
        <v>0</v>
      </c>
      <c r="AL186" s="28">
        <f t="shared" si="18"/>
        <v>0</v>
      </c>
      <c r="AM186" s="23" t="s">
        <v>1707</v>
      </c>
      <c r="AN186" s="37">
        <f>VLOOKUP(C186,'[2]MARÇO-2024'!$B:$M,12,0)</f>
        <v>79</v>
      </c>
      <c r="AO186" s="37">
        <f t="shared" si="19"/>
        <v>-2</v>
      </c>
      <c r="AP186" s="37" t="str">
        <f t="shared" si="20"/>
        <v/>
      </c>
    </row>
    <row r="187" spans="1:42" ht="13.5" customHeight="1" x14ac:dyDescent="0.25">
      <c r="A187" s="17">
        <v>7</v>
      </c>
      <c r="B187" s="17">
        <v>8</v>
      </c>
      <c r="C187" s="29">
        <v>7011</v>
      </c>
      <c r="D187" s="38">
        <v>33144583</v>
      </c>
      <c r="E187" s="18" t="s">
        <v>489</v>
      </c>
      <c r="F187" s="68" t="s">
        <v>738</v>
      </c>
      <c r="G187" s="62" t="s">
        <v>240</v>
      </c>
      <c r="H187" s="19" t="s">
        <v>1018</v>
      </c>
      <c r="I187" s="19" t="s">
        <v>1204</v>
      </c>
      <c r="J187" s="19" t="s">
        <v>1411</v>
      </c>
      <c r="K187" s="20" t="s">
        <v>1610</v>
      </c>
      <c r="L187" s="21">
        <v>170</v>
      </c>
      <c r="M187" s="21"/>
      <c r="N187" s="26" t="str">
        <f>IFERROR(VLOOKUP(O187,Apoio!A:B,2,0),"")</f>
        <v/>
      </c>
      <c r="O187" s="22">
        <f>IFERROR(VLOOKUP(C187,'[1]TB DIN'!$B:$D,3,0),"AGUARDANDO ANEXO")</f>
        <v>0</v>
      </c>
      <c r="P187" s="22">
        <f>IFERROR(VLOOKUP(C187,'[1]TB DIN INCLUIDOS'!$B:$H,3,0),"AGUARDANDO ANEXO")</f>
        <v>0</v>
      </c>
      <c r="Q187" s="26" cm="1">
        <f t="array" ref="Q187">_xlfn.IFS((P187&gt;N187),(N187*2),(P187&lt;=N187),(P187*2))</f>
        <v>0</v>
      </c>
      <c r="R187" s="22"/>
      <c r="S187" s="26" t="str">
        <f>IFERROR(VLOOKUP(T187,Apoio!A:B,2,0),"")</f>
        <v/>
      </c>
      <c r="T187" s="22">
        <f>IFERROR(VLOOKUP(C187,'[1]TB DIN'!$B:$H,4,0),"AGUARDANDO ANEXO")</f>
        <v>0</v>
      </c>
      <c r="U187" s="22">
        <f>IFERROR(VLOOKUP(C187,'[1]TB DIN INCLUIDOS'!$B:$H,4,0),"AGUARDANDO ANEXO")</f>
        <v>0</v>
      </c>
      <c r="V187" s="26" cm="1">
        <f t="array" ref="V187">_xlfn.IFS((U187&gt;S187),(S187*2),(U187&lt;=S187),(U187*2))</f>
        <v>0</v>
      </c>
      <c r="W187" s="22"/>
      <c r="X187" s="26">
        <f>IFERROR(VLOOKUP(Y187,Apoio!A:B,2,0),"")</f>
        <v>4</v>
      </c>
      <c r="Y187" s="22">
        <v>76</v>
      </c>
      <c r="Z187" s="22">
        <f>IFERROR(VLOOKUP(C187,'[1]TB DIN INCLUIDOS'!$B:$H,5,0),"AGUARDANDO ANEXO")</f>
        <v>1</v>
      </c>
      <c r="AA187" s="26" cm="1">
        <f t="array" ref="AA187">_xlfn.IFS((Z187&gt;X187),(X187*2),(Z187&lt;=X187),(Z187*2))</f>
        <v>2</v>
      </c>
      <c r="AB187" s="22"/>
      <c r="AC187" s="26">
        <f>IFERROR(VLOOKUP(AD187,Apoio!A:B,2,0),"")</f>
        <v>4</v>
      </c>
      <c r="AD187" s="22">
        <v>88</v>
      </c>
      <c r="AE187" s="22">
        <v>3</v>
      </c>
      <c r="AF187" s="26" cm="1">
        <f t="array" ref="AF187">_xlfn.IFS((AE187&gt;AC187),(AC187*2),(AE187&lt;=AC187),(AE187*2))</f>
        <v>6</v>
      </c>
      <c r="AG187" s="22"/>
      <c r="AH187" s="28">
        <f t="shared" si="14"/>
        <v>164</v>
      </c>
      <c r="AI187" s="28">
        <f t="shared" si="15"/>
        <v>4</v>
      </c>
      <c r="AJ187" s="28">
        <f t="shared" si="16"/>
        <v>8</v>
      </c>
      <c r="AK187" s="28">
        <f t="shared" si="17"/>
        <v>0</v>
      </c>
      <c r="AL187" s="28">
        <f t="shared" si="18"/>
        <v>-2</v>
      </c>
      <c r="AM187" s="23" t="s">
        <v>1707</v>
      </c>
      <c r="AN187" s="37">
        <f>VLOOKUP(C187,'[2]MARÇO-2024'!$B:$M,12,0)</f>
        <v>165</v>
      </c>
      <c r="AO187" s="37">
        <f t="shared" si="19"/>
        <v>1</v>
      </c>
      <c r="AP187" s="37" t="str">
        <f t="shared" si="20"/>
        <v/>
      </c>
    </row>
    <row r="188" spans="1:42" ht="13.5" customHeight="1" x14ac:dyDescent="0.25">
      <c r="A188" s="17">
        <v>7</v>
      </c>
      <c r="B188" s="17">
        <v>9</v>
      </c>
      <c r="C188" s="29">
        <v>7013</v>
      </c>
      <c r="D188" s="38">
        <v>33160252</v>
      </c>
      <c r="E188" s="18" t="s">
        <v>454</v>
      </c>
      <c r="F188" s="68" t="s">
        <v>741</v>
      </c>
      <c r="G188" s="66" t="s">
        <v>243</v>
      </c>
      <c r="H188" s="19" t="s">
        <v>1021</v>
      </c>
      <c r="I188" s="19" t="s">
        <v>1207</v>
      </c>
      <c r="J188" s="19" t="s">
        <v>1414</v>
      </c>
      <c r="K188" s="20" t="s">
        <v>1606</v>
      </c>
      <c r="L188" s="21">
        <v>207</v>
      </c>
      <c r="M188" s="21"/>
      <c r="N188" s="26">
        <f>IFERROR(VLOOKUP(O188,Apoio!A:B,2,0),"")</f>
        <v>1</v>
      </c>
      <c r="O188" s="22">
        <f>IFERROR(VLOOKUP(C188,'[1]TB DIN'!$B:$D,3,0),"AGUARDANDO ANEXO")</f>
        <v>23</v>
      </c>
      <c r="P188" s="22">
        <f>IFERROR(VLOOKUP(C188,'[1]TB DIN INCLUIDOS'!$B:$H,3,0),"AGUARDANDO ANEXO")</f>
        <v>0</v>
      </c>
      <c r="Q188" s="26" cm="1">
        <f t="array" ref="Q188">_xlfn.IFS((P188&gt;N188),(N188*2),(P188&lt;=N188),(P188*2))</f>
        <v>0</v>
      </c>
      <c r="R188" s="22"/>
      <c r="S188" s="26">
        <f>IFERROR(VLOOKUP(T188,Apoio!A:B,2,0),"")</f>
        <v>2</v>
      </c>
      <c r="T188" s="22">
        <v>38</v>
      </c>
      <c r="U188" s="22">
        <f>IFERROR(VLOOKUP(C188,'[1]TB DIN INCLUIDOS'!$B:$H,4,0),"AGUARDANDO ANEXO")</f>
        <v>0</v>
      </c>
      <c r="V188" s="26" cm="1">
        <f t="array" ref="V188">_xlfn.IFS((U188&gt;S188),(S188*2),(U188&lt;=S188),(U188*2))</f>
        <v>0</v>
      </c>
      <c r="W188" s="22"/>
      <c r="X188" s="26">
        <f>IFERROR(VLOOKUP(Y188,Apoio!A:B,2,0),"")</f>
        <v>3</v>
      </c>
      <c r="Y188" s="22">
        <v>58</v>
      </c>
      <c r="Z188" s="22">
        <f>IFERROR(VLOOKUP(C188,'[1]TB DIN INCLUIDOS'!$B:$H,5,0),"AGUARDANDO ANEXO")</f>
        <v>1</v>
      </c>
      <c r="AA188" s="26" cm="1">
        <f t="array" ref="AA188">_xlfn.IFS((Z188&gt;X188),(X188*2),(Z188&lt;=X188),(Z188*2))</f>
        <v>2</v>
      </c>
      <c r="AB188" s="22"/>
      <c r="AC188" s="26">
        <f>IFERROR(VLOOKUP(AD188,Apoio!A:B,2,0),"")</f>
        <v>3</v>
      </c>
      <c r="AD188" s="22">
        <f>IFERROR(VLOOKUP(C188,'[1]TB DIN'!$B:$H,6,0),"AGUARDANDO ANEXO")</f>
        <v>68</v>
      </c>
      <c r="AE188" s="22">
        <v>2</v>
      </c>
      <c r="AF188" s="26" cm="1">
        <f t="array" ref="AF188">_xlfn.IFS((AE188&gt;AC188),(AC188*2),(AE188&lt;=AC188),(AE188*2))</f>
        <v>4</v>
      </c>
      <c r="AG188" s="22"/>
      <c r="AH188" s="28">
        <f t="shared" si="14"/>
        <v>187</v>
      </c>
      <c r="AI188" s="28">
        <f t="shared" si="15"/>
        <v>3</v>
      </c>
      <c r="AJ188" s="28">
        <f t="shared" si="16"/>
        <v>6</v>
      </c>
      <c r="AK188" s="28">
        <f t="shared" si="17"/>
        <v>14</v>
      </c>
      <c r="AL188" s="28">
        <f t="shared" si="18"/>
        <v>0</v>
      </c>
      <c r="AM188" s="23" t="s">
        <v>1707</v>
      </c>
      <c r="AN188" s="37">
        <f>VLOOKUP(C188,'[2]MARÇO-2024'!$B:$M,12,0)</f>
        <v>192</v>
      </c>
      <c r="AO188" s="37">
        <f t="shared" si="19"/>
        <v>5</v>
      </c>
      <c r="AP188" s="37" t="str">
        <f t="shared" si="20"/>
        <v/>
      </c>
    </row>
    <row r="189" spans="1:42" ht="13.5" customHeight="1" x14ac:dyDescent="0.25">
      <c r="A189" s="17">
        <v>7</v>
      </c>
      <c r="B189" s="17">
        <v>10</v>
      </c>
      <c r="C189" s="29">
        <v>7014</v>
      </c>
      <c r="D189" s="38">
        <v>33123942</v>
      </c>
      <c r="E189" s="18" t="s">
        <v>484</v>
      </c>
      <c r="F189" s="68" t="s">
        <v>731</v>
      </c>
      <c r="G189" s="62" t="s">
        <v>233</v>
      </c>
      <c r="H189" s="19" t="s">
        <v>1012</v>
      </c>
      <c r="I189" s="19" t="s">
        <v>1199</v>
      </c>
      <c r="J189" s="19" t="s">
        <v>1404</v>
      </c>
      <c r="K189" s="20" t="s">
        <v>1606</v>
      </c>
      <c r="L189" s="21">
        <v>117</v>
      </c>
      <c r="M189" s="21"/>
      <c r="N189" s="26" t="str">
        <f>IFERROR(VLOOKUP(O189,Apoio!A:B,2,0),"")</f>
        <v/>
      </c>
      <c r="O189" s="22">
        <f>IFERROR(VLOOKUP(C189,'[1]TB DIN'!$B:$D,3,0),"AGUARDANDO ANEXO")</f>
        <v>0</v>
      </c>
      <c r="P189" s="22">
        <f>IFERROR(VLOOKUP(C189,'[1]TB DIN INCLUIDOS'!$B:$H,3,0),"AGUARDANDO ANEXO")</f>
        <v>0</v>
      </c>
      <c r="Q189" s="26" cm="1">
        <f t="array" ref="Q189">_xlfn.IFS((P189&gt;N189),(N189*2),(P189&lt;=N189),(P189*2))</f>
        <v>0</v>
      </c>
      <c r="R189" s="22"/>
      <c r="S189" s="26">
        <f>IFERROR(VLOOKUP(T189,Apoio!A:B,2,0),"")</f>
        <v>1</v>
      </c>
      <c r="T189" s="22">
        <f>IFERROR(VLOOKUP(C189,'[1]TB DIN'!$B:$H,4,0),"AGUARDANDO ANEXO")</f>
        <v>24</v>
      </c>
      <c r="U189" s="22">
        <f>IFERROR(VLOOKUP(C189,'[1]TB DIN INCLUIDOS'!$B:$H,4,0),"AGUARDANDO ANEXO")</f>
        <v>1</v>
      </c>
      <c r="V189" s="26" cm="1">
        <f t="array" ref="V189">_xlfn.IFS((U189&gt;S189),(S189*2),(U189&lt;=S189),(U189*2))</f>
        <v>2</v>
      </c>
      <c r="W189" s="22"/>
      <c r="X189" s="26">
        <f>IFERROR(VLOOKUP(Y189,Apoio!A:B,2,0),"")</f>
        <v>2</v>
      </c>
      <c r="Y189" s="22">
        <f>IFERROR(VLOOKUP(C189,'[1]TB DIN'!$B:$H,5,0),"AGUARDANDO ANEXO")</f>
        <v>43</v>
      </c>
      <c r="Z189" s="22">
        <f>IFERROR(VLOOKUP(C189,'[1]TB DIN INCLUIDOS'!$B:$H,5,0),"AGUARDANDO ANEXO")</f>
        <v>0</v>
      </c>
      <c r="AA189" s="26" cm="1">
        <f t="array" ref="AA189">_xlfn.IFS((Z189&gt;X189),(X189*2),(Z189&lt;=X189),(Z189*2))</f>
        <v>0</v>
      </c>
      <c r="AB189" s="22"/>
      <c r="AC189" s="26">
        <f>IFERROR(VLOOKUP(AD189,Apoio!A:B,2,0),"")</f>
        <v>2</v>
      </c>
      <c r="AD189" s="22">
        <f>IFERROR(VLOOKUP(C189,'[1]TB DIN'!$B:$H,6,0),"AGUARDANDO ANEXO")</f>
        <v>48</v>
      </c>
      <c r="AE189" s="22">
        <f>IFERROR(VLOOKUP(C189,'[1]TB DIN INCLUIDOS'!$B:$H,6,0),"AGUARDANDO ANEXO")</f>
        <v>1</v>
      </c>
      <c r="AF189" s="26" cm="1">
        <f t="array" ref="AF189">_xlfn.IFS((AE189&gt;AC189),(AC189*2),(AE189&lt;=AC189),(AE189*2))</f>
        <v>2</v>
      </c>
      <c r="AG189" s="22"/>
      <c r="AH189" s="28">
        <f t="shared" si="14"/>
        <v>115</v>
      </c>
      <c r="AI189" s="28">
        <f t="shared" si="15"/>
        <v>2</v>
      </c>
      <c r="AJ189" s="28">
        <f t="shared" si="16"/>
        <v>4</v>
      </c>
      <c r="AK189" s="28">
        <f t="shared" si="17"/>
        <v>0</v>
      </c>
      <c r="AL189" s="28">
        <f t="shared" si="18"/>
        <v>-2</v>
      </c>
      <c r="AM189" s="23" t="s">
        <v>1707</v>
      </c>
      <c r="AN189" s="37">
        <f>VLOOKUP(C189,'[2]MARÇO-2024'!$B:$M,12,0)</f>
        <v>114</v>
      </c>
      <c r="AO189" s="37">
        <f t="shared" si="19"/>
        <v>-1</v>
      </c>
      <c r="AP189" s="37" t="str">
        <f t="shared" si="20"/>
        <v/>
      </c>
    </row>
    <row r="190" spans="1:42" ht="13.5" customHeight="1" x14ac:dyDescent="0.25">
      <c r="A190" s="17">
        <v>7</v>
      </c>
      <c r="B190" s="17">
        <v>11</v>
      </c>
      <c r="C190" s="29">
        <v>7015</v>
      </c>
      <c r="D190" s="38">
        <v>33165785</v>
      </c>
      <c r="E190" s="18" t="s">
        <v>485</v>
      </c>
      <c r="F190" s="68" t="s">
        <v>733</v>
      </c>
      <c r="G190" s="64" t="s">
        <v>235</v>
      </c>
      <c r="H190" s="19" t="s">
        <v>1661</v>
      </c>
      <c r="I190" s="19" t="s">
        <v>1200</v>
      </c>
      <c r="J190" s="19" t="s">
        <v>1406</v>
      </c>
      <c r="K190" s="20" t="s">
        <v>1607</v>
      </c>
      <c r="L190" s="21">
        <v>232</v>
      </c>
      <c r="M190" s="21"/>
      <c r="N190" s="26">
        <f>IFERROR(VLOOKUP(O190,Apoio!A:B,2,0),"")</f>
        <v>1</v>
      </c>
      <c r="O190" s="22">
        <f>IFERROR(VLOOKUP(C190,'[1]TB DIN'!$B:$D,3,0),"AGUARDANDO ANEXO")</f>
        <v>13</v>
      </c>
      <c r="P190" s="22">
        <f>IFERROR(VLOOKUP(C190,'[1]TB DIN INCLUIDOS'!$B:$H,3,0),"AGUARDANDO ANEXO")</f>
        <v>0</v>
      </c>
      <c r="Q190" s="26" cm="1">
        <f t="array" ref="Q190">_xlfn.IFS((P190&gt;N190),(N190*2),(P190&lt;=N190),(P190*2))</f>
        <v>0</v>
      </c>
      <c r="R190" s="22"/>
      <c r="S190" s="26">
        <f>IFERROR(VLOOKUP(T190,Apoio!A:B,2,0),"")</f>
        <v>3</v>
      </c>
      <c r="T190" s="22">
        <f>IFERROR(VLOOKUP(C190,'[1]TB DIN'!$B:$H,4,0),"AGUARDANDO ANEXO")</f>
        <v>58</v>
      </c>
      <c r="U190" s="22">
        <f>IFERROR(VLOOKUP(C190,'[1]TB DIN INCLUIDOS'!$B:$H,4,0),"AGUARDANDO ANEXO")</f>
        <v>0</v>
      </c>
      <c r="V190" s="26" cm="1">
        <f t="array" ref="V190">_xlfn.IFS((U190&gt;S190),(S190*2),(U190&lt;=S190),(U190*2))</f>
        <v>0</v>
      </c>
      <c r="W190" s="22"/>
      <c r="X190" s="26">
        <f>IFERROR(VLOOKUP(Y190,Apoio!A:B,2,0),"")</f>
        <v>4</v>
      </c>
      <c r="Y190" s="22">
        <v>87</v>
      </c>
      <c r="Z190" s="22">
        <f>IFERROR(VLOOKUP(C190,'[1]TB DIN INCLUIDOS'!$B:$H,5,0),"AGUARDANDO ANEXO")</f>
        <v>0</v>
      </c>
      <c r="AA190" s="26" cm="1">
        <f t="array" ref="AA190">_xlfn.IFS((Z190&gt;X190),(X190*2),(Z190&lt;=X190),(Z190*2))</f>
        <v>0</v>
      </c>
      <c r="AB190" s="22"/>
      <c r="AC190" s="26">
        <f>IFERROR(VLOOKUP(AD190,Apoio!A:B,2,0),"")</f>
        <v>3</v>
      </c>
      <c r="AD190" s="22">
        <v>71</v>
      </c>
      <c r="AE190" s="22">
        <v>3</v>
      </c>
      <c r="AF190" s="26" cm="1">
        <f t="array" ref="AF190">_xlfn.IFS((AE190&gt;AC190),(AC190*2),(AE190&lt;=AC190),(AE190*2))</f>
        <v>6</v>
      </c>
      <c r="AG190" s="22"/>
      <c r="AH190" s="28">
        <f t="shared" si="14"/>
        <v>229</v>
      </c>
      <c r="AI190" s="28">
        <f t="shared" si="15"/>
        <v>3</v>
      </c>
      <c r="AJ190" s="28">
        <f t="shared" si="16"/>
        <v>6</v>
      </c>
      <c r="AK190" s="28">
        <f t="shared" si="17"/>
        <v>0</v>
      </c>
      <c r="AL190" s="28">
        <f t="shared" si="18"/>
        <v>-3</v>
      </c>
      <c r="AM190" s="23" t="s">
        <v>1849</v>
      </c>
      <c r="AN190" s="37">
        <f>VLOOKUP(C190,'[2]MARÇO-2024'!$B:$M,12,0)</f>
        <v>228</v>
      </c>
      <c r="AO190" s="37">
        <f t="shared" si="19"/>
        <v>-1</v>
      </c>
      <c r="AP190" s="37" t="str">
        <f t="shared" si="20"/>
        <v/>
      </c>
    </row>
    <row r="191" spans="1:42" ht="13.5" customHeight="1" x14ac:dyDescent="0.25">
      <c r="A191" s="17">
        <v>7</v>
      </c>
      <c r="B191" s="17">
        <v>12</v>
      </c>
      <c r="C191" s="29">
        <v>7017</v>
      </c>
      <c r="D191" s="38">
        <v>33178216</v>
      </c>
      <c r="E191" s="18" t="s">
        <v>489</v>
      </c>
      <c r="F191" s="68" t="s">
        <v>737</v>
      </c>
      <c r="G191" s="62" t="s">
        <v>239</v>
      </c>
      <c r="H191" s="19" t="s">
        <v>1017</v>
      </c>
      <c r="I191" s="19" t="s">
        <v>1204</v>
      </c>
      <c r="J191" s="19" t="s">
        <v>1410</v>
      </c>
      <c r="K191" s="20" t="s">
        <v>1610</v>
      </c>
      <c r="L191" s="21">
        <v>87</v>
      </c>
      <c r="M191" s="21"/>
      <c r="N191" s="26" t="str">
        <f>IFERROR(VLOOKUP(O191,Apoio!A:B,2,0),"")</f>
        <v/>
      </c>
      <c r="O191" s="22">
        <f>IFERROR(VLOOKUP(C191,'[1]TB DIN'!$B:$D,3,0),"AGUARDANDO ANEXO")</f>
        <v>0</v>
      </c>
      <c r="P191" s="22">
        <f>IFERROR(VLOOKUP(C191,'[1]TB DIN INCLUIDOS'!$B:$H,3,0),"AGUARDANDO ANEXO")</f>
        <v>0</v>
      </c>
      <c r="Q191" s="26" cm="1">
        <f t="array" ref="Q191">_xlfn.IFS((P191&gt;N191),(N191*2),(P191&lt;=N191),(P191*2))</f>
        <v>0</v>
      </c>
      <c r="R191" s="22"/>
      <c r="S191" s="26" t="str">
        <f>IFERROR(VLOOKUP(T191,Apoio!A:B,2,0),"")</f>
        <v/>
      </c>
      <c r="T191" s="22">
        <f>IFERROR(VLOOKUP(C191,'[1]TB DIN'!$B:$H,4,0),"AGUARDANDO ANEXO")</f>
        <v>0</v>
      </c>
      <c r="U191" s="22">
        <f>IFERROR(VLOOKUP(C191,'[1]TB DIN INCLUIDOS'!$B:$H,4,0),"AGUARDANDO ANEXO")</f>
        <v>0</v>
      </c>
      <c r="V191" s="26" cm="1">
        <f t="array" ref="V191">_xlfn.IFS((U191&gt;S191),(S191*2),(U191&lt;=S191),(U191*2))</f>
        <v>0</v>
      </c>
      <c r="W191" s="22"/>
      <c r="X191" s="26">
        <f>IFERROR(VLOOKUP(Y191,Apoio!A:B,2,0),"")</f>
        <v>2</v>
      </c>
      <c r="Y191" s="22">
        <v>29</v>
      </c>
      <c r="Z191" s="22">
        <f>IFERROR(VLOOKUP(C191,'[1]TB DIN INCLUIDOS'!$B:$H,5,0),"AGUARDANDO ANEXO")</f>
        <v>0</v>
      </c>
      <c r="AA191" s="26" cm="1">
        <f t="array" ref="AA191">_xlfn.IFS((Z191&gt;X191),(X191*2),(Z191&lt;=X191),(Z191*2))</f>
        <v>0</v>
      </c>
      <c r="AB191" s="22"/>
      <c r="AC191" s="26">
        <f>IFERROR(VLOOKUP(AD191,Apoio!A:B,2,0),"")</f>
        <v>3</v>
      </c>
      <c r="AD191" s="22">
        <v>52</v>
      </c>
      <c r="AE191" s="22">
        <f>IFERROR(VLOOKUP(C191,'[1]TB DIN INCLUIDOS'!$B:$H,6,0),"AGUARDANDO ANEXO")</f>
        <v>4</v>
      </c>
      <c r="AF191" s="26" cm="1">
        <f t="array" ref="AF191">_xlfn.IFS((AE191&gt;AC191),(AC191*2),(AE191&lt;=AC191),(AE191*2))</f>
        <v>6</v>
      </c>
      <c r="AG191" s="22"/>
      <c r="AH191" s="28">
        <f t="shared" si="14"/>
        <v>81</v>
      </c>
      <c r="AI191" s="28">
        <f t="shared" si="15"/>
        <v>4</v>
      </c>
      <c r="AJ191" s="28">
        <f t="shared" si="16"/>
        <v>6</v>
      </c>
      <c r="AK191" s="28">
        <f t="shared" si="17"/>
        <v>0</v>
      </c>
      <c r="AL191" s="28">
        <f t="shared" si="18"/>
        <v>0</v>
      </c>
      <c r="AM191" s="23" t="s">
        <v>1707</v>
      </c>
      <c r="AN191" s="37">
        <f>VLOOKUP(C191,'[2]MARÇO-2024'!$B:$M,12,0)</f>
        <v>78</v>
      </c>
      <c r="AO191" s="37">
        <f t="shared" si="19"/>
        <v>-3</v>
      </c>
      <c r="AP191" s="37" t="str">
        <f t="shared" si="20"/>
        <v/>
      </c>
    </row>
    <row r="192" spans="1:42" ht="13.5" customHeight="1" x14ac:dyDescent="0.25">
      <c r="A192" s="17">
        <v>7</v>
      </c>
      <c r="B192" s="17">
        <v>13</v>
      </c>
      <c r="C192" s="29">
        <v>7018</v>
      </c>
      <c r="D192" s="38">
        <v>33152373</v>
      </c>
      <c r="E192" s="18" t="s">
        <v>490</v>
      </c>
      <c r="F192" s="68" t="s">
        <v>739</v>
      </c>
      <c r="G192" s="62" t="s">
        <v>241</v>
      </c>
      <c r="H192" s="19" t="s">
        <v>1019</v>
      </c>
      <c r="I192" s="19" t="s">
        <v>1205</v>
      </c>
      <c r="J192" s="19" t="s">
        <v>1412</v>
      </c>
      <c r="K192" s="20" t="s">
        <v>1611</v>
      </c>
      <c r="L192" s="21">
        <v>155</v>
      </c>
      <c r="M192" s="21"/>
      <c r="N192" s="26" t="str">
        <f>IFERROR(VLOOKUP(O192,Apoio!A:B,2,0),"")</f>
        <v/>
      </c>
      <c r="O192" s="22">
        <f>IFERROR(VLOOKUP(C192,'[1]TB DIN'!$B:$D,3,0),"AGUARDANDO ANEXO")</f>
        <v>0</v>
      </c>
      <c r="P192" s="22">
        <f>IFERROR(VLOOKUP(C192,'[1]TB DIN INCLUIDOS'!$B:$H,3,0),"AGUARDANDO ANEXO")</f>
        <v>0</v>
      </c>
      <c r="Q192" s="26" cm="1">
        <f t="array" ref="Q192">_xlfn.IFS((P192&gt;N192),(N192*2),(P192&lt;=N192),(P192*2))</f>
        <v>0</v>
      </c>
      <c r="R192" s="22"/>
      <c r="S192" s="26" t="str">
        <f>IFERROR(VLOOKUP(T192,Apoio!A:B,2,0),"")</f>
        <v/>
      </c>
      <c r="T192" s="22">
        <f>IFERROR(VLOOKUP(C192,'[1]TB DIN'!$B:$H,4,0),"AGUARDANDO ANEXO")</f>
        <v>0</v>
      </c>
      <c r="U192" s="22">
        <f>IFERROR(VLOOKUP(C192,'[1]TB DIN INCLUIDOS'!$B:$H,4,0),"AGUARDANDO ANEXO")</f>
        <v>0</v>
      </c>
      <c r="V192" s="26" cm="1">
        <f t="array" ref="V192">_xlfn.IFS((U192&gt;S192),(S192*2),(U192&lt;=S192),(U192*2))</f>
        <v>0</v>
      </c>
      <c r="W192" s="22"/>
      <c r="X192" s="26">
        <f>IFERROR(VLOOKUP(Y192,Apoio!A:B,2,0),"")</f>
        <v>3</v>
      </c>
      <c r="Y192" s="22">
        <f>IFERROR(VLOOKUP(C192,'[1]TB DIN'!$B:$H,5,0),"AGUARDANDO ANEXO")</f>
        <v>71</v>
      </c>
      <c r="Z192" s="22">
        <f>IFERROR(VLOOKUP(C192,'[1]TB DIN INCLUIDOS'!$B:$H,5,0),"AGUARDANDO ANEXO")</f>
        <v>0</v>
      </c>
      <c r="AA192" s="26" cm="1">
        <f t="array" ref="AA192">_xlfn.IFS((Z192&gt;X192),(X192*2),(Z192&lt;=X192),(Z192*2))</f>
        <v>0</v>
      </c>
      <c r="AB192" s="22"/>
      <c r="AC192" s="26">
        <f>IFERROR(VLOOKUP(AD192,Apoio!A:B,2,0),"")</f>
        <v>4</v>
      </c>
      <c r="AD192" s="22">
        <v>83</v>
      </c>
      <c r="AE192" s="22">
        <f>IFERROR(VLOOKUP(C192,'[1]TB DIN INCLUIDOS'!$B:$H,6,0),"AGUARDANDO ANEXO")</f>
        <v>2</v>
      </c>
      <c r="AF192" s="26" cm="1">
        <f t="array" ref="AF192">_xlfn.IFS((AE192&gt;AC192),(AC192*2),(AE192&lt;=AC192),(AE192*2))</f>
        <v>4</v>
      </c>
      <c r="AG192" s="22"/>
      <c r="AH192" s="28">
        <f t="shared" si="14"/>
        <v>154</v>
      </c>
      <c r="AI192" s="28">
        <f t="shared" si="15"/>
        <v>2</v>
      </c>
      <c r="AJ192" s="28">
        <f t="shared" si="16"/>
        <v>4</v>
      </c>
      <c r="AK192" s="28">
        <f t="shared" si="17"/>
        <v>0</v>
      </c>
      <c r="AL192" s="28">
        <f t="shared" si="18"/>
        <v>-3</v>
      </c>
      <c r="AM192" s="23" t="s">
        <v>1707</v>
      </c>
      <c r="AN192" s="37">
        <f>VLOOKUP(C192,'[2]MARÇO-2024'!$B:$M,12,0)</f>
        <v>152</v>
      </c>
      <c r="AO192" s="37">
        <f t="shared" si="19"/>
        <v>-2</v>
      </c>
      <c r="AP192" s="37" t="str">
        <f t="shared" si="20"/>
        <v/>
      </c>
    </row>
    <row r="193" spans="1:42" ht="13.5" customHeight="1" x14ac:dyDescent="0.25">
      <c r="A193" s="17">
        <v>7</v>
      </c>
      <c r="B193" s="17">
        <v>14</v>
      </c>
      <c r="C193" s="29">
        <v>7019</v>
      </c>
      <c r="D193" s="38">
        <v>33165360</v>
      </c>
      <c r="E193" s="18" t="s">
        <v>493</v>
      </c>
      <c r="F193" s="68" t="s">
        <v>743</v>
      </c>
      <c r="G193" s="62" t="s">
        <v>245</v>
      </c>
      <c r="H193" s="19" t="s">
        <v>1023</v>
      </c>
      <c r="I193" s="19" t="s">
        <v>1209</v>
      </c>
      <c r="J193" s="19" t="s">
        <v>1416</v>
      </c>
      <c r="K193" s="20" t="s">
        <v>1611</v>
      </c>
      <c r="L193" s="21">
        <v>195</v>
      </c>
      <c r="M193" s="21"/>
      <c r="N193" s="26" t="str">
        <f>IFERROR(VLOOKUP(O193,Apoio!A:B,2,0),"")</f>
        <v/>
      </c>
      <c r="O193" s="22">
        <f>IFERROR(VLOOKUP(C193,'[1]TB DIN'!$B:$D,3,0),"AGUARDANDO ANEXO")</f>
        <v>0</v>
      </c>
      <c r="P193" s="22">
        <f>IFERROR(VLOOKUP(C193,'[1]TB DIN INCLUIDOS'!$B:$H,3,0),"AGUARDANDO ANEXO")</f>
        <v>0</v>
      </c>
      <c r="Q193" s="26" cm="1">
        <f t="array" ref="Q193">_xlfn.IFS((P193&gt;N193),(N193*2),(P193&lt;=N193),(P193*2))</f>
        <v>0</v>
      </c>
      <c r="R193" s="22"/>
      <c r="S193" s="26" t="str">
        <f>IFERROR(VLOOKUP(T193,Apoio!A:B,2,0),"")</f>
        <v/>
      </c>
      <c r="T193" s="22">
        <f>IFERROR(VLOOKUP(C193,'[1]TB DIN'!$B:$H,4,0),"AGUARDANDO ANEXO")</f>
        <v>0</v>
      </c>
      <c r="U193" s="22">
        <f>IFERROR(VLOOKUP(C193,'[1]TB DIN INCLUIDOS'!$B:$H,4,0),"AGUARDANDO ANEXO")</f>
        <v>0</v>
      </c>
      <c r="V193" s="26" cm="1">
        <f t="array" ref="V193">_xlfn.IFS((U193&gt;S193),(S193*2),(U193&lt;=S193),(U193*2))</f>
        <v>0</v>
      </c>
      <c r="W193" s="22"/>
      <c r="X193" s="26">
        <f>IFERROR(VLOOKUP(Y193,Apoio!A:B,2,0),"")</f>
        <v>4</v>
      </c>
      <c r="Y193" s="22">
        <f>IFERROR(VLOOKUP(C193,'[1]TB DIN'!$B:$H,5,0),"AGUARDANDO ANEXO")</f>
        <v>93</v>
      </c>
      <c r="Z193" s="22">
        <f>IFERROR(VLOOKUP(C193,'[1]TB DIN INCLUIDOS'!$B:$H,5,0),"AGUARDANDO ANEXO")</f>
        <v>2</v>
      </c>
      <c r="AA193" s="26" cm="1">
        <f t="array" ref="AA193">_xlfn.IFS((Z193&gt;X193),(X193*2),(Z193&lt;=X193),(Z193*2))</f>
        <v>4</v>
      </c>
      <c r="AB193" s="22"/>
      <c r="AC193" s="26">
        <f>IFERROR(VLOOKUP(AD193,Apoio!A:B,2,0),"")</f>
        <v>4</v>
      </c>
      <c r="AD193" s="22">
        <f>IFERROR(VLOOKUP(C193,'[1]TB DIN'!$B:$H,6,0),"AGUARDANDO ANEXO")</f>
        <v>96</v>
      </c>
      <c r="AE193" s="22">
        <f>IFERROR(VLOOKUP(C193,'[1]TB DIN INCLUIDOS'!$B:$H,6,0),"AGUARDANDO ANEXO")</f>
        <v>1</v>
      </c>
      <c r="AF193" s="26" cm="1">
        <f t="array" ref="AF193">_xlfn.IFS((AE193&gt;AC193),(AC193*2),(AE193&lt;=AC193),(AE193*2))</f>
        <v>2</v>
      </c>
      <c r="AG193" s="22"/>
      <c r="AH193" s="28">
        <f t="shared" si="14"/>
        <v>189</v>
      </c>
      <c r="AI193" s="28">
        <f t="shared" si="15"/>
        <v>3</v>
      </c>
      <c r="AJ193" s="28">
        <f t="shared" si="16"/>
        <v>6</v>
      </c>
      <c r="AK193" s="28">
        <f t="shared" si="17"/>
        <v>0</v>
      </c>
      <c r="AL193" s="28">
        <f t="shared" si="18"/>
        <v>0</v>
      </c>
      <c r="AM193" s="23" t="s">
        <v>1707</v>
      </c>
      <c r="AN193" s="37">
        <f>VLOOKUP(C193,'[2]MARÇO-2024'!$B:$M,12,0)</f>
        <v>189</v>
      </c>
      <c r="AO193" s="37">
        <f t="shared" si="19"/>
        <v>0</v>
      </c>
      <c r="AP193" s="37" t="str">
        <f t="shared" si="20"/>
        <v/>
      </c>
    </row>
    <row r="194" spans="1:42" ht="13.5" customHeight="1" x14ac:dyDescent="0.25">
      <c r="A194" s="17">
        <v>7</v>
      </c>
      <c r="B194" s="17">
        <v>15</v>
      </c>
      <c r="C194" s="29">
        <v>7020</v>
      </c>
      <c r="D194" s="38">
        <v>33184178</v>
      </c>
      <c r="E194" s="18" t="s">
        <v>492</v>
      </c>
      <c r="F194" s="68" t="s">
        <v>742</v>
      </c>
      <c r="G194" s="62" t="s">
        <v>244</v>
      </c>
      <c r="H194" s="19" t="s">
        <v>1022</v>
      </c>
      <c r="I194" s="19" t="s">
        <v>1208</v>
      </c>
      <c r="J194" s="19" t="s">
        <v>1415</v>
      </c>
      <c r="K194" s="20" t="s">
        <v>1611</v>
      </c>
      <c r="L194" s="21">
        <v>80</v>
      </c>
      <c r="M194" s="21"/>
      <c r="N194" s="26" t="str">
        <f>IFERROR(VLOOKUP(O194,Apoio!A:B,2,0),"")</f>
        <v/>
      </c>
      <c r="O194" s="22">
        <f>IFERROR(VLOOKUP(C194,'[1]TB DIN'!$B:$D,3,0),"AGUARDANDO ANEXO")</f>
        <v>0</v>
      </c>
      <c r="P194" s="22">
        <f>IFERROR(VLOOKUP(C194,'[1]TB DIN INCLUIDOS'!$B:$H,3,0),"AGUARDANDO ANEXO")</f>
        <v>0</v>
      </c>
      <c r="Q194" s="26" cm="1">
        <f t="array" ref="Q194">_xlfn.IFS((P194&gt;N194),(N194*2),(P194&lt;=N194),(P194*2))</f>
        <v>0</v>
      </c>
      <c r="R194" s="22"/>
      <c r="S194" s="26">
        <f>IFERROR(VLOOKUP(T194,Apoio!A:B,2,0),"")</f>
        <v>1</v>
      </c>
      <c r="T194" s="22">
        <f>IFERROR(VLOOKUP(C194,'[1]TB DIN'!$B:$H,4,0),"AGUARDANDO ANEXO")</f>
        <v>11</v>
      </c>
      <c r="U194" s="22">
        <f>IFERROR(VLOOKUP(C194,'[1]TB DIN INCLUIDOS'!$B:$H,4,0),"AGUARDANDO ANEXO")</f>
        <v>0</v>
      </c>
      <c r="V194" s="26" cm="1">
        <f t="array" ref="V194">_xlfn.IFS((U194&gt;S194),(S194*2),(U194&lt;=S194),(U194*2))</f>
        <v>0</v>
      </c>
      <c r="W194" s="22"/>
      <c r="X194" s="26">
        <f>IFERROR(VLOOKUP(Y194,Apoio!A:B,2,0),"")</f>
        <v>3</v>
      </c>
      <c r="Y194" s="22">
        <f>IFERROR(VLOOKUP(C194,'[1]TB DIN'!$B:$H,5,0),"AGUARDANDO ANEXO")</f>
        <v>53</v>
      </c>
      <c r="Z194" s="22">
        <f>IFERROR(VLOOKUP(C194,'[1]TB DIN INCLUIDOS'!$B:$H,5,0),"AGUARDANDO ANEXO")</f>
        <v>0</v>
      </c>
      <c r="AA194" s="26" cm="1">
        <f t="array" ref="AA194">_xlfn.IFS((Z194&gt;X194),(X194*2),(Z194&lt;=X194),(Z194*2))</f>
        <v>0</v>
      </c>
      <c r="AB194" s="22"/>
      <c r="AC194" s="26">
        <f>IFERROR(VLOOKUP(AD194,Apoio!A:B,2,0),"")</f>
        <v>1</v>
      </c>
      <c r="AD194" s="22">
        <f>IFERROR(VLOOKUP(C194,'[1]TB DIN'!$B:$H,6,0),"AGUARDANDO ANEXO")</f>
        <v>15</v>
      </c>
      <c r="AE194" s="22">
        <f>IFERROR(VLOOKUP(C194,'[1]TB DIN INCLUIDOS'!$B:$H,6,0),"AGUARDANDO ANEXO")</f>
        <v>1</v>
      </c>
      <c r="AF194" s="26" cm="1">
        <f t="array" ref="AF194">_xlfn.IFS((AE194&gt;AC194),(AC194*2),(AE194&lt;=AC194),(AE194*2))</f>
        <v>2</v>
      </c>
      <c r="AG194" s="22"/>
      <c r="AH194" s="28">
        <f t="shared" si="14"/>
        <v>79</v>
      </c>
      <c r="AI194" s="28">
        <f t="shared" si="15"/>
        <v>1</v>
      </c>
      <c r="AJ194" s="28">
        <f t="shared" si="16"/>
        <v>2</v>
      </c>
      <c r="AK194" s="28">
        <f t="shared" si="17"/>
        <v>0</v>
      </c>
      <c r="AL194" s="28">
        <f t="shared" si="18"/>
        <v>-1</v>
      </c>
      <c r="AM194" s="23" t="s">
        <v>1707</v>
      </c>
      <c r="AN194" s="37">
        <f>VLOOKUP(C194,'[2]MARÇO-2024'!$B:$M,12,0)</f>
        <v>79</v>
      </c>
      <c r="AO194" s="37">
        <f t="shared" si="19"/>
        <v>0</v>
      </c>
      <c r="AP194" s="37" t="str">
        <f t="shared" si="20"/>
        <v/>
      </c>
    </row>
    <row r="195" spans="1:42" ht="13.5" customHeight="1" x14ac:dyDescent="0.25">
      <c r="A195" s="17">
        <v>7</v>
      </c>
      <c r="B195" s="17">
        <v>16</v>
      </c>
      <c r="C195" s="29">
        <v>7025</v>
      </c>
      <c r="D195" s="38">
        <v>33193177</v>
      </c>
      <c r="E195" s="18" t="s">
        <v>495</v>
      </c>
      <c r="F195" s="68" t="s">
        <v>745</v>
      </c>
      <c r="G195" s="62" t="s">
        <v>247</v>
      </c>
      <c r="H195" s="19" t="s">
        <v>1025</v>
      </c>
      <c r="I195" s="19" t="s">
        <v>1025</v>
      </c>
      <c r="J195" s="19" t="s">
        <v>1418</v>
      </c>
      <c r="K195" s="20" t="s">
        <v>1606</v>
      </c>
      <c r="L195" s="21">
        <v>184</v>
      </c>
      <c r="M195" s="21"/>
      <c r="N195" s="26" t="str">
        <f>IFERROR(VLOOKUP(O195,Apoio!A:B,2,0),"")</f>
        <v/>
      </c>
      <c r="O195" s="22">
        <f>IFERROR(VLOOKUP(C195,'[1]TB DIN'!$B:$D,3,0),"AGUARDANDO ANEXO")</f>
        <v>0</v>
      </c>
      <c r="P195" s="22">
        <f>IFERROR(VLOOKUP(C195,'[1]TB DIN INCLUIDOS'!$B:$H,3,0),"AGUARDANDO ANEXO")</f>
        <v>0</v>
      </c>
      <c r="Q195" s="26" cm="1">
        <f t="array" ref="Q195">_xlfn.IFS((P195&gt;N195),(N195*2),(P195&lt;=N195),(P195*2))</f>
        <v>0</v>
      </c>
      <c r="R195" s="22"/>
      <c r="S195" s="26" t="str">
        <f>IFERROR(VLOOKUP(T195,Apoio!A:B,2,0),"")</f>
        <v/>
      </c>
      <c r="T195" s="22">
        <f>IFERROR(VLOOKUP(C195,'[1]TB DIN'!$B:$H,4,0),"AGUARDANDO ANEXO")</f>
        <v>0</v>
      </c>
      <c r="U195" s="22">
        <f>IFERROR(VLOOKUP(C195,'[1]TB DIN INCLUIDOS'!$B:$H,4,0),"AGUARDANDO ANEXO")</f>
        <v>0</v>
      </c>
      <c r="V195" s="26" cm="1">
        <f t="array" ref="V195">_xlfn.IFS((U195&gt;S195),(S195*2),(U195&lt;=S195),(U195*2))</f>
        <v>0</v>
      </c>
      <c r="W195" s="22"/>
      <c r="X195" s="26">
        <f>IFERROR(VLOOKUP(Y195,Apoio!A:B,2,0),"")</f>
        <v>4</v>
      </c>
      <c r="Y195" s="22">
        <v>90</v>
      </c>
      <c r="Z195" s="22">
        <f>IFERROR(VLOOKUP(C195,'[1]TB DIN INCLUIDOS'!$B:$H,5,0),"AGUARDANDO ANEXO")</f>
        <v>2</v>
      </c>
      <c r="AA195" s="26" cm="1">
        <f t="array" ref="AA195">_xlfn.IFS((Z195&gt;X195),(X195*2),(Z195&lt;=X195),(Z195*2))</f>
        <v>4</v>
      </c>
      <c r="AB195" s="22"/>
      <c r="AC195" s="26">
        <f>IFERROR(VLOOKUP(AD195,Apoio!A:B,2,0),"")</f>
        <v>4</v>
      </c>
      <c r="AD195" s="22">
        <v>88</v>
      </c>
      <c r="AE195" s="22">
        <f>IFERROR(VLOOKUP(C195,'[1]TB DIN INCLUIDOS'!$B:$H,6,0),"AGUARDANDO ANEXO")</f>
        <v>3</v>
      </c>
      <c r="AF195" s="26" cm="1">
        <f t="array" ref="AF195">_xlfn.IFS((AE195&gt;AC195),(AC195*2),(AE195&lt;=AC195),(AE195*2))</f>
        <v>6</v>
      </c>
      <c r="AG195" s="22"/>
      <c r="AH195" s="28">
        <f t="shared" si="14"/>
        <v>178</v>
      </c>
      <c r="AI195" s="28">
        <f t="shared" si="15"/>
        <v>5</v>
      </c>
      <c r="AJ195" s="28">
        <f t="shared" si="16"/>
        <v>10</v>
      </c>
      <c r="AK195" s="28">
        <f t="shared" si="17"/>
        <v>0</v>
      </c>
      <c r="AL195" s="28">
        <f t="shared" si="18"/>
        <v>-4</v>
      </c>
      <c r="AM195" s="23" t="s">
        <v>1849</v>
      </c>
      <c r="AN195" s="37">
        <f>VLOOKUP(C195,'[2]MARÇO-2024'!$B:$M,12,0)</f>
        <v>179</v>
      </c>
      <c r="AO195" s="37">
        <f t="shared" si="19"/>
        <v>1</v>
      </c>
      <c r="AP195" s="37" t="str">
        <f t="shared" si="20"/>
        <v/>
      </c>
    </row>
    <row r="196" spans="1:42" ht="13.5" customHeight="1" x14ac:dyDescent="0.25">
      <c r="A196" s="17">
        <v>7</v>
      </c>
      <c r="B196" s="17">
        <v>17</v>
      </c>
      <c r="C196" s="29">
        <v>7027</v>
      </c>
      <c r="D196" s="38">
        <v>33194912</v>
      </c>
      <c r="E196" s="18" t="s">
        <v>497</v>
      </c>
      <c r="F196" s="68" t="s">
        <v>747</v>
      </c>
      <c r="G196" s="62" t="s">
        <v>249</v>
      </c>
      <c r="H196" s="19" t="s">
        <v>46</v>
      </c>
      <c r="I196" s="19" t="s">
        <v>47</v>
      </c>
      <c r="J196" s="19" t="s">
        <v>1420</v>
      </c>
      <c r="K196" s="20" t="s">
        <v>1613</v>
      </c>
      <c r="L196" s="21">
        <v>202</v>
      </c>
      <c r="M196" s="21"/>
      <c r="N196" s="26">
        <f>IFERROR(VLOOKUP(O196,Apoio!A:B,2,0),"")</f>
        <v>1</v>
      </c>
      <c r="O196" s="22">
        <f>IFERROR(VLOOKUP(C196,'[1]TB DIN'!$B:$D,3,0),"AGUARDANDO ANEXO")</f>
        <v>12</v>
      </c>
      <c r="P196" s="22">
        <f>IFERROR(VLOOKUP(C196,'[1]TB DIN INCLUIDOS'!$B:$H,3,0),"AGUARDANDO ANEXO")</f>
        <v>0</v>
      </c>
      <c r="Q196" s="26" cm="1">
        <f t="array" ref="Q196">_xlfn.IFS((P196&gt;N196),(N196*2),(P196&lt;=N196),(P196*2))</f>
        <v>0</v>
      </c>
      <c r="R196" s="22"/>
      <c r="S196" s="26">
        <f>IFERROR(VLOOKUP(T196,Apoio!A:B,2,0),"")</f>
        <v>2</v>
      </c>
      <c r="T196" s="22">
        <f>IFERROR(VLOOKUP(C196,'[1]TB DIN'!$B:$H,4,0),"AGUARDANDO ANEXO")</f>
        <v>45</v>
      </c>
      <c r="U196" s="22">
        <f>IFERROR(VLOOKUP(C196,'[1]TB DIN INCLUIDOS'!$B:$H,4,0),"AGUARDANDO ANEXO")</f>
        <v>0</v>
      </c>
      <c r="V196" s="26" cm="1">
        <f t="array" ref="V196">_xlfn.IFS((U196&gt;S196),(S196*2),(U196&lt;=S196),(U196*2))</f>
        <v>0</v>
      </c>
      <c r="W196" s="22"/>
      <c r="X196" s="26">
        <f>IFERROR(VLOOKUP(Y196,Apoio!A:B,2,0),"")</f>
        <v>3</v>
      </c>
      <c r="Y196" s="22">
        <f>IFERROR(VLOOKUP(C196,'[1]TB DIN'!$B:$H,5,0),"AGUARDANDO ANEXO")</f>
        <v>66</v>
      </c>
      <c r="Z196" s="22">
        <f>IFERROR(VLOOKUP(C196,'[1]TB DIN INCLUIDOS'!$B:$H,5,0),"AGUARDANDO ANEXO")</f>
        <v>3</v>
      </c>
      <c r="AA196" s="26" cm="1">
        <f t="array" ref="AA196">_xlfn.IFS((Z196&gt;X196),(X196*2),(Z196&lt;=X196),(Z196*2))</f>
        <v>6</v>
      </c>
      <c r="AB196" s="22"/>
      <c r="AC196" s="26">
        <f>IFERROR(VLOOKUP(AD196,Apoio!A:B,2,0),"")</f>
        <v>3</v>
      </c>
      <c r="AD196" s="22">
        <f>IFERROR(VLOOKUP(C196,'[1]TB DIN'!$B:$H,6,0),"AGUARDANDO ANEXO")</f>
        <v>72</v>
      </c>
      <c r="AE196" s="22">
        <f>IFERROR(VLOOKUP(C196,'[1]TB DIN INCLUIDOS'!$B:$H,6,0),"AGUARDANDO ANEXO")</f>
        <v>1</v>
      </c>
      <c r="AF196" s="26" cm="1">
        <f t="array" ref="AF196">_xlfn.IFS((AE196&gt;AC196),(AC196*2),(AE196&lt;=AC196),(AE196*2))</f>
        <v>2</v>
      </c>
      <c r="AG196" s="22"/>
      <c r="AH196" s="28">
        <f t="shared" si="14"/>
        <v>195</v>
      </c>
      <c r="AI196" s="28">
        <f t="shared" si="15"/>
        <v>4</v>
      </c>
      <c r="AJ196" s="28">
        <f t="shared" si="16"/>
        <v>8</v>
      </c>
      <c r="AK196" s="28">
        <f t="shared" si="17"/>
        <v>0</v>
      </c>
      <c r="AL196" s="28">
        <f t="shared" si="18"/>
        <v>-1</v>
      </c>
      <c r="AM196" s="23" t="s">
        <v>1707</v>
      </c>
      <c r="AN196" s="37">
        <f>VLOOKUP(C196,'[2]MARÇO-2024'!$B:$M,12,0)</f>
        <v>196</v>
      </c>
      <c r="AO196" s="37">
        <f t="shared" si="19"/>
        <v>1</v>
      </c>
      <c r="AP196" s="37" t="str">
        <f t="shared" si="20"/>
        <v/>
      </c>
    </row>
    <row r="197" spans="1:42" ht="13.5" customHeight="1" x14ac:dyDescent="0.25">
      <c r="A197" s="17">
        <v>7</v>
      </c>
      <c r="B197" s="17">
        <v>18</v>
      </c>
      <c r="C197" s="29">
        <v>7034</v>
      </c>
      <c r="D197" s="38">
        <v>33194890</v>
      </c>
      <c r="E197" s="18" t="s">
        <v>496</v>
      </c>
      <c r="F197" s="68" t="s">
        <v>746</v>
      </c>
      <c r="G197" s="62" t="s">
        <v>248</v>
      </c>
      <c r="H197" s="19" t="s">
        <v>45</v>
      </c>
      <c r="I197" s="19" t="s">
        <v>45</v>
      </c>
      <c r="J197" s="19" t="s">
        <v>1419</v>
      </c>
      <c r="K197" s="20" t="s">
        <v>1611</v>
      </c>
      <c r="L197" s="21">
        <v>76</v>
      </c>
      <c r="M197" s="21"/>
      <c r="N197" s="26" t="str">
        <f>IFERROR(VLOOKUP(O197,Apoio!A:B,2,0),"")</f>
        <v/>
      </c>
      <c r="O197" s="22">
        <f>IFERROR(VLOOKUP(C197,'[1]TB DIN'!$B:$D,3,0),"AGUARDANDO ANEXO")</f>
        <v>0</v>
      </c>
      <c r="P197" s="22">
        <f>IFERROR(VLOOKUP(C197,'[1]TB DIN INCLUIDOS'!$B:$H,3,0),"AGUARDANDO ANEXO")</f>
        <v>0</v>
      </c>
      <c r="Q197" s="26" cm="1">
        <f t="array" ref="Q197">_xlfn.IFS((P197&gt;N197),(N197*2),(P197&lt;=N197),(P197*2))</f>
        <v>0</v>
      </c>
      <c r="R197" s="22"/>
      <c r="S197" s="26">
        <f>IFERROR(VLOOKUP(T197,Apoio!A:B,2,0),"")</f>
        <v>1</v>
      </c>
      <c r="T197" s="22">
        <v>18</v>
      </c>
      <c r="U197" s="22">
        <f>IFERROR(VLOOKUP(C197,'[1]TB DIN INCLUIDOS'!$B:$H,4,0),"AGUARDANDO ANEXO")</f>
        <v>0</v>
      </c>
      <c r="V197" s="26" cm="1">
        <f t="array" ref="V197">_xlfn.IFS((U197&gt;S197),(S197*2),(U197&lt;=S197),(U197*2))</f>
        <v>0</v>
      </c>
      <c r="W197" s="22"/>
      <c r="X197" s="26">
        <f>IFERROR(VLOOKUP(Y197,Apoio!A:B,2,0),"")</f>
        <v>2</v>
      </c>
      <c r="Y197" s="22">
        <f>IFERROR(VLOOKUP(C197,'[1]TB DIN'!$B:$H,5,0),"AGUARDANDO ANEXO")</f>
        <v>27</v>
      </c>
      <c r="Z197" s="22">
        <f>IFERROR(VLOOKUP(C197,'[1]TB DIN INCLUIDOS'!$B:$H,5,0),"AGUARDANDO ANEXO")</f>
        <v>1</v>
      </c>
      <c r="AA197" s="26" cm="1">
        <f t="array" ref="AA197">_xlfn.IFS((Z197&gt;X197),(X197*2),(Z197&lt;=X197),(Z197*2))</f>
        <v>2</v>
      </c>
      <c r="AB197" s="22"/>
      <c r="AC197" s="26">
        <f>IFERROR(VLOOKUP(AD197,Apoio!A:B,2,0),"")</f>
        <v>2</v>
      </c>
      <c r="AD197" s="22">
        <f>IFERROR(VLOOKUP(C197,'[1]TB DIN'!$B:$H,6,0),"AGUARDANDO ANEXO")</f>
        <v>27</v>
      </c>
      <c r="AE197" s="22">
        <f>IFERROR(VLOOKUP(C197,'[1]TB DIN INCLUIDOS'!$B:$H,6,0),"AGUARDANDO ANEXO")</f>
        <v>1</v>
      </c>
      <c r="AF197" s="26" cm="1">
        <f t="array" ref="AF197">_xlfn.IFS((AE197&gt;AC197),(AC197*2),(AE197&lt;=AC197),(AE197*2))</f>
        <v>2</v>
      </c>
      <c r="AG197" s="22"/>
      <c r="AH197" s="28">
        <f t="shared" ref="AH197:AH260" si="21">SUM(O197,T197,Y197,AD197)</f>
        <v>72</v>
      </c>
      <c r="AI197" s="28">
        <f t="shared" ref="AI197:AI260" si="22">SUM(P197,U197,Z197,AE197)</f>
        <v>2</v>
      </c>
      <c r="AJ197" s="28">
        <f t="shared" ref="AJ197:AJ260" si="23">SUM(Q197,V197,AA197,AF197)</f>
        <v>4</v>
      </c>
      <c r="AK197" s="28">
        <f t="shared" ref="AK197:AK260" si="24">IF(L197-AH197-Q197-V197-AA197-AF197&gt;0,L197-AH197-Q197-V197-AA197-AF197,0)</f>
        <v>0</v>
      </c>
      <c r="AL197" s="28">
        <f t="shared" ref="AL197:AL260" si="25">IF(L197-O197-Q197-T197-V197-Y197-AA197-AD197-AF197&lt;0,L197-O197-Q197-T197-V197-Y197-AA197-AD197-AF197,0)</f>
        <v>0</v>
      </c>
      <c r="AM197" s="23" t="s">
        <v>1707</v>
      </c>
      <c r="AN197" s="37">
        <f>VLOOKUP(C197,'[2]MARÇO-2024'!$B:$M,12,0)</f>
        <v>72</v>
      </c>
      <c r="AO197" s="37">
        <f t="shared" ref="AO197:AO260" si="26">AN197-AH197</f>
        <v>0</v>
      </c>
      <c r="AP197" s="37" t="str">
        <f t="shared" ref="AP197:AP260" si="27">IF(AH197&gt;L197,"Qt de aluno maior que a meta","")</f>
        <v/>
      </c>
    </row>
    <row r="198" spans="1:42" ht="13.5" customHeight="1" x14ac:dyDescent="0.25">
      <c r="A198" s="17">
        <v>7</v>
      </c>
      <c r="B198" s="17">
        <v>19</v>
      </c>
      <c r="C198" s="29">
        <v>7035</v>
      </c>
      <c r="D198" s="38">
        <v>33195080</v>
      </c>
      <c r="E198" s="18" t="s">
        <v>472</v>
      </c>
      <c r="F198" s="68" t="s">
        <v>748</v>
      </c>
      <c r="G198" s="62" t="s">
        <v>250</v>
      </c>
      <c r="H198" s="19" t="s">
        <v>868</v>
      </c>
      <c r="I198" s="19" t="s">
        <v>42</v>
      </c>
      <c r="J198" s="19" t="s">
        <v>1421</v>
      </c>
      <c r="K198" s="20" t="s">
        <v>1611</v>
      </c>
      <c r="L198" s="21">
        <v>219</v>
      </c>
      <c r="M198" s="21"/>
      <c r="N198" s="26" t="str">
        <f>IFERROR(VLOOKUP(O198,Apoio!A:B,2,0),"")</f>
        <v/>
      </c>
      <c r="O198" s="22">
        <f>IFERROR(VLOOKUP(C198,'[1]TB DIN'!$B:$D,3,0),"AGUARDANDO ANEXO")</f>
        <v>0</v>
      </c>
      <c r="P198" s="22">
        <f>IFERROR(VLOOKUP(C198,'[1]TB DIN INCLUIDOS'!$B:$H,3,0),"AGUARDANDO ANEXO")</f>
        <v>0</v>
      </c>
      <c r="Q198" s="26" cm="1">
        <f t="array" ref="Q198">_xlfn.IFS((P198&gt;N198),(N198*2),(P198&lt;=N198),(P198*2))</f>
        <v>0</v>
      </c>
      <c r="R198" s="22"/>
      <c r="S198" s="26" t="str">
        <f>IFERROR(VLOOKUP(T198,Apoio!A:B,2,0),"")</f>
        <v/>
      </c>
      <c r="T198" s="22">
        <f>IFERROR(VLOOKUP(C198,'[1]TB DIN'!$B:$H,4,0),"AGUARDANDO ANEXO")</f>
        <v>0</v>
      </c>
      <c r="U198" s="22">
        <f>IFERROR(VLOOKUP(C198,'[1]TB DIN INCLUIDOS'!$B:$H,4,0),"AGUARDANDO ANEXO")</f>
        <v>0</v>
      </c>
      <c r="V198" s="26" cm="1">
        <f t="array" ref="V198">_xlfn.IFS((U198&gt;S198),(S198*2),(U198&lt;=S198),(U198*2))</f>
        <v>0</v>
      </c>
      <c r="W198" s="22"/>
      <c r="X198" s="26">
        <f>IFERROR(VLOOKUP(Y198,Apoio!A:B,2,0),"")</f>
        <v>3</v>
      </c>
      <c r="Y198" s="22">
        <f>IFERROR(VLOOKUP(C198,'[1]TB DIN'!$B:$H,5,0),"AGUARDANDO ANEXO")</f>
        <v>59</v>
      </c>
      <c r="Z198" s="22">
        <f>IFERROR(VLOOKUP(C198,'[1]TB DIN INCLUIDOS'!$B:$H,5,0),"AGUARDANDO ANEXO")</f>
        <v>4</v>
      </c>
      <c r="AA198" s="26" cm="1">
        <f t="array" ref="AA198">_xlfn.IFS((Z198&gt;X198),(X198*2),(Z198&lt;=X198),(Z198*2))</f>
        <v>6</v>
      </c>
      <c r="AB198" s="22"/>
      <c r="AC198" s="26">
        <f>IFERROR(VLOOKUP(AD198,Apoio!A:B,2,0),"")</f>
        <v>6</v>
      </c>
      <c r="AD198" s="22">
        <f>IFERROR(VLOOKUP(C198,'[1]TB DIN'!$B:$H,6,0),"AGUARDANDO ANEXO")</f>
        <v>138</v>
      </c>
      <c r="AE198" s="22">
        <f>IFERROR(VLOOKUP(C198,'[1]TB DIN INCLUIDOS'!$B:$H,6,0),"AGUARDANDO ANEXO")</f>
        <v>11</v>
      </c>
      <c r="AF198" s="26" cm="1">
        <f t="array" ref="AF198">_xlfn.IFS((AE198&gt;AC198),(AC198*2),(AE198&lt;=AC198),(AE198*2))</f>
        <v>12</v>
      </c>
      <c r="AG198" s="22"/>
      <c r="AH198" s="28">
        <f t="shared" si="21"/>
        <v>197</v>
      </c>
      <c r="AI198" s="28">
        <f t="shared" si="22"/>
        <v>15</v>
      </c>
      <c r="AJ198" s="28">
        <f t="shared" si="23"/>
        <v>18</v>
      </c>
      <c r="AK198" s="28">
        <f t="shared" si="24"/>
        <v>4</v>
      </c>
      <c r="AL198" s="28">
        <f t="shared" si="25"/>
        <v>0</v>
      </c>
      <c r="AM198" s="23" t="s">
        <v>1707</v>
      </c>
      <c r="AN198" s="37">
        <f>VLOOKUP(C198,'[2]MARÇO-2024'!$B:$M,12,0)</f>
        <v>197</v>
      </c>
      <c r="AO198" s="37">
        <f t="shared" si="26"/>
        <v>0</v>
      </c>
      <c r="AP198" s="37" t="str">
        <f t="shared" si="27"/>
        <v/>
      </c>
    </row>
    <row r="199" spans="1:42" ht="13.5" customHeight="1" x14ac:dyDescent="0.25">
      <c r="A199" s="17">
        <v>7</v>
      </c>
      <c r="B199" s="17">
        <v>20</v>
      </c>
      <c r="C199" s="29">
        <v>7036</v>
      </c>
      <c r="D199" s="43">
        <v>33197849</v>
      </c>
      <c r="E199" s="18"/>
      <c r="F199" s="68"/>
      <c r="G199" s="62" t="s">
        <v>1716</v>
      </c>
      <c r="H199" s="19" t="s">
        <v>1653</v>
      </c>
      <c r="I199" s="19" t="s">
        <v>1061</v>
      </c>
      <c r="J199" s="19"/>
      <c r="K199" s="20" t="s">
        <v>1611</v>
      </c>
      <c r="L199" s="21">
        <v>179</v>
      </c>
      <c r="M199" s="21"/>
      <c r="N199" s="26">
        <f>IFERROR(VLOOKUP(O199,Apoio!A:B,2,0),"")</f>
        <v>1</v>
      </c>
      <c r="O199" s="22">
        <v>6</v>
      </c>
      <c r="P199" s="22">
        <f>IFERROR(VLOOKUP(C199,'[1]TB DIN INCLUIDOS'!$B:$H,3,0),"AGUARDANDO ANEXO")</f>
        <v>0</v>
      </c>
      <c r="Q199" s="26" cm="1">
        <f t="array" ref="Q199">_xlfn.IFS((P199&gt;N199),(N199*2),(P199&lt;=N199),(P199*2))</f>
        <v>0</v>
      </c>
      <c r="R199" s="22"/>
      <c r="S199" s="26">
        <f>IFERROR(VLOOKUP(T199,Apoio!A:B,2,0),"")</f>
        <v>3</v>
      </c>
      <c r="T199" s="22">
        <v>66</v>
      </c>
      <c r="U199" s="22">
        <f>IFERROR(VLOOKUP(C199,'[1]TB DIN INCLUIDOS'!$B:$H,4,0),"AGUARDANDO ANEXO")</f>
        <v>1</v>
      </c>
      <c r="V199" s="26" cm="1">
        <f t="array" ref="V199">_xlfn.IFS((U199&gt;S199),(S199*2),(U199&lt;=S199),(U199*2))</f>
        <v>2</v>
      </c>
      <c r="W199" s="22"/>
      <c r="X199" s="26">
        <f>IFERROR(VLOOKUP(Y199,Apoio!A:B,2,0),"")</f>
        <v>2</v>
      </c>
      <c r="Y199" s="22">
        <f>IFERROR(VLOOKUP(C199,'[1]TB DIN'!$B:$H,5,0),"AGUARDANDO ANEXO")</f>
        <v>47</v>
      </c>
      <c r="Z199" s="22">
        <f>IFERROR(VLOOKUP(C199,'[1]TB DIN INCLUIDOS'!$B:$H,5,0),"AGUARDANDO ANEXO")</f>
        <v>1</v>
      </c>
      <c r="AA199" s="26" cm="1">
        <f t="array" ref="AA199">_xlfn.IFS((Z199&gt;X199),(X199*2),(Z199&lt;=X199),(Z199*2))</f>
        <v>2</v>
      </c>
      <c r="AB199" s="22"/>
      <c r="AC199" s="26">
        <f>IFERROR(VLOOKUP(AD199,Apoio!A:B,2,0),"")</f>
        <v>3</v>
      </c>
      <c r="AD199" s="22">
        <v>56</v>
      </c>
      <c r="AE199" s="22">
        <f>IFERROR(VLOOKUP(C199,'[1]TB DIN INCLUIDOS'!$B:$H,6,0),"AGUARDANDO ANEXO")</f>
        <v>2</v>
      </c>
      <c r="AF199" s="26" cm="1">
        <f t="array" ref="AF199">_xlfn.IFS((AE199&gt;AC199),(AC199*2),(AE199&lt;=AC199),(AE199*2))</f>
        <v>4</v>
      </c>
      <c r="AG199" s="22"/>
      <c r="AH199" s="28">
        <f t="shared" si="21"/>
        <v>175</v>
      </c>
      <c r="AI199" s="28">
        <f t="shared" si="22"/>
        <v>4</v>
      </c>
      <c r="AJ199" s="28">
        <f t="shared" si="23"/>
        <v>8</v>
      </c>
      <c r="AK199" s="28">
        <f t="shared" si="24"/>
        <v>0</v>
      </c>
      <c r="AL199" s="28">
        <f t="shared" si="25"/>
        <v>-4</v>
      </c>
      <c r="AM199" s="23" t="s">
        <v>1707</v>
      </c>
      <c r="AN199" s="37">
        <f>VLOOKUP(C199,'[2]MARÇO-2024'!$B:$M,12,0)</f>
        <v>179</v>
      </c>
      <c r="AO199" s="37">
        <f t="shared" si="26"/>
        <v>4</v>
      </c>
      <c r="AP199" s="37" t="str">
        <f t="shared" si="27"/>
        <v/>
      </c>
    </row>
    <row r="200" spans="1:42" ht="13.5" customHeight="1" x14ac:dyDescent="0.25">
      <c r="A200" s="17">
        <v>7</v>
      </c>
      <c r="B200" s="17">
        <v>21</v>
      </c>
      <c r="C200" s="29">
        <v>7037</v>
      </c>
      <c r="D200" s="43">
        <v>33197814</v>
      </c>
      <c r="E200" s="18"/>
      <c r="F200" s="68"/>
      <c r="G200" s="62" t="s">
        <v>1714</v>
      </c>
      <c r="H200" s="19" t="s">
        <v>1675</v>
      </c>
      <c r="I200" s="19" t="s">
        <v>1061</v>
      </c>
      <c r="J200" s="19"/>
      <c r="K200" s="20" t="s">
        <v>1611</v>
      </c>
      <c r="L200" s="21">
        <v>300</v>
      </c>
      <c r="M200" s="21"/>
      <c r="N200" s="26">
        <f>IFERROR(VLOOKUP(O200,Apoio!A:B,2,0),"")</f>
        <v>1</v>
      </c>
      <c r="O200" s="22">
        <f>IFERROR(VLOOKUP(C200,'[1]TB DIN'!$B:$D,3,0),"AGUARDANDO ANEXO")</f>
        <v>12</v>
      </c>
      <c r="P200" s="22">
        <f>IFERROR(VLOOKUP(C200,'[1]TB DIN INCLUIDOS'!$B:$H,3,0),"AGUARDANDO ANEXO")</f>
        <v>0</v>
      </c>
      <c r="Q200" s="26" cm="1">
        <f t="array" ref="Q200">_xlfn.IFS((P200&gt;N200),(N200*2),(P200&lt;=N200),(P200*2))</f>
        <v>0</v>
      </c>
      <c r="R200" s="22"/>
      <c r="S200" s="26">
        <f>IFERROR(VLOOKUP(T200,Apoio!A:B,2,0),"")</f>
        <v>4</v>
      </c>
      <c r="T200" s="22">
        <f>IFERROR(VLOOKUP(C200,'[1]TB DIN'!$B:$H,4,0),"AGUARDANDO ANEXO")</f>
        <v>88</v>
      </c>
      <c r="U200" s="22">
        <f>IFERROR(VLOOKUP(C200,'[1]TB DIN INCLUIDOS'!$B:$H,4,0),"AGUARDANDO ANEXO")</f>
        <v>0</v>
      </c>
      <c r="V200" s="26" cm="1">
        <f t="array" ref="V200">_xlfn.IFS((U200&gt;S200),(S200*2),(U200&lt;=S200),(U200*2))</f>
        <v>0</v>
      </c>
      <c r="W200" s="22"/>
      <c r="X200" s="26">
        <f>IFERROR(VLOOKUP(Y200,Apoio!A:B,2,0),"")</f>
        <v>4</v>
      </c>
      <c r="Y200" s="22">
        <v>96</v>
      </c>
      <c r="Z200" s="22">
        <v>2</v>
      </c>
      <c r="AA200" s="26" cm="1">
        <f t="array" ref="AA200">_xlfn.IFS((Z200&gt;X200),(X200*2),(Z200&lt;=X200),(Z200*2))</f>
        <v>4</v>
      </c>
      <c r="AB200" s="22"/>
      <c r="AC200" s="26">
        <f>IFERROR(VLOOKUP(AD200,Apoio!A:B,2,0),"")</f>
        <v>4</v>
      </c>
      <c r="AD200" s="22">
        <v>92</v>
      </c>
      <c r="AE200" s="22">
        <f>IFERROR(VLOOKUP(C200,'[1]TB DIN INCLUIDOS'!$B:$H,6,0),"AGUARDANDO ANEXO")</f>
        <v>5</v>
      </c>
      <c r="AF200" s="26" cm="1">
        <f t="array" ref="AF200">_xlfn.IFS((AE200&gt;AC200),(AC200*2),(AE200&lt;=AC200),(AE200*2))</f>
        <v>8</v>
      </c>
      <c r="AG200" s="22"/>
      <c r="AH200" s="28">
        <f t="shared" si="21"/>
        <v>288</v>
      </c>
      <c r="AI200" s="28">
        <f t="shared" si="22"/>
        <v>7</v>
      </c>
      <c r="AJ200" s="28">
        <f t="shared" si="23"/>
        <v>12</v>
      </c>
      <c r="AK200" s="28">
        <f t="shared" si="24"/>
        <v>0</v>
      </c>
      <c r="AL200" s="28">
        <f t="shared" si="25"/>
        <v>0</v>
      </c>
      <c r="AM200" s="23" t="s">
        <v>1849</v>
      </c>
      <c r="AN200" s="37">
        <f>VLOOKUP(C200,'[2]MARÇO-2024'!$B:$M,12,0)</f>
        <v>295</v>
      </c>
      <c r="AO200" s="37">
        <f t="shared" si="26"/>
        <v>7</v>
      </c>
      <c r="AP200" s="37" t="str">
        <f t="shared" si="27"/>
        <v/>
      </c>
    </row>
    <row r="201" spans="1:42" ht="13.5" customHeight="1" x14ac:dyDescent="0.25">
      <c r="A201" s="17">
        <v>7</v>
      </c>
      <c r="B201" s="17">
        <v>22</v>
      </c>
      <c r="C201" s="29">
        <v>7038</v>
      </c>
      <c r="D201" s="43">
        <v>33197822</v>
      </c>
      <c r="E201" s="18"/>
      <c r="F201" s="68"/>
      <c r="G201" s="62" t="s">
        <v>1715</v>
      </c>
      <c r="H201" s="19" t="s">
        <v>1651</v>
      </c>
      <c r="I201" s="19" t="s">
        <v>1061</v>
      </c>
      <c r="J201" s="19"/>
      <c r="K201" s="20" t="s">
        <v>1658</v>
      </c>
      <c r="L201" s="21">
        <v>164</v>
      </c>
      <c r="M201" s="21"/>
      <c r="N201" s="26" t="str">
        <f>IFERROR(VLOOKUP(O201,Apoio!A:B,2,0),"")</f>
        <v/>
      </c>
      <c r="O201" s="22">
        <f>IFERROR(VLOOKUP(C201,'[1]TB DIN'!$B:$D,3,0),"AGUARDANDO ANEXO")</f>
        <v>0</v>
      </c>
      <c r="P201" s="22">
        <f>IFERROR(VLOOKUP(C201,'[1]TB DIN INCLUIDOS'!$B:$H,3,0),"AGUARDANDO ANEXO")</f>
        <v>0</v>
      </c>
      <c r="Q201" s="26" cm="1">
        <f t="array" ref="Q201">_xlfn.IFS((P201&gt;N201),(N201*2),(P201&lt;=N201),(P201*2))</f>
        <v>0</v>
      </c>
      <c r="R201" s="22"/>
      <c r="S201" s="26">
        <f>IFERROR(VLOOKUP(T201,Apoio!A:B,2,0),"")</f>
        <v>1</v>
      </c>
      <c r="T201" s="22">
        <f>IFERROR(VLOOKUP(C201,'[1]TB DIN'!$B:$H,4,0),"AGUARDANDO ANEXO")</f>
        <v>24</v>
      </c>
      <c r="U201" s="22">
        <f>IFERROR(VLOOKUP(C201,'[1]TB DIN INCLUIDOS'!$B:$H,4,0),"AGUARDANDO ANEXO")</f>
        <v>0</v>
      </c>
      <c r="V201" s="26" cm="1">
        <f t="array" ref="V201">_xlfn.IFS((U201&gt;S201),(S201*2),(U201&lt;=S201),(U201*2))</f>
        <v>0</v>
      </c>
      <c r="W201" s="22"/>
      <c r="X201" s="26">
        <f>IFERROR(VLOOKUP(Y201,Apoio!A:B,2,0),"")</f>
        <v>3</v>
      </c>
      <c r="Y201" s="22">
        <v>59</v>
      </c>
      <c r="Z201" s="22">
        <f>IFERROR(VLOOKUP(C201,'[1]TB DIN INCLUIDOS'!$B:$H,5,0),"AGUARDANDO ANEXO")</f>
        <v>2</v>
      </c>
      <c r="AA201" s="26" cm="1">
        <f t="array" ref="AA201">_xlfn.IFS((Z201&gt;X201),(X201*2),(Z201&lt;=X201),(Z201*2))</f>
        <v>4</v>
      </c>
      <c r="AB201" s="22"/>
      <c r="AC201" s="26">
        <f>IFERROR(VLOOKUP(AD201,Apoio!A:B,2,0),"")</f>
        <v>3</v>
      </c>
      <c r="AD201" s="22">
        <v>73</v>
      </c>
      <c r="AE201" s="22">
        <v>3</v>
      </c>
      <c r="AF201" s="26" cm="1">
        <f t="array" ref="AF201">_xlfn.IFS((AE201&gt;AC201),(AC201*2),(AE201&lt;=AC201),(AE201*2))</f>
        <v>6</v>
      </c>
      <c r="AG201" s="22"/>
      <c r="AH201" s="28">
        <f t="shared" si="21"/>
        <v>156</v>
      </c>
      <c r="AI201" s="28">
        <f t="shared" si="22"/>
        <v>5</v>
      </c>
      <c r="AJ201" s="28">
        <f t="shared" si="23"/>
        <v>10</v>
      </c>
      <c r="AK201" s="28">
        <f t="shared" si="24"/>
        <v>0</v>
      </c>
      <c r="AL201" s="28">
        <f t="shared" si="25"/>
        <v>-2</v>
      </c>
      <c r="AM201" s="23" t="s">
        <v>1849</v>
      </c>
      <c r="AN201" s="37">
        <f>VLOOKUP(C201,'[2]MARÇO-2024'!$B:$M,12,0)</f>
        <v>158</v>
      </c>
      <c r="AO201" s="37">
        <f t="shared" si="26"/>
        <v>2</v>
      </c>
      <c r="AP201" s="37" t="str">
        <f t="shared" si="27"/>
        <v/>
      </c>
    </row>
    <row r="202" spans="1:42" ht="13.5" customHeight="1" x14ac:dyDescent="0.25">
      <c r="A202" s="17">
        <v>7</v>
      </c>
      <c r="B202" s="17">
        <v>23</v>
      </c>
      <c r="C202" s="29">
        <v>7039</v>
      </c>
      <c r="D202" s="38">
        <v>33195099</v>
      </c>
      <c r="E202" s="18"/>
      <c r="F202" s="68"/>
      <c r="G202" s="62" t="s">
        <v>1735</v>
      </c>
      <c r="H202" s="19" t="s">
        <v>1654</v>
      </c>
      <c r="I202" s="19" t="s">
        <v>1838</v>
      </c>
      <c r="J202" s="19"/>
      <c r="K202" s="20" t="s">
        <v>1611</v>
      </c>
      <c r="L202" s="21">
        <v>150</v>
      </c>
      <c r="M202" s="21"/>
      <c r="N202" s="26" t="str">
        <f>IFERROR(VLOOKUP(O202,Apoio!A:B,2,0),"")</f>
        <v/>
      </c>
      <c r="O202" s="22">
        <f>IFERROR(VLOOKUP(C202,'[1]TB DIN'!$B:$D,3,0),"AGUARDANDO ANEXO")</f>
        <v>0</v>
      </c>
      <c r="P202" s="22">
        <f>IFERROR(VLOOKUP(C202,'[1]TB DIN INCLUIDOS'!$B:$H,3,0),"AGUARDANDO ANEXO")</f>
        <v>0</v>
      </c>
      <c r="Q202" s="26" cm="1">
        <f t="array" ref="Q202">_xlfn.IFS((P202&gt;N202),(N202*2),(P202&lt;=N202),(P202*2))</f>
        <v>0</v>
      </c>
      <c r="R202" s="22"/>
      <c r="S202" s="26" t="str">
        <f>IFERROR(VLOOKUP(T202,Apoio!A:B,2,0),"")</f>
        <v/>
      </c>
      <c r="T202" s="22">
        <f>IFERROR(VLOOKUP(C202,'[1]TB DIN'!$B:$H,4,0),"AGUARDANDO ANEXO")</f>
        <v>0</v>
      </c>
      <c r="U202" s="22">
        <f>IFERROR(VLOOKUP(C202,'[1]TB DIN INCLUIDOS'!$B:$H,4,0),"AGUARDANDO ANEXO")</f>
        <v>0</v>
      </c>
      <c r="V202" s="26" cm="1">
        <f t="array" ref="V202">_xlfn.IFS((U202&gt;S202),(S202*2),(U202&lt;=S202),(U202*2))</f>
        <v>0</v>
      </c>
      <c r="W202" s="22"/>
      <c r="X202" s="26">
        <f>IFERROR(VLOOKUP(Y202,Apoio!A:B,2,0),"")</f>
        <v>3</v>
      </c>
      <c r="Y202" s="22">
        <f>IFERROR(VLOOKUP(C202,'[1]TB DIN'!$B:$H,5,0),"AGUARDANDO ANEXO")</f>
        <v>60</v>
      </c>
      <c r="Z202" s="22">
        <f>IFERROR(VLOOKUP(C202,'[1]TB DIN INCLUIDOS'!$B:$H,5,0),"AGUARDANDO ANEXO")</f>
        <v>4</v>
      </c>
      <c r="AA202" s="26" cm="1">
        <f t="array" ref="AA202">_xlfn.IFS((Z202&gt;X202),(X202*2),(Z202&lt;=X202),(Z202*2))</f>
        <v>6</v>
      </c>
      <c r="AB202" s="22"/>
      <c r="AC202" s="26">
        <f>IFERROR(VLOOKUP(AD202,Apoio!A:B,2,0),"")</f>
        <v>4</v>
      </c>
      <c r="AD202" s="22">
        <f>IFERROR(VLOOKUP(C202,'[1]TB DIN'!$B:$H,6,0),"AGUARDANDO ANEXO")</f>
        <v>80</v>
      </c>
      <c r="AE202" s="22">
        <f>IFERROR(VLOOKUP(C202,'[1]TB DIN INCLUIDOS'!$B:$H,6,0),"AGUARDANDO ANEXO")</f>
        <v>5</v>
      </c>
      <c r="AF202" s="26" cm="1">
        <f t="array" ref="AF202">_xlfn.IFS((AE202&gt;AC202),(AC202*2),(AE202&lt;=AC202),(AE202*2))</f>
        <v>8</v>
      </c>
      <c r="AG202" s="22"/>
      <c r="AH202" s="28">
        <f t="shared" si="21"/>
        <v>140</v>
      </c>
      <c r="AI202" s="28">
        <f t="shared" si="22"/>
        <v>9</v>
      </c>
      <c r="AJ202" s="28">
        <f t="shared" si="23"/>
        <v>14</v>
      </c>
      <c r="AK202" s="28">
        <f t="shared" si="24"/>
        <v>0</v>
      </c>
      <c r="AL202" s="28">
        <f t="shared" si="25"/>
        <v>-4</v>
      </c>
      <c r="AM202" s="23" t="s">
        <v>1707</v>
      </c>
      <c r="AN202" s="37">
        <f>VLOOKUP(C202,'[2]MARÇO-2024'!$B:$M,12,0)</f>
        <v>141</v>
      </c>
      <c r="AO202" s="37">
        <f t="shared" si="26"/>
        <v>1</v>
      </c>
      <c r="AP202" s="37" t="str">
        <f t="shared" si="27"/>
        <v/>
      </c>
    </row>
    <row r="203" spans="1:42" ht="13.5" customHeight="1" x14ac:dyDescent="0.25">
      <c r="A203" s="17">
        <v>7</v>
      </c>
      <c r="B203" s="17">
        <v>24</v>
      </c>
      <c r="C203" s="29">
        <v>7040</v>
      </c>
      <c r="D203" s="43">
        <v>33197954</v>
      </c>
      <c r="E203" s="18"/>
      <c r="F203" s="68"/>
      <c r="G203" s="62" t="s">
        <v>1738</v>
      </c>
      <c r="H203" s="19" t="s">
        <v>1652</v>
      </c>
      <c r="I203" s="19" t="s">
        <v>33</v>
      </c>
      <c r="J203" s="19"/>
      <c r="K203" s="20" t="s">
        <v>1611</v>
      </c>
      <c r="L203" s="21">
        <v>393</v>
      </c>
      <c r="M203" s="21"/>
      <c r="N203" s="26">
        <f>IFERROR(VLOOKUP(O203,Apoio!A:B,2,0),"")</f>
        <v>1</v>
      </c>
      <c r="O203" s="22">
        <v>19</v>
      </c>
      <c r="P203" s="22">
        <f>IFERROR(VLOOKUP(C203,'[1]TB DIN INCLUIDOS'!$B:$H,3,0),"AGUARDANDO ANEXO")</f>
        <v>0</v>
      </c>
      <c r="Q203" s="26" cm="1">
        <f t="array" ref="Q203">_xlfn.IFS((P203&gt;N203),(N203*2),(P203&lt;=N203),(P203*2))</f>
        <v>0</v>
      </c>
      <c r="R203" s="22"/>
      <c r="S203" s="26">
        <f>IFERROR(VLOOKUP(T203,Apoio!A:B,2,0),"")</f>
        <v>5</v>
      </c>
      <c r="T203" s="22">
        <v>111</v>
      </c>
      <c r="U203" s="22">
        <f>IFERROR(VLOOKUP(C203,'[1]TB DIN INCLUIDOS'!$B:$H,4,0),"AGUARDANDO ANEXO")</f>
        <v>0</v>
      </c>
      <c r="V203" s="26" cm="1">
        <f t="array" ref="V203">_xlfn.IFS((U203&gt;S203),(S203*2),(U203&lt;=S203),(U203*2))</f>
        <v>0</v>
      </c>
      <c r="W203" s="22"/>
      <c r="X203" s="26">
        <f>IFERROR(VLOOKUP(Y203,Apoio!A:B,2,0),"")</f>
        <v>6</v>
      </c>
      <c r="Y203" s="22">
        <v>135</v>
      </c>
      <c r="Z203" s="22">
        <f>IFERROR(VLOOKUP(C203,'[1]TB DIN INCLUIDOS'!$B:$H,5,0),"AGUARDANDO ANEXO")</f>
        <v>0</v>
      </c>
      <c r="AA203" s="26" cm="1">
        <f t="array" ref="AA203">_xlfn.IFS((Z203&gt;X203),(X203*2),(Z203&lt;=X203),(Z203*2))</f>
        <v>0</v>
      </c>
      <c r="AB203" s="22"/>
      <c r="AC203" s="26">
        <f>IFERROR(VLOOKUP(AD203,Apoio!A:B,2,0),"")</f>
        <v>5</v>
      </c>
      <c r="AD203" s="22">
        <v>124</v>
      </c>
      <c r="AE203" s="22">
        <v>4</v>
      </c>
      <c r="AF203" s="26" cm="1">
        <f t="array" ref="AF203">_xlfn.IFS((AE203&gt;AC203),(AC203*2),(AE203&lt;=AC203),(AE203*2))</f>
        <v>8</v>
      </c>
      <c r="AG203" s="22"/>
      <c r="AH203" s="28">
        <f t="shared" si="21"/>
        <v>389</v>
      </c>
      <c r="AI203" s="28">
        <f t="shared" si="22"/>
        <v>4</v>
      </c>
      <c r="AJ203" s="28">
        <f t="shared" si="23"/>
        <v>8</v>
      </c>
      <c r="AK203" s="28">
        <f t="shared" si="24"/>
        <v>0</v>
      </c>
      <c r="AL203" s="28">
        <f t="shared" si="25"/>
        <v>-4</v>
      </c>
      <c r="AM203" s="23" t="s">
        <v>1707</v>
      </c>
      <c r="AN203" s="37">
        <f>VLOOKUP(C203,'[2]MARÇO-2024'!$B:$M,12,0)</f>
        <v>392</v>
      </c>
      <c r="AO203" s="37">
        <f t="shared" si="26"/>
        <v>3</v>
      </c>
      <c r="AP203" s="37" t="str">
        <f t="shared" si="27"/>
        <v/>
      </c>
    </row>
    <row r="204" spans="1:42" ht="13.5" customHeight="1" x14ac:dyDescent="0.25">
      <c r="A204" s="17">
        <v>7</v>
      </c>
      <c r="B204" s="17">
        <v>25</v>
      </c>
      <c r="C204" s="29">
        <v>7041</v>
      </c>
      <c r="D204" s="39">
        <v>33199450</v>
      </c>
      <c r="E204" s="18"/>
      <c r="F204" s="68"/>
      <c r="G204" s="62" t="s">
        <v>1739</v>
      </c>
      <c r="H204" s="19" t="s">
        <v>1650</v>
      </c>
      <c r="I204" s="19" t="s">
        <v>33</v>
      </c>
      <c r="J204" s="19"/>
      <c r="K204" s="20" t="s">
        <v>1608</v>
      </c>
      <c r="L204" s="21">
        <v>125</v>
      </c>
      <c r="M204" s="21"/>
      <c r="N204" s="26" t="str">
        <f>IFERROR(VLOOKUP(O204,Apoio!A:B,2,0),"")</f>
        <v/>
      </c>
      <c r="O204" s="22">
        <f>IFERROR(VLOOKUP(C204,'[1]TB DIN'!$B:$D,3,0),"AGUARDANDO ANEXO")</f>
        <v>0</v>
      </c>
      <c r="P204" s="22">
        <f>IFERROR(VLOOKUP(C204,'[1]TB DIN INCLUIDOS'!$B:$H,3,0),"AGUARDANDO ANEXO")</f>
        <v>0</v>
      </c>
      <c r="Q204" s="26" cm="1">
        <f t="array" ref="Q204">_xlfn.IFS((P204&gt;N204),(N204*2),(P204&lt;=N204),(P204*2))</f>
        <v>0</v>
      </c>
      <c r="R204" s="22"/>
      <c r="S204" s="26">
        <f>IFERROR(VLOOKUP(T204,Apoio!A:B,2,0),"")</f>
        <v>1</v>
      </c>
      <c r="T204" s="22">
        <f>IFERROR(VLOOKUP(C204,'[1]TB DIN'!$B:$H,4,0),"AGUARDANDO ANEXO")</f>
        <v>25</v>
      </c>
      <c r="U204" s="22">
        <f>IFERROR(VLOOKUP(C204,'[1]TB DIN INCLUIDOS'!$B:$H,4,0),"AGUARDANDO ANEXO")</f>
        <v>0</v>
      </c>
      <c r="V204" s="26" cm="1">
        <f t="array" ref="V204">_xlfn.IFS((U204&gt;S204),(S204*2),(U204&lt;=S204),(U204*2))</f>
        <v>0</v>
      </c>
      <c r="W204" s="22"/>
      <c r="X204" s="26">
        <f>IFERROR(VLOOKUP(Y204,Apoio!A:B,2,0),"")</f>
        <v>2</v>
      </c>
      <c r="Y204" s="22">
        <f>IFERROR(VLOOKUP(C204,'[1]TB DIN'!$B:$H,5,0),"AGUARDANDO ANEXO")</f>
        <v>50</v>
      </c>
      <c r="Z204" s="22">
        <f>IFERROR(VLOOKUP(C204,'[1]TB DIN INCLUIDOS'!$B:$H,5,0),"AGUARDANDO ANEXO")</f>
        <v>0</v>
      </c>
      <c r="AA204" s="26" cm="1">
        <f t="array" ref="AA204">_xlfn.IFS((Z204&gt;X204),(X204*2),(Z204&lt;=X204),(Z204*2))</f>
        <v>0</v>
      </c>
      <c r="AB204" s="22"/>
      <c r="AC204" s="26">
        <f>IFERROR(VLOOKUP(AD204,Apoio!A:B,2,0),"")</f>
        <v>2</v>
      </c>
      <c r="AD204" s="22">
        <f>IFERROR(VLOOKUP(C204,'[1]TB DIN'!$B:$H,6,0),"AGUARDANDO ANEXO")</f>
        <v>48</v>
      </c>
      <c r="AE204" s="22">
        <f>IFERROR(VLOOKUP(C204,'[1]TB DIN INCLUIDOS'!$B:$H,6,0),"AGUARDANDO ANEXO")</f>
        <v>2</v>
      </c>
      <c r="AF204" s="26" cm="1">
        <f t="array" ref="AF204">_xlfn.IFS((AE204&gt;AC204),(AC204*2),(AE204&lt;=AC204),(AE204*2))</f>
        <v>4</v>
      </c>
      <c r="AG204" s="22"/>
      <c r="AH204" s="28">
        <f t="shared" si="21"/>
        <v>123</v>
      </c>
      <c r="AI204" s="28">
        <f t="shared" si="22"/>
        <v>2</v>
      </c>
      <c r="AJ204" s="28">
        <f t="shared" si="23"/>
        <v>4</v>
      </c>
      <c r="AK204" s="28">
        <f t="shared" si="24"/>
        <v>0</v>
      </c>
      <c r="AL204" s="28">
        <f t="shared" si="25"/>
        <v>-2</v>
      </c>
      <c r="AM204" s="23" t="s">
        <v>1707</v>
      </c>
      <c r="AN204" s="37">
        <f>VLOOKUP(C204,'[2]MARÇO-2024'!$B:$M,12,0)</f>
        <v>123</v>
      </c>
      <c r="AO204" s="37">
        <f t="shared" si="26"/>
        <v>0</v>
      </c>
      <c r="AP204" s="37" t="str">
        <f t="shared" si="27"/>
        <v/>
      </c>
    </row>
    <row r="205" spans="1:42" ht="13.5" customHeight="1" x14ac:dyDescent="0.25">
      <c r="A205" s="17">
        <v>7</v>
      </c>
      <c r="B205" s="17">
        <v>26</v>
      </c>
      <c r="C205" s="29">
        <v>7042</v>
      </c>
      <c r="D205" s="43">
        <v>33197938</v>
      </c>
      <c r="E205" s="18"/>
      <c r="F205" s="68"/>
      <c r="G205" s="64" t="s">
        <v>1747</v>
      </c>
      <c r="H205" s="19" t="s">
        <v>1674</v>
      </c>
      <c r="I205" s="19" t="s">
        <v>45</v>
      </c>
      <c r="J205" s="19"/>
      <c r="K205" s="20" t="s">
        <v>1611</v>
      </c>
      <c r="L205" s="21">
        <v>133</v>
      </c>
      <c r="M205" s="21"/>
      <c r="N205" s="26">
        <f>IFERROR(VLOOKUP(O205,Apoio!A:B,2,0),"")</f>
        <v>1</v>
      </c>
      <c r="O205" s="22">
        <f>IFERROR(VLOOKUP(C205,'[1]TB DIN'!$B:$D,3,0),"AGUARDANDO ANEXO")</f>
        <v>10</v>
      </c>
      <c r="P205" s="22">
        <f>IFERROR(VLOOKUP(C205,'[1]TB DIN INCLUIDOS'!$B:$H,3,0),"AGUARDANDO ANEXO")</f>
        <v>0</v>
      </c>
      <c r="Q205" s="26" cm="1">
        <f t="array" ref="Q205">_xlfn.IFS((P205&gt;N205),(N205*2),(P205&lt;=N205),(P205*2))</f>
        <v>0</v>
      </c>
      <c r="R205" s="22"/>
      <c r="S205" s="26">
        <f>IFERROR(VLOOKUP(T205,Apoio!A:B,2,0),"")</f>
        <v>1</v>
      </c>
      <c r="T205" s="22">
        <v>22</v>
      </c>
      <c r="U205" s="22">
        <f>IFERROR(VLOOKUP(C205,'[1]TB DIN INCLUIDOS'!$B:$H,4,0),"AGUARDANDO ANEXO")</f>
        <v>0</v>
      </c>
      <c r="V205" s="26" cm="1">
        <f t="array" ref="V205">_xlfn.IFS((U205&gt;S205),(S205*2),(U205&lt;=S205),(U205*2))</f>
        <v>0</v>
      </c>
      <c r="W205" s="22"/>
      <c r="X205" s="26">
        <f>IFERROR(VLOOKUP(Y205,Apoio!A:B,2,0),"")</f>
        <v>2</v>
      </c>
      <c r="Y205" s="22">
        <f>IFERROR(VLOOKUP(C205,'[1]TB DIN'!$B:$H,5,0),"AGUARDANDO ANEXO")</f>
        <v>48</v>
      </c>
      <c r="Z205" s="22">
        <f>IFERROR(VLOOKUP(C205,'[1]TB DIN INCLUIDOS'!$B:$H,5,0),"AGUARDANDO ANEXO")</f>
        <v>1</v>
      </c>
      <c r="AA205" s="26" cm="1">
        <f t="array" ref="AA205">_xlfn.IFS((Z205&gt;X205),(X205*2),(Z205&lt;=X205),(Z205*2))</f>
        <v>2</v>
      </c>
      <c r="AB205" s="22"/>
      <c r="AC205" s="26">
        <f>IFERROR(VLOOKUP(AD205,Apoio!A:B,2,0),"")</f>
        <v>2</v>
      </c>
      <c r="AD205" s="22">
        <f>IFERROR(VLOOKUP(C205,'[1]TB DIN'!$B:$H,6,0),"AGUARDANDO ANEXO")</f>
        <v>48</v>
      </c>
      <c r="AE205" s="22">
        <f>IFERROR(VLOOKUP(C205,'[1]TB DIN INCLUIDOS'!$B:$H,6,0),"AGUARDANDO ANEXO")</f>
        <v>1</v>
      </c>
      <c r="AF205" s="26" cm="1">
        <f t="array" ref="AF205">_xlfn.IFS((AE205&gt;AC205),(AC205*2),(AE205&lt;=AC205),(AE205*2))</f>
        <v>2</v>
      </c>
      <c r="AG205" s="22"/>
      <c r="AH205" s="28">
        <f t="shared" si="21"/>
        <v>128</v>
      </c>
      <c r="AI205" s="28">
        <f t="shared" si="22"/>
        <v>2</v>
      </c>
      <c r="AJ205" s="28">
        <f t="shared" si="23"/>
        <v>4</v>
      </c>
      <c r="AK205" s="28">
        <f t="shared" si="24"/>
        <v>1</v>
      </c>
      <c r="AL205" s="28">
        <f t="shared" si="25"/>
        <v>0</v>
      </c>
      <c r="AM205" s="23" t="s">
        <v>1849</v>
      </c>
      <c r="AN205" s="37">
        <f>VLOOKUP(C205,'[2]MARÇO-2024'!$B:$M,12,0)</f>
        <v>129</v>
      </c>
      <c r="AO205" s="37">
        <f t="shared" si="26"/>
        <v>1</v>
      </c>
      <c r="AP205" s="37" t="str">
        <f t="shared" si="27"/>
        <v/>
      </c>
    </row>
    <row r="206" spans="1:42" ht="13.5" customHeight="1" x14ac:dyDescent="0.25">
      <c r="A206" s="17">
        <v>7</v>
      </c>
      <c r="B206" s="17">
        <v>27</v>
      </c>
      <c r="C206" s="29">
        <v>7043</v>
      </c>
      <c r="D206" s="38">
        <v>33197776</v>
      </c>
      <c r="E206" s="18"/>
      <c r="F206" s="68"/>
      <c r="G206" s="62" t="s">
        <v>1743</v>
      </c>
      <c r="H206" s="19" t="s">
        <v>1676</v>
      </c>
      <c r="I206" s="19" t="s">
        <v>1676</v>
      </c>
      <c r="J206" s="19" t="s">
        <v>1788</v>
      </c>
      <c r="K206" s="20" t="s">
        <v>1609</v>
      </c>
      <c r="L206" s="21">
        <v>70</v>
      </c>
      <c r="M206" s="21"/>
      <c r="N206" s="26">
        <f>IFERROR(VLOOKUP(O206,Apoio!A:B,2,0),"")</f>
        <v>1</v>
      </c>
      <c r="O206" s="22">
        <f>IFERROR(VLOOKUP(C206,'[1]TB DIN'!$B:$D,3,0),"AGUARDANDO ANEXO")</f>
        <v>12</v>
      </c>
      <c r="P206" s="22">
        <f>IFERROR(VLOOKUP(C206,'[1]TB DIN INCLUIDOS'!$B:$H,3,0),"AGUARDANDO ANEXO")</f>
        <v>0</v>
      </c>
      <c r="Q206" s="26" cm="1">
        <f t="array" ref="Q206">_xlfn.IFS((P206&gt;N206),(N206*2),(P206&lt;=N206),(P206*2))</f>
        <v>0</v>
      </c>
      <c r="R206" s="22"/>
      <c r="S206" s="26">
        <f>IFERROR(VLOOKUP(T206,Apoio!A:B,2,0),"")</f>
        <v>1</v>
      </c>
      <c r="T206" s="22">
        <f>IFERROR(VLOOKUP(C206,'[1]TB DIN'!$B:$H,4,0),"AGUARDANDO ANEXO")</f>
        <v>22</v>
      </c>
      <c r="U206" s="22">
        <f>IFERROR(VLOOKUP(C206,'[1]TB DIN INCLUIDOS'!$B:$H,4,0),"AGUARDANDO ANEXO")</f>
        <v>0</v>
      </c>
      <c r="V206" s="26" cm="1">
        <f t="array" ref="V206">_xlfn.IFS((U206&gt;S206),(S206*2),(U206&lt;=S206),(U206*2))</f>
        <v>0</v>
      </c>
      <c r="W206" s="22"/>
      <c r="X206" s="26">
        <f>IFERROR(VLOOKUP(Y206,Apoio!A:B,2,0),"")</f>
        <v>1</v>
      </c>
      <c r="Y206" s="22">
        <f>IFERROR(VLOOKUP(C206,'[1]TB DIN'!$B:$H,5,0),"AGUARDANDO ANEXO")</f>
        <v>23</v>
      </c>
      <c r="Z206" s="22">
        <f>IFERROR(VLOOKUP(C206,'[1]TB DIN INCLUIDOS'!$B:$H,5,0),"AGUARDANDO ANEXO")</f>
        <v>0</v>
      </c>
      <c r="AA206" s="26" cm="1">
        <f t="array" ref="AA206">_xlfn.IFS((Z206&gt;X206),(X206*2),(Z206&lt;=X206),(Z206*2))</f>
        <v>0</v>
      </c>
      <c r="AB206" s="22"/>
      <c r="AC206" s="26">
        <f>IFERROR(VLOOKUP(AD206,Apoio!A:B,2,0),"")</f>
        <v>1</v>
      </c>
      <c r="AD206" s="22">
        <v>12</v>
      </c>
      <c r="AE206" s="22">
        <f>IFERROR(VLOOKUP(C206,'[1]TB DIN INCLUIDOS'!$B:$H,6,0),"AGUARDANDO ANEXO")</f>
        <v>3</v>
      </c>
      <c r="AF206" s="26" cm="1">
        <f t="array" ref="AF206">_xlfn.IFS((AE206&gt;AC206),(AC206*2),(AE206&lt;=AC206),(AE206*2))</f>
        <v>2</v>
      </c>
      <c r="AG206" s="22"/>
      <c r="AH206" s="28">
        <f t="shared" si="21"/>
        <v>69</v>
      </c>
      <c r="AI206" s="28">
        <f t="shared" si="22"/>
        <v>3</v>
      </c>
      <c r="AJ206" s="28">
        <f t="shared" si="23"/>
        <v>2</v>
      </c>
      <c r="AK206" s="28">
        <f t="shared" si="24"/>
        <v>0</v>
      </c>
      <c r="AL206" s="28">
        <f t="shared" si="25"/>
        <v>-1</v>
      </c>
      <c r="AM206" s="23" t="s">
        <v>1708</v>
      </c>
      <c r="AN206" s="37">
        <f>VLOOKUP(C206,'[2]MARÇO-2024'!$B:$M,12,0)</f>
        <v>68</v>
      </c>
      <c r="AO206" s="37">
        <f t="shared" si="26"/>
        <v>-1</v>
      </c>
      <c r="AP206" s="37" t="str">
        <f t="shared" si="27"/>
        <v/>
      </c>
    </row>
    <row r="207" spans="1:42" ht="13.5" customHeight="1" x14ac:dyDescent="0.25">
      <c r="A207" s="17">
        <v>7</v>
      </c>
      <c r="B207" s="17">
        <v>28</v>
      </c>
      <c r="C207" s="29">
        <v>7044</v>
      </c>
      <c r="D207" s="43">
        <v>33198578</v>
      </c>
      <c r="E207" s="18"/>
      <c r="F207" s="68"/>
      <c r="G207" s="63" t="s">
        <v>1723</v>
      </c>
      <c r="H207" s="19" t="s">
        <v>1677</v>
      </c>
      <c r="I207" s="19" t="s">
        <v>1760</v>
      </c>
      <c r="J207" s="19" t="s">
        <v>1789</v>
      </c>
      <c r="K207" s="20" t="s">
        <v>1610</v>
      </c>
      <c r="L207" s="21">
        <v>184</v>
      </c>
      <c r="M207" s="21"/>
      <c r="N207" s="26">
        <f>IFERROR(VLOOKUP(O207,Apoio!A:B,2,0),"")</f>
        <v>1</v>
      </c>
      <c r="O207" s="22">
        <v>22</v>
      </c>
      <c r="P207" s="22">
        <f>IFERROR(VLOOKUP(C207,'[1]TB DIN INCLUIDOS'!$B:$H,3,0),"AGUARDANDO ANEXO")</f>
        <v>0</v>
      </c>
      <c r="Q207" s="26" cm="1">
        <f t="array" ref="Q207">_xlfn.IFS((P207&gt;N207),(N207*2),(P207&lt;=N207),(P207*2))</f>
        <v>0</v>
      </c>
      <c r="R207" s="22"/>
      <c r="S207" s="26">
        <f>IFERROR(VLOOKUP(T207,Apoio!A:B,2,0),"")</f>
        <v>2</v>
      </c>
      <c r="T207" s="22">
        <f>IFERROR(VLOOKUP(C207,'[1]TB DIN'!$B:$H,4,0),"AGUARDANDO ANEXO")</f>
        <v>50</v>
      </c>
      <c r="U207" s="22">
        <f>IFERROR(VLOOKUP(C207,'[1]TB DIN INCLUIDOS'!$B:$H,4,0),"AGUARDANDO ANEXO")</f>
        <v>0</v>
      </c>
      <c r="V207" s="26" cm="1">
        <f t="array" ref="V207">_xlfn.IFS((U207&gt;S207),(S207*2),(U207&lt;=S207),(U207*2))</f>
        <v>0</v>
      </c>
      <c r="W207" s="22"/>
      <c r="X207" s="26">
        <f>IFERROR(VLOOKUP(Y207,Apoio!A:B,2,0),"")</f>
        <v>3</v>
      </c>
      <c r="Y207" s="22">
        <v>58</v>
      </c>
      <c r="Z207" s="22">
        <v>2</v>
      </c>
      <c r="AA207" s="26" cm="1">
        <f t="array" ref="AA207">_xlfn.IFS((Z207&gt;X207),(X207*2),(Z207&lt;=X207),(Z207*2))</f>
        <v>4</v>
      </c>
      <c r="AB207" s="22"/>
      <c r="AC207" s="26">
        <f>IFERROR(VLOOKUP(AD207,Apoio!A:B,2,0),"")</f>
        <v>3</v>
      </c>
      <c r="AD207" s="22">
        <v>59</v>
      </c>
      <c r="AE207" s="22">
        <f>IFERROR(VLOOKUP(C207,'[1]TB DIN INCLUIDOS'!$B:$H,6,0),"AGUARDANDO ANEXO")</f>
        <v>2</v>
      </c>
      <c r="AF207" s="26" cm="1">
        <f t="array" ref="AF207">_xlfn.IFS((AE207&gt;AC207),(AC207*2),(AE207&lt;=AC207),(AE207*2))</f>
        <v>4</v>
      </c>
      <c r="AG207" s="22"/>
      <c r="AH207" s="28">
        <f t="shared" si="21"/>
        <v>189</v>
      </c>
      <c r="AI207" s="28">
        <f t="shared" si="22"/>
        <v>4</v>
      </c>
      <c r="AJ207" s="28">
        <f t="shared" si="23"/>
        <v>8</v>
      </c>
      <c r="AK207" s="28">
        <f t="shared" si="24"/>
        <v>0</v>
      </c>
      <c r="AL207" s="28">
        <f t="shared" si="25"/>
        <v>-13</v>
      </c>
      <c r="AM207" s="23" t="s">
        <v>1851</v>
      </c>
      <c r="AN207" s="37">
        <f>VLOOKUP(C207,'[2]MARÇO-2024'!$B:$M,12,0)</f>
        <v>175</v>
      </c>
      <c r="AO207" s="37">
        <f t="shared" si="26"/>
        <v>-14</v>
      </c>
      <c r="AP207" s="37" t="str">
        <f t="shared" si="27"/>
        <v>Qt de aluno maior que a meta</v>
      </c>
    </row>
    <row r="208" spans="1:42" ht="13.5" customHeight="1" x14ac:dyDescent="0.25">
      <c r="A208" s="17">
        <v>7</v>
      </c>
      <c r="B208" s="17">
        <v>29</v>
      </c>
      <c r="C208" s="29">
        <v>7045</v>
      </c>
      <c r="D208" s="43">
        <v>33197970</v>
      </c>
      <c r="E208" s="18"/>
      <c r="F208" s="68"/>
      <c r="G208" s="62" t="s">
        <v>1749</v>
      </c>
      <c r="H208" s="19" t="s">
        <v>1678</v>
      </c>
      <c r="I208" s="19" t="s">
        <v>1209</v>
      </c>
      <c r="J208" s="19" t="s">
        <v>1790</v>
      </c>
      <c r="K208" s="20" t="s">
        <v>1791</v>
      </c>
      <c r="L208" s="21">
        <v>150</v>
      </c>
      <c r="M208" s="21"/>
      <c r="N208" s="26" t="str">
        <f>IFERROR(VLOOKUP(O208,Apoio!A:B,2,0),"")</f>
        <v/>
      </c>
      <c r="O208" s="22">
        <f>IFERROR(VLOOKUP(C208,'[1]TB DIN'!$B:$D,3,0),"AGUARDANDO ANEXO")</f>
        <v>0</v>
      </c>
      <c r="P208" s="22">
        <f>IFERROR(VLOOKUP(C208,'[1]TB DIN INCLUIDOS'!$B:$H,3,0),"AGUARDANDO ANEXO")</f>
        <v>0</v>
      </c>
      <c r="Q208" s="26" cm="1">
        <f t="array" ref="Q208">_xlfn.IFS((P208&gt;N208),(N208*2),(P208&lt;=N208),(P208*2))</f>
        <v>0</v>
      </c>
      <c r="R208" s="22"/>
      <c r="S208" s="26" t="str">
        <f>IFERROR(VLOOKUP(T208,Apoio!A:B,2,0),"")</f>
        <v/>
      </c>
      <c r="T208" s="22">
        <f>IFERROR(VLOOKUP(C208,'[1]TB DIN'!$B:$H,4,0),"AGUARDANDO ANEXO")</f>
        <v>0</v>
      </c>
      <c r="U208" s="22">
        <f>IFERROR(VLOOKUP(C208,'[1]TB DIN INCLUIDOS'!$B:$H,4,0),"AGUARDANDO ANEXO")</f>
        <v>0</v>
      </c>
      <c r="V208" s="26" cm="1">
        <f t="array" ref="V208">_xlfn.IFS((U208&gt;S208),(S208*2),(U208&lt;=S208),(U208*2))</f>
        <v>0</v>
      </c>
      <c r="W208" s="22"/>
      <c r="X208" s="26">
        <f>IFERROR(VLOOKUP(Y208,Apoio!A:B,2,0),"")</f>
        <v>3</v>
      </c>
      <c r="Y208" s="22">
        <f>IFERROR(VLOOKUP(C208,'[1]TB DIN'!$B:$H,5,0),"AGUARDANDO ANEXO")</f>
        <v>73</v>
      </c>
      <c r="Z208" s="22">
        <f>IFERROR(VLOOKUP(C208,'[1]TB DIN INCLUIDOS'!$B:$H,5,0),"AGUARDANDO ANEXO")</f>
        <v>1</v>
      </c>
      <c r="AA208" s="26" cm="1">
        <f t="array" ref="AA208">_xlfn.IFS((Z208&gt;X208),(X208*2),(Z208&lt;=X208),(Z208*2))</f>
        <v>2</v>
      </c>
      <c r="AB208" s="22"/>
      <c r="AC208" s="26">
        <f>IFERROR(VLOOKUP(AD208,Apoio!A:B,2,0),"")</f>
        <v>3</v>
      </c>
      <c r="AD208" s="22">
        <f>IFERROR(VLOOKUP(C208,'[1]TB DIN'!$B:$H,6,0),"AGUARDANDO ANEXO")</f>
        <v>73</v>
      </c>
      <c r="AE208" s="22">
        <f>IFERROR(VLOOKUP(C208,'[1]TB DIN INCLUIDOS'!$B:$H,6,0),"AGUARDANDO ANEXO")</f>
        <v>1</v>
      </c>
      <c r="AF208" s="26" cm="1">
        <f t="array" ref="AF208">_xlfn.IFS((AE208&gt;AC208),(AC208*2),(AE208&lt;=AC208),(AE208*2))</f>
        <v>2</v>
      </c>
      <c r="AG208" s="22"/>
      <c r="AH208" s="28">
        <f t="shared" si="21"/>
        <v>146</v>
      </c>
      <c r="AI208" s="28">
        <f t="shared" si="22"/>
        <v>2</v>
      </c>
      <c r="AJ208" s="28">
        <f t="shared" si="23"/>
        <v>4</v>
      </c>
      <c r="AK208" s="28">
        <f t="shared" si="24"/>
        <v>0</v>
      </c>
      <c r="AL208" s="28">
        <f t="shared" si="25"/>
        <v>0</v>
      </c>
      <c r="AM208" s="23" t="s">
        <v>1708</v>
      </c>
      <c r="AN208" s="37">
        <f>VLOOKUP(C208,'[2]MARÇO-2024'!$B:$M,12,0)</f>
        <v>146</v>
      </c>
      <c r="AO208" s="37">
        <f t="shared" si="26"/>
        <v>0</v>
      </c>
      <c r="AP208" s="37" t="str">
        <f t="shared" si="27"/>
        <v/>
      </c>
    </row>
    <row r="209" spans="1:42" ht="13.5" customHeight="1" x14ac:dyDescent="0.25">
      <c r="A209" s="17">
        <v>8</v>
      </c>
      <c r="B209" s="17">
        <v>1</v>
      </c>
      <c r="C209" s="29">
        <v>8002</v>
      </c>
      <c r="D209" s="38">
        <v>33121885</v>
      </c>
      <c r="E209" s="18" t="s">
        <v>506</v>
      </c>
      <c r="F209" s="68" t="s">
        <v>761</v>
      </c>
      <c r="G209" s="62" t="s">
        <v>263</v>
      </c>
      <c r="H209" s="19" t="s">
        <v>1038</v>
      </c>
      <c r="I209" s="19" t="s">
        <v>1216</v>
      </c>
      <c r="J209" s="19" t="s">
        <v>1434</v>
      </c>
      <c r="K209" s="20" t="s">
        <v>1614</v>
      </c>
      <c r="L209" s="21">
        <v>35</v>
      </c>
      <c r="M209" s="21"/>
      <c r="N209" s="26" t="str">
        <f>IFERROR(VLOOKUP(O209,Apoio!A:B,2,0),"")</f>
        <v/>
      </c>
      <c r="O209" s="22">
        <f>IFERROR(VLOOKUP(C209,'[1]TB DIN'!$B:$D,3,0),"AGUARDANDO ANEXO")</f>
        <v>0</v>
      </c>
      <c r="P209" s="22">
        <f>IFERROR(VLOOKUP(C209,'[1]TB DIN INCLUIDOS'!$B:$H,3,0),"AGUARDANDO ANEXO")</f>
        <v>0</v>
      </c>
      <c r="Q209" s="26" cm="1">
        <f t="array" ref="Q209">_xlfn.IFS((P209&gt;N209),(N209*2),(P209&lt;=N209),(P209*2))</f>
        <v>0</v>
      </c>
      <c r="R209" s="22"/>
      <c r="S209" s="26">
        <f>IFERROR(VLOOKUP(T209,Apoio!A:B,2,0),"")</f>
        <v>1</v>
      </c>
      <c r="T209" s="22">
        <f>IFERROR(VLOOKUP(C209,'[1]TB DIN'!$B:$H,4,0),"AGUARDANDO ANEXO")</f>
        <v>13</v>
      </c>
      <c r="U209" s="22">
        <f>IFERROR(VLOOKUP(C209,'[1]TB DIN INCLUIDOS'!$B:$H,4,0),"AGUARDANDO ANEXO")</f>
        <v>0</v>
      </c>
      <c r="V209" s="26" cm="1">
        <f t="array" ref="V209">_xlfn.IFS((U209&gt;S209),(S209*2),(U209&lt;=S209),(U209*2))</f>
        <v>0</v>
      </c>
      <c r="W209" s="22"/>
      <c r="X209" s="26">
        <f>IFERROR(VLOOKUP(Y209,Apoio!A:B,2,0),"")</f>
        <v>1</v>
      </c>
      <c r="Y209" s="22">
        <f>IFERROR(VLOOKUP(C209,'[1]TB DIN'!$B:$H,5,0),"AGUARDANDO ANEXO")</f>
        <v>7</v>
      </c>
      <c r="Z209" s="22">
        <f>IFERROR(VLOOKUP(C209,'[1]TB DIN INCLUIDOS'!$B:$H,5,0),"AGUARDANDO ANEXO")</f>
        <v>0</v>
      </c>
      <c r="AA209" s="26" cm="1">
        <f t="array" ref="AA209">_xlfn.IFS((Z209&gt;X209),(X209*2),(Z209&lt;=X209),(Z209*2))</f>
        <v>0</v>
      </c>
      <c r="AB209" s="22"/>
      <c r="AC209" s="26">
        <f>IFERROR(VLOOKUP(AD209,Apoio!A:B,2,0),"")</f>
        <v>1</v>
      </c>
      <c r="AD209" s="22">
        <f>IFERROR(VLOOKUP(C209,'[1]TB DIN'!$B:$H,6,0),"AGUARDANDO ANEXO")</f>
        <v>15</v>
      </c>
      <c r="AE209" s="22">
        <f>IFERROR(VLOOKUP(C209,'[1]TB DIN INCLUIDOS'!$B:$H,6,0),"AGUARDANDO ANEXO")</f>
        <v>0</v>
      </c>
      <c r="AF209" s="26" cm="1">
        <f t="array" ref="AF209">_xlfn.IFS((AE209&gt;AC209),(AC209*2),(AE209&lt;=AC209),(AE209*2))</f>
        <v>0</v>
      </c>
      <c r="AG209" s="22"/>
      <c r="AH209" s="28">
        <f t="shared" si="21"/>
        <v>35</v>
      </c>
      <c r="AI209" s="28">
        <f t="shared" si="22"/>
        <v>0</v>
      </c>
      <c r="AJ209" s="28">
        <f t="shared" si="23"/>
        <v>0</v>
      </c>
      <c r="AK209" s="28">
        <f t="shared" si="24"/>
        <v>0</v>
      </c>
      <c r="AL209" s="28">
        <f t="shared" si="25"/>
        <v>0</v>
      </c>
      <c r="AM209" s="23" t="s">
        <v>1707</v>
      </c>
      <c r="AN209" s="37">
        <f>VLOOKUP(C209,'[2]MARÇO-2024'!$B:$M,12,0)</f>
        <v>30</v>
      </c>
      <c r="AO209" s="37">
        <f t="shared" si="26"/>
        <v>-5</v>
      </c>
      <c r="AP209" s="37" t="str">
        <f t="shared" si="27"/>
        <v/>
      </c>
    </row>
    <row r="210" spans="1:42" ht="13.5" customHeight="1" x14ac:dyDescent="0.25">
      <c r="A210" s="17">
        <v>8</v>
      </c>
      <c r="B210" s="17">
        <v>2</v>
      </c>
      <c r="C210" s="29">
        <v>8003</v>
      </c>
      <c r="D210" s="38">
        <v>33122008</v>
      </c>
      <c r="E210" s="18" t="s">
        <v>504</v>
      </c>
      <c r="F210" s="68" t="s">
        <v>758</v>
      </c>
      <c r="G210" s="62" t="s">
        <v>260</v>
      </c>
      <c r="H210" s="19" t="s">
        <v>1035</v>
      </c>
      <c r="I210" s="19" t="s">
        <v>1214</v>
      </c>
      <c r="J210" s="19" t="s">
        <v>1431</v>
      </c>
      <c r="K210" s="20" t="s">
        <v>1617</v>
      </c>
      <c r="L210" s="21">
        <v>80</v>
      </c>
      <c r="M210" s="21"/>
      <c r="N210" s="26" t="str">
        <f>IFERROR(VLOOKUP(O210,Apoio!A:B,2,0),"")</f>
        <v/>
      </c>
      <c r="O210" s="22">
        <f>IFERROR(VLOOKUP(C210,'[1]TB DIN'!$B:$D,3,0),"AGUARDANDO ANEXO")</f>
        <v>0</v>
      </c>
      <c r="P210" s="22">
        <f>IFERROR(VLOOKUP(C210,'[1]TB DIN INCLUIDOS'!$B:$H,3,0),"AGUARDANDO ANEXO")</f>
        <v>0</v>
      </c>
      <c r="Q210" s="26" cm="1">
        <f t="array" ref="Q210">_xlfn.IFS((P210&gt;N210),(N210*2),(P210&lt;=N210),(P210*2))</f>
        <v>0</v>
      </c>
      <c r="R210" s="22"/>
      <c r="S210" s="26" t="str">
        <f>IFERROR(VLOOKUP(T210,Apoio!A:B,2,0),"")</f>
        <v/>
      </c>
      <c r="T210" s="22">
        <f>IFERROR(VLOOKUP(C210,'[1]TB DIN'!$B:$H,4,0),"AGUARDANDO ANEXO")</f>
        <v>0</v>
      </c>
      <c r="U210" s="22">
        <f>IFERROR(VLOOKUP(C210,'[1]TB DIN INCLUIDOS'!$B:$H,4,0),"AGUARDANDO ANEXO")</f>
        <v>0</v>
      </c>
      <c r="V210" s="26" cm="1">
        <f t="array" ref="V210">_xlfn.IFS((U210&gt;S210),(S210*2),(U210&lt;=S210),(U210*2))</f>
        <v>0</v>
      </c>
      <c r="W210" s="22"/>
      <c r="X210" s="26">
        <f>IFERROR(VLOOKUP(Y210,Apoio!A:B,2,0),"")</f>
        <v>2</v>
      </c>
      <c r="Y210" s="22">
        <f>IFERROR(VLOOKUP(C210,'[1]TB DIN'!$B:$H,5,0),"AGUARDANDO ANEXO")</f>
        <v>40</v>
      </c>
      <c r="Z210" s="22">
        <f>IFERROR(VLOOKUP(C210,'[1]TB DIN INCLUIDOS'!$B:$H,5,0),"AGUARDANDO ANEXO")</f>
        <v>0</v>
      </c>
      <c r="AA210" s="26" cm="1">
        <f t="array" ref="AA210">_xlfn.IFS((Z210&gt;X210),(X210*2),(Z210&lt;=X210),(Z210*2))</f>
        <v>0</v>
      </c>
      <c r="AB210" s="22"/>
      <c r="AC210" s="26">
        <f>IFERROR(VLOOKUP(AD210,Apoio!A:B,2,0),"")</f>
        <v>2</v>
      </c>
      <c r="AD210" s="22">
        <f>IFERROR(VLOOKUP(C210,'[1]TB DIN'!$B:$H,6,0),"AGUARDANDO ANEXO")</f>
        <v>40</v>
      </c>
      <c r="AE210" s="22">
        <f>IFERROR(VLOOKUP(C210,'[1]TB DIN INCLUIDOS'!$B:$H,6,0),"AGUARDANDO ANEXO")</f>
        <v>0</v>
      </c>
      <c r="AF210" s="26" cm="1">
        <f t="array" ref="AF210">_xlfn.IFS((AE210&gt;AC210),(AC210*2),(AE210&lt;=AC210),(AE210*2))</f>
        <v>0</v>
      </c>
      <c r="AG210" s="22"/>
      <c r="AH210" s="28">
        <f t="shared" si="21"/>
        <v>80</v>
      </c>
      <c r="AI210" s="28">
        <f t="shared" si="22"/>
        <v>0</v>
      </c>
      <c r="AJ210" s="28">
        <f t="shared" si="23"/>
        <v>0</v>
      </c>
      <c r="AK210" s="28">
        <f t="shared" si="24"/>
        <v>0</v>
      </c>
      <c r="AL210" s="28">
        <f t="shared" si="25"/>
        <v>0</v>
      </c>
      <c r="AM210" s="23" t="s">
        <v>1707</v>
      </c>
      <c r="AN210" s="37">
        <f>VLOOKUP(C210,'[2]MARÇO-2024'!$B:$M,12,0)</f>
        <v>79</v>
      </c>
      <c r="AO210" s="37">
        <f t="shared" si="26"/>
        <v>-1</v>
      </c>
      <c r="AP210" s="37" t="str">
        <f t="shared" si="27"/>
        <v/>
      </c>
    </row>
    <row r="211" spans="1:42" ht="13.5" customHeight="1" x14ac:dyDescent="0.25">
      <c r="A211" s="17">
        <v>8</v>
      </c>
      <c r="B211" s="17">
        <v>3</v>
      </c>
      <c r="C211" s="29">
        <v>8004</v>
      </c>
      <c r="D211" s="38">
        <v>33122121</v>
      </c>
      <c r="E211" s="18" t="s">
        <v>503</v>
      </c>
      <c r="F211" s="68" t="s">
        <v>757</v>
      </c>
      <c r="G211" s="62" t="s">
        <v>259</v>
      </c>
      <c r="H211" s="19" t="s">
        <v>1034</v>
      </c>
      <c r="I211" s="19" t="s">
        <v>1213</v>
      </c>
      <c r="J211" s="19" t="s">
        <v>1430</v>
      </c>
      <c r="K211" s="20" t="s">
        <v>1616</v>
      </c>
      <c r="L211" s="21">
        <v>100</v>
      </c>
      <c r="M211" s="21"/>
      <c r="N211" s="26">
        <f>IFERROR(VLOOKUP(O211,Apoio!A:B,2,0),"")</f>
        <v>1</v>
      </c>
      <c r="O211" s="22">
        <f>IFERROR(VLOOKUP(C211,'[1]TB DIN'!$B:$D,3,0),"AGUARDANDO ANEXO")</f>
        <v>5</v>
      </c>
      <c r="P211" s="22">
        <f>IFERROR(VLOOKUP(C211,'[1]TB DIN INCLUIDOS'!$B:$H,3,0),"AGUARDANDO ANEXO")</f>
        <v>0</v>
      </c>
      <c r="Q211" s="26" cm="1">
        <f t="array" ref="Q211">_xlfn.IFS((P211&gt;N211),(N211*2),(P211&lt;=N211),(P211*2))</f>
        <v>0</v>
      </c>
      <c r="R211" s="22"/>
      <c r="S211" s="26">
        <f>IFERROR(VLOOKUP(T211,Apoio!A:B,2,0),"")</f>
        <v>2</v>
      </c>
      <c r="T211" s="22">
        <f>IFERROR(VLOOKUP(C211,'[1]TB DIN'!$B:$H,4,0),"AGUARDANDO ANEXO")</f>
        <v>35</v>
      </c>
      <c r="U211" s="22">
        <f>IFERROR(VLOOKUP(C211,'[1]TB DIN INCLUIDOS'!$B:$H,4,0),"AGUARDANDO ANEXO")</f>
        <v>0</v>
      </c>
      <c r="V211" s="26" cm="1">
        <f t="array" ref="V211">_xlfn.IFS((U211&gt;S211),(S211*2),(U211&lt;=S211),(U211*2))</f>
        <v>0</v>
      </c>
      <c r="W211" s="22"/>
      <c r="X211" s="26">
        <f>IFERROR(VLOOKUP(Y211,Apoio!A:B,2,0),"")</f>
        <v>2</v>
      </c>
      <c r="Y211" s="22">
        <f>IFERROR(VLOOKUP(C211,'[1]TB DIN'!$B:$H,5,0),"AGUARDANDO ANEXO")</f>
        <v>29</v>
      </c>
      <c r="Z211" s="22">
        <f>IFERROR(VLOOKUP(C211,'[1]TB DIN INCLUIDOS'!$B:$H,5,0),"AGUARDANDO ANEXO")</f>
        <v>0</v>
      </c>
      <c r="AA211" s="26" cm="1">
        <f t="array" ref="AA211">_xlfn.IFS((Z211&gt;X211),(X211*2),(Z211&lt;=X211),(Z211*2))</f>
        <v>0</v>
      </c>
      <c r="AB211" s="22"/>
      <c r="AC211" s="26">
        <f>IFERROR(VLOOKUP(AD211,Apoio!A:B,2,0),"")</f>
        <v>2</v>
      </c>
      <c r="AD211" s="22">
        <f>IFERROR(VLOOKUP(C211,'[1]TB DIN'!$B:$H,6,0),"AGUARDANDO ANEXO")</f>
        <v>31</v>
      </c>
      <c r="AE211" s="22">
        <f>IFERROR(VLOOKUP(C211,'[1]TB DIN INCLUIDOS'!$B:$H,6,0),"AGUARDANDO ANEXO")</f>
        <v>0</v>
      </c>
      <c r="AF211" s="26" cm="1">
        <f t="array" ref="AF211">_xlfn.IFS((AE211&gt;AC211),(AC211*2),(AE211&lt;=AC211),(AE211*2))</f>
        <v>0</v>
      </c>
      <c r="AG211" s="22"/>
      <c r="AH211" s="28">
        <f t="shared" si="21"/>
        <v>100</v>
      </c>
      <c r="AI211" s="28">
        <f t="shared" si="22"/>
        <v>0</v>
      </c>
      <c r="AJ211" s="28">
        <f t="shared" si="23"/>
        <v>0</v>
      </c>
      <c r="AK211" s="28">
        <f t="shared" si="24"/>
        <v>0</v>
      </c>
      <c r="AL211" s="28">
        <f t="shared" si="25"/>
        <v>0</v>
      </c>
      <c r="AM211" s="23" t="s">
        <v>1707</v>
      </c>
      <c r="AN211" s="37">
        <f>VLOOKUP(C211,'[2]MARÇO-2024'!$B:$M,12,0)</f>
        <v>99</v>
      </c>
      <c r="AO211" s="37">
        <f t="shared" si="26"/>
        <v>-1</v>
      </c>
      <c r="AP211" s="37" t="str">
        <f t="shared" si="27"/>
        <v/>
      </c>
    </row>
    <row r="212" spans="1:42" ht="13.5" customHeight="1" x14ac:dyDescent="0.25">
      <c r="A212" s="17">
        <v>8</v>
      </c>
      <c r="B212" s="17">
        <v>4</v>
      </c>
      <c r="C212" s="29">
        <v>8005</v>
      </c>
      <c r="D212" s="38">
        <v>33338205</v>
      </c>
      <c r="E212" s="18" t="s">
        <v>505</v>
      </c>
      <c r="F212" s="68" t="s">
        <v>759</v>
      </c>
      <c r="G212" s="62" t="s">
        <v>261</v>
      </c>
      <c r="H212" s="19" t="s">
        <v>1036</v>
      </c>
      <c r="I212" s="19" t="s">
        <v>1036</v>
      </c>
      <c r="J212" s="19" t="s">
        <v>1432</v>
      </c>
      <c r="K212" s="20" t="s">
        <v>1614</v>
      </c>
      <c r="L212" s="21">
        <v>144</v>
      </c>
      <c r="M212" s="21"/>
      <c r="N212" s="26" t="str">
        <f>IFERROR(VLOOKUP(O212,Apoio!A:B,2,0),"")</f>
        <v/>
      </c>
      <c r="O212" s="22">
        <f>IFERROR(VLOOKUP(C212,'[1]TB DIN'!$B:$D,3,0),"AGUARDANDO ANEXO")</f>
        <v>0</v>
      </c>
      <c r="P212" s="22">
        <f>IFERROR(VLOOKUP(C212,'[1]TB DIN INCLUIDOS'!$B:$H,3,0),"AGUARDANDO ANEXO")</f>
        <v>0</v>
      </c>
      <c r="Q212" s="26" cm="1">
        <f t="array" ref="Q212">_xlfn.IFS((P212&gt;N212),(N212*2),(P212&lt;=N212),(P212*2))</f>
        <v>0</v>
      </c>
      <c r="R212" s="22"/>
      <c r="S212" s="26">
        <f>IFERROR(VLOOKUP(T212,Apoio!A:B,2,0),"")</f>
        <v>2</v>
      </c>
      <c r="T212" s="22">
        <f>IFERROR(VLOOKUP(C212,'[1]TB DIN'!$B:$H,4,0),"AGUARDANDO ANEXO")</f>
        <v>48</v>
      </c>
      <c r="U212" s="22">
        <f>IFERROR(VLOOKUP(C212,'[1]TB DIN INCLUIDOS'!$B:$H,4,0),"AGUARDANDO ANEXO")</f>
        <v>0</v>
      </c>
      <c r="V212" s="26" cm="1">
        <f t="array" ref="V212">_xlfn.IFS((U212&gt;S212),(S212*2),(U212&lt;=S212),(U212*2))</f>
        <v>0</v>
      </c>
      <c r="W212" s="22"/>
      <c r="X212" s="26">
        <f>IFERROR(VLOOKUP(Y212,Apoio!A:B,2,0),"")</f>
        <v>2</v>
      </c>
      <c r="Y212" s="22">
        <f>IFERROR(VLOOKUP(C212,'[1]TB DIN'!$B:$H,5,0),"AGUARDANDO ANEXO")</f>
        <v>48</v>
      </c>
      <c r="Z212" s="22">
        <f>IFERROR(VLOOKUP(C212,'[1]TB DIN INCLUIDOS'!$B:$H,5,0),"AGUARDANDO ANEXO")</f>
        <v>0</v>
      </c>
      <c r="AA212" s="26" cm="1">
        <f t="array" ref="AA212">_xlfn.IFS((Z212&gt;X212),(X212*2),(Z212&lt;=X212),(Z212*2))</f>
        <v>0</v>
      </c>
      <c r="AB212" s="22"/>
      <c r="AC212" s="26">
        <f>IFERROR(VLOOKUP(AD212,Apoio!A:B,2,0),"")</f>
        <v>2</v>
      </c>
      <c r="AD212" s="22">
        <v>45</v>
      </c>
      <c r="AE212" s="22">
        <f>IFERROR(VLOOKUP(C212,'[1]TB DIN INCLUIDOS'!$B:$H,6,0),"AGUARDANDO ANEXO")</f>
        <v>1</v>
      </c>
      <c r="AF212" s="26" cm="1">
        <f t="array" ref="AF212">_xlfn.IFS((AE212&gt;AC212),(AC212*2),(AE212&lt;=AC212),(AE212*2))</f>
        <v>2</v>
      </c>
      <c r="AG212" s="22"/>
      <c r="AH212" s="28">
        <f t="shared" si="21"/>
        <v>141</v>
      </c>
      <c r="AI212" s="28">
        <f t="shared" si="22"/>
        <v>1</v>
      </c>
      <c r="AJ212" s="28">
        <f t="shared" si="23"/>
        <v>2</v>
      </c>
      <c r="AK212" s="28">
        <f t="shared" si="24"/>
        <v>1</v>
      </c>
      <c r="AL212" s="28">
        <f t="shared" si="25"/>
        <v>0</v>
      </c>
      <c r="AM212" s="23" t="s">
        <v>1852</v>
      </c>
      <c r="AN212" s="37">
        <f>VLOOKUP(C212,'[2]MARÇO-2024'!$B:$M,12,0)</f>
        <v>142</v>
      </c>
      <c r="AO212" s="37">
        <f t="shared" si="26"/>
        <v>1</v>
      </c>
      <c r="AP212" s="37" t="str">
        <f t="shared" si="27"/>
        <v/>
      </c>
    </row>
    <row r="213" spans="1:42" ht="13.5" customHeight="1" x14ac:dyDescent="0.25">
      <c r="A213" s="17">
        <v>8</v>
      </c>
      <c r="B213" s="17">
        <v>5</v>
      </c>
      <c r="C213" s="29">
        <v>8006</v>
      </c>
      <c r="D213" s="38">
        <v>33099308</v>
      </c>
      <c r="E213" s="18" t="s">
        <v>508</v>
      </c>
      <c r="F213" s="68" t="s">
        <v>765</v>
      </c>
      <c r="G213" s="62" t="s">
        <v>267</v>
      </c>
      <c r="H213" s="19" t="s">
        <v>1042</v>
      </c>
      <c r="I213" s="19" t="s">
        <v>1218</v>
      </c>
      <c r="J213" s="19" t="s">
        <v>1438</v>
      </c>
      <c r="K213" s="20" t="s">
        <v>1619</v>
      </c>
      <c r="L213" s="21">
        <v>50</v>
      </c>
      <c r="M213" s="21"/>
      <c r="N213" s="26" t="str">
        <f>IFERROR(VLOOKUP(O213,Apoio!A:B,2,0),"")</f>
        <v/>
      </c>
      <c r="O213" s="22">
        <f>IFERROR(VLOOKUP(C213,'[1]TB DIN'!$B:$D,3,0),"AGUARDANDO ANEXO")</f>
        <v>0</v>
      </c>
      <c r="P213" s="22">
        <f>IFERROR(VLOOKUP(C213,'[1]TB DIN INCLUIDOS'!$B:$H,3,0),"AGUARDANDO ANEXO")</f>
        <v>0</v>
      </c>
      <c r="Q213" s="26" cm="1">
        <f t="array" ref="Q213">_xlfn.IFS((P213&gt;N213),(N213*2),(P213&lt;=N213),(P213*2))</f>
        <v>0</v>
      </c>
      <c r="R213" s="22"/>
      <c r="S213" s="26" t="str">
        <f>IFERROR(VLOOKUP(T213,Apoio!A:B,2,0),"")</f>
        <v/>
      </c>
      <c r="T213" s="22">
        <f>IFERROR(VLOOKUP(C213,'[1]TB DIN'!$B:$H,4,0),"AGUARDANDO ANEXO")</f>
        <v>0</v>
      </c>
      <c r="U213" s="22">
        <f>IFERROR(VLOOKUP(C213,'[1]TB DIN INCLUIDOS'!$B:$H,4,0),"AGUARDANDO ANEXO")</f>
        <v>0</v>
      </c>
      <c r="V213" s="26" cm="1">
        <f t="array" ref="V213">_xlfn.IFS((U213&gt;S213),(S213*2),(U213&lt;=S213),(U213*2))</f>
        <v>0</v>
      </c>
      <c r="W213" s="22"/>
      <c r="X213" s="26">
        <f>IFERROR(VLOOKUP(Y213,Apoio!A:B,2,0),"")</f>
        <v>1</v>
      </c>
      <c r="Y213" s="22">
        <f>IFERROR(VLOOKUP(C213,'[1]TB DIN'!$B:$H,5,0),"AGUARDANDO ANEXO")</f>
        <v>20</v>
      </c>
      <c r="Z213" s="22">
        <f>IFERROR(VLOOKUP(C213,'[1]TB DIN INCLUIDOS'!$B:$H,5,0),"AGUARDANDO ANEXO")</f>
        <v>0</v>
      </c>
      <c r="AA213" s="26" cm="1">
        <f t="array" ref="AA213">_xlfn.IFS((Z213&gt;X213),(X213*2),(Z213&lt;=X213),(Z213*2))</f>
        <v>0</v>
      </c>
      <c r="AB213" s="22"/>
      <c r="AC213" s="26">
        <f>IFERROR(VLOOKUP(AD213,Apoio!A:B,2,0),"")</f>
        <v>2</v>
      </c>
      <c r="AD213" s="22">
        <f>IFERROR(VLOOKUP(C213,'[1]TB DIN'!$B:$H,6,0),"AGUARDANDO ANEXO")</f>
        <v>30</v>
      </c>
      <c r="AE213" s="22">
        <f>IFERROR(VLOOKUP(C213,'[1]TB DIN INCLUIDOS'!$B:$H,6,0),"AGUARDANDO ANEXO")</f>
        <v>0</v>
      </c>
      <c r="AF213" s="26" cm="1">
        <f t="array" ref="AF213">_xlfn.IFS((AE213&gt;AC213),(AC213*2),(AE213&lt;=AC213),(AE213*2))</f>
        <v>0</v>
      </c>
      <c r="AG213" s="22"/>
      <c r="AH213" s="28">
        <f t="shared" si="21"/>
        <v>50</v>
      </c>
      <c r="AI213" s="28">
        <f t="shared" si="22"/>
        <v>0</v>
      </c>
      <c r="AJ213" s="28">
        <f t="shared" si="23"/>
        <v>0</v>
      </c>
      <c r="AK213" s="28">
        <f t="shared" si="24"/>
        <v>0</v>
      </c>
      <c r="AL213" s="28">
        <f t="shared" si="25"/>
        <v>0</v>
      </c>
      <c r="AM213" s="23" t="s">
        <v>1707</v>
      </c>
      <c r="AN213" s="37">
        <f>VLOOKUP(C213,'[2]MARÇO-2024'!$B:$M,12,0)</f>
        <v>50</v>
      </c>
      <c r="AO213" s="37">
        <f t="shared" si="26"/>
        <v>0</v>
      </c>
      <c r="AP213" s="37" t="str">
        <f t="shared" si="27"/>
        <v/>
      </c>
    </row>
    <row r="214" spans="1:42" ht="13.5" customHeight="1" x14ac:dyDescent="0.25">
      <c r="A214" s="17">
        <v>8</v>
      </c>
      <c r="B214" s="17">
        <v>6</v>
      </c>
      <c r="C214" s="29">
        <v>8007</v>
      </c>
      <c r="D214" s="38">
        <v>33166188</v>
      </c>
      <c r="E214" s="18" t="s">
        <v>505</v>
      </c>
      <c r="F214" s="68" t="s">
        <v>760</v>
      </c>
      <c r="G214" s="62" t="s">
        <v>262</v>
      </c>
      <c r="H214" s="19" t="s">
        <v>1037</v>
      </c>
      <c r="I214" s="19" t="s">
        <v>1215</v>
      </c>
      <c r="J214" s="19" t="s">
        <v>1433</v>
      </c>
      <c r="K214" s="20" t="s">
        <v>1618</v>
      </c>
      <c r="L214" s="21">
        <v>214</v>
      </c>
      <c r="M214" s="21"/>
      <c r="N214" s="26" t="str">
        <f>IFERROR(VLOOKUP(O214,Apoio!A:B,2,0),"")</f>
        <v/>
      </c>
      <c r="O214" s="22">
        <f>IFERROR(VLOOKUP(C214,'[1]TB DIN'!$B:$D,3,0),"AGUARDANDO ANEXO")</f>
        <v>0</v>
      </c>
      <c r="P214" s="22">
        <f>IFERROR(VLOOKUP(C214,'[1]TB DIN INCLUIDOS'!$B:$H,3,0),"AGUARDANDO ANEXO")</f>
        <v>0</v>
      </c>
      <c r="Q214" s="26" cm="1">
        <f t="array" ref="Q214">_xlfn.IFS((P214&gt;N214),(N214*2),(P214&lt;=N214),(P214*2))</f>
        <v>0</v>
      </c>
      <c r="R214" s="22"/>
      <c r="S214" s="26">
        <f>IFERROR(VLOOKUP(T214,Apoio!A:B,2,0),"")</f>
        <v>3</v>
      </c>
      <c r="T214" s="22">
        <v>70</v>
      </c>
      <c r="U214" s="22">
        <f>IFERROR(VLOOKUP(C214,'[1]TB DIN INCLUIDOS'!$B:$H,4,0),"AGUARDANDO ANEXO")</f>
        <v>0</v>
      </c>
      <c r="V214" s="26" cm="1">
        <f t="array" ref="V214">_xlfn.IFS((U214&gt;S214),(S214*2),(U214&lt;=S214),(U214*2))</f>
        <v>0</v>
      </c>
      <c r="W214" s="22"/>
      <c r="X214" s="26">
        <f>IFERROR(VLOOKUP(Y214,Apoio!A:B,2,0),"")</f>
        <v>3</v>
      </c>
      <c r="Y214" s="22">
        <v>71</v>
      </c>
      <c r="Z214" s="22">
        <f>IFERROR(VLOOKUP(C214,'[1]TB DIN INCLUIDOS'!$B:$H,5,0),"AGUARDANDO ANEXO")</f>
        <v>0</v>
      </c>
      <c r="AA214" s="26" cm="1">
        <f t="array" ref="AA214">_xlfn.IFS((Z214&gt;X214),(X214*2),(Z214&lt;=X214),(Z214*2))</f>
        <v>0</v>
      </c>
      <c r="AB214" s="22"/>
      <c r="AC214" s="26">
        <f>IFERROR(VLOOKUP(AD214,Apoio!A:B,2,0),"")</f>
        <v>3</v>
      </c>
      <c r="AD214" s="22">
        <f>IFERROR(VLOOKUP(C214,'[1]TB DIN'!$B:$H,6,0),"AGUARDANDO ANEXO")</f>
        <v>69</v>
      </c>
      <c r="AE214" s="22">
        <v>3</v>
      </c>
      <c r="AF214" s="26" cm="1">
        <f t="array" ref="AF214">_xlfn.IFS((AE214&gt;AC214),(AC214*2),(AE214&lt;=AC214),(AE214*2))</f>
        <v>6</v>
      </c>
      <c r="AG214" s="22"/>
      <c r="AH214" s="28">
        <f t="shared" si="21"/>
        <v>210</v>
      </c>
      <c r="AI214" s="28">
        <f t="shared" si="22"/>
        <v>3</v>
      </c>
      <c r="AJ214" s="28">
        <f t="shared" si="23"/>
        <v>6</v>
      </c>
      <c r="AK214" s="28">
        <f t="shared" si="24"/>
        <v>0</v>
      </c>
      <c r="AL214" s="28">
        <f t="shared" si="25"/>
        <v>-2</v>
      </c>
      <c r="AM214" s="23" t="s">
        <v>1707</v>
      </c>
      <c r="AN214" s="37">
        <f>VLOOKUP(C214,'[2]MARÇO-2024'!$B:$M,12,0)</f>
        <v>211</v>
      </c>
      <c r="AO214" s="37">
        <f t="shared" si="26"/>
        <v>1</v>
      </c>
      <c r="AP214" s="37" t="str">
        <f t="shared" si="27"/>
        <v/>
      </c>
    </row>
    <row r="215" spans="1:42" ht="13.5" customHeight="1" x14ac:dyDescent="0.25">
      <c r="A215" s="17">
        <v>8</v>
      </c>
      <c r="B215" s="17">
        <v>7</v>
      </c>
      <c r="C215" s="29">
        <v>8008</v>
      </c>
      <c r="D215" s="38">
        <v>33081620</v>
      </c>
      <c r="E215" s="18" t="s">
        <v>498</v>
      </c>
      <c r="F215" s="68" t="s">
        <v>752</v>
      </c>
      <c r="G215" s="62" t="s">
        <v>254</v>
      </c>
      <c r="H215" s="19" t="s">
        <v>1029</v>
      </c>
      <c r="I215" s="19" t="s">
        <v>1211</v>
      </c>
      <c r="J215" s="19" t="s">
        <v>1425</v>
      </c>
      <c r="K215" s="20" t="s">
        <v>1614</v>
      </c>
      <c r="L215" s="21">
        <v>40</v>
      </c>
      <c r="M215" s="21"/>
      <c r="N215" s="26" t="str">
        <f>IFERROR(VLOOKUP(O215,Apoio!A:B,2,0),"")</f>
        <v/>
      </c>
      <c r="O215" s="22">
        <f>IFERROR(VLOOKUP(C215,'[1]TB DIN'!$B:$D,3,0),"AGUARDANDO ANEXO")</f>
        <v>0</v>
      </c>
      <c r="P215" s="22">
        <f>IFERROR(VLOOKUP(C215,'[1]TB DIN INCLUIDOS'!$B:$H,3,0),"AGUARDANDO ANEXO")</f>
        <v>0</v>
      </c>
      <c r="Q215" s="26" cm="1">
        <f t="array" ref="Q215">_xlfn.IFS((P215&gt;N215),(N215*2),(P215&lt;=N215),(P215*2))</f>
        <v>0</v>
      </c>
      <c r="R215" s="22"/>
      <c r="S215" s="26" t="str">
        <f>IFERROR(VLOOKUP(T215,Apoio!A:B,2,0),"")</f>
        <v/>
      </c>
      <c r="T215" s="22">
        <f>IFERROR(VLOOKUP(C215,'[1]TB DIN'!$B:$H,4,0),"AGUARDANDO ANEXO")</f>
        <v>0</v>
      </c>
      <c r="U215" s="22">
        <f>IFERROR(VLOOKUP(C215,'[1]TB DIN INCLUIDOS'!$B:$H,4,0),"AGUARDANDO ANEXO")</f>
        <v>0</v>
      </c>
      <c r="V215" s="26" cm="1">
        <f t="array" ref="V215">_xlfn.IFS((U215&gt;S215),(S215*2),(U215&lt;=S215),(U215*2))</f>
        <v>0</v>
      </c>
      <c r="W215" s="22"/>
      <c r="X215" s="26" t="str">
        <f>IFERROR(VLOOKUP(Y215,Apoio!A:B,2,0),"")</f>
        <v/>
      </c>
      <c r="Y215" s="22">
        <f>IFERROR(VLOOKUP(C215,'[1]TB DIN'!$B:$H,5,0),"AGUARDANDO ANEXO")</f>
        <v>0</v>
      </c>
      <c r="Z215" s="22">
        <f>IFERROR(VLOOKUP(C215,'[1]TB DIN INCLUIDOS'!$B:$H,5,0),"AGUARDANDO ANEXO")</f>
        <v>0</v>
      </c>
      <c r="AA215" s="26" cm="1">
        <f t="array" ref="AA215">_xlfn.IFS((Z215&gt;X215),(X215*2),(Z215&lt;=X215),(Z215*2))</f>
        <v>0</v>
      </c>
      <c r="AB215" s="22"/>
      <c r="AC215" s="26">
        <f>IFERROR(VLOOKUP(AD215,Apoio!A:B,2,0),"")</f>
        <v>2</v>
      </c>
      <c r="AD215" s="22">
        <v>39</v>
      </c>
      <c r="AE215" s="22">
        <f>IFERROR(VLOOKUP(C215,'[1]TB DIN INCLUIDOS'!$B:$H,6,0),"AGUARDANDO ANEXO")</f>
        <v>0</v>
      </c>
      <c r="AF215" s="26" cm="1">
        <f t="array" ref="AF215">_xlfn.IFS((AE215&gt;AC215),(AC215*2),(AE215&lt;=AC215),(AE215*2))</f>
        <v>0</v>
      </c>
      <c r="AG215" s="22"/>
      <c r="AH215" s="28">
        <f t="shared" si="21"/>
        <v>39</v>
      </c>
      <c r="AI215" s="28">
        <f t="shared" si="22"/>
        <v>0</v>
      </c>
      <c r="AJ215" s="28">
        <f t="shared" si="23"/>
        <v>0</v>
      </c>
      <c r="AK215" s="28">
        <f t="shared" si="24"/>
        <v>1</v>
      </c>
      <c r="AL215" s="28">
        <f t="shared" si="25"/>
        <v>0</v>
      </c>
      <c r="AM215" s="23" t="s">
        <v>1707</v>
      </c>
      <c r="AN215" s="37">
        <f>VLOOKUP(C215,'[2]MARÇO-2024'!$B:$M,12,0)</f>
        <v>39</v>
      </c>
      <c r="AO215" s="37">
        <f t="shared" si="26"/>
        <v>0</v>
      </c>
      <c r="AP215" s="37" t="str">
        <f t="shared" si="27"/>
        <v/>
      </c>
    </row>
    <row r="216" spans="1:42" ht="13.5" customHeight="1" x14ac:dyDescent="0.25">
      <c r="A216" s="17">
        <v>8</v>
      </c>
      <c r="B216" s="17">
        <v>8</v>
      </c>
      <c r="C216" s="29">
        <v>8009</v>
      </c>
      <c r="D216" s="38">
        <v>33165181</v>
      </c>
      <c r="E216" s="18" t="s">
        <v>499</v>
      </c>
      <c r="F216" s="68" t="s">
        <v>753</v>
      </c>
      <c r="G216" s="62" t="s">
        <v>255</v>
      </c>
      <c r="H216" s="19" t="s">
        <v>1030</v>
      </c>
      <c r="I216" s="19" t="s">
        <v>1030</v>
      </c>
      <c r="J216" s="19" t="s">
        <v>1426</v>
      </c>
      <c r="K216" s="20" t="s">
        <v>1615</v>
      </c>
      <c r="L216" s="21">
        <v>98</v>
      </c>
      <c r="M216" s="21"/>
      <c r="N216" s="26">
        <f>IFERROR(VLOOKUP(O216,Apoio!A:B,2,0),"")</f>
        <v>1</v>
      </c>
      <c r="O216" s="22">
        <f>IFERROR(VLOOKUP(C216,'[1]TB DIN'!$B:$D,3,0),"AGUARDANDO ANEXO")</f>
        <v>7</v>
      </c>
      <c r="P216" s="22">
        <f>IFERROR(VLOOKUP(C216,'[1]TB DIN INCLUIDOS'!$B:$H,3,0),"AGUARDANDO ANEXO")</f>
        <v>0</v>
      </c>
      <c r="Q216" s="26" cm="1">
        <f t="array" ref="Q216">_xlfn.IFS((P216&gt;N216),(N216*2),(P216&lt;=N216),(P216*2))</f>
        <v>0</v>
      </c>
      <c r="R216" s="22"/>
      <c r="S216" s="26">
        <f>IFERROR(VLOOKUP(T216,Apoio!A:B,2,0),"")</f>
        <v>2</v>
      </c>
      <c r="T216" s="22">
        <f>IFERROR(VLOOKUP(C216,'[1]TB DIN'!$B:$H,4,0),"AGUARDANDO ANEXO")</f>
        <v>31</v>
      </c>
      <c r="U216" s="22">
        <f>IFERROR(VLOOKUP(C216,'[1]TB DIN INCLUIDOS'!$B:$H,4,0),"AGUARDANDO ANEXO")</f>
        <v>0</v>
      </c>
      <c r="V216" s="26" cm="1">
        <f t="array" ref="V216">_xlfn.IFS((U216&gt;S216),(S216*2),(U216&lt;=S216),(U216*2))</f>
        <v>0</v>
      </c>
      <c r="W216" s="22"/>
      <c r="X216" s="26">
        <f>IFERROR(VLOOKUP(Y216,Apoio!A:B,2,0),"")</f>
        <v>2</v>
      </c>
      <c r="Y216" s="22">
        <f>IFERROR(VLOOKUP(C216,'[1]TB DIN'!$B:$H,5,0),"AGUARDANDO ANEXO")</f>
        <v>30</v>
      </c>
      <c r="Z216" s="22">
        <f>IFERROR(VLOOKUP(C216,'[1]TB DIN INCLUIDOS'!$B:$H,5,0),"AGUARDANDO ANEXO")</f>
        <v>0</v>
      </c>
      <c r="AA216" s="26" cm="1">
        <f t="array" ref="AA216">_xlfn.IFS((Z216&gt;X216),(X216*2),(Z216&lt;=X216),(Z216*2))</f>
        <v>0</v>
      </c>
      <c r="AB216" s="22"/>
      <c r="AC216" s="26">
        <f>IFERROR(VLOOKUP(AD216,Apoio!A:B,2,0),"")</f>
        <v>2</v>
      </c>
      <c r="AD216" s="22">
        <f>IFERROR(VLOOKUP(C216,'[1]TB DIN'!$B:$H,6,0),"AGUARDANDO ANEXO")</f>
        <v>30</v>
      </c>
      <c r="AE216" s="22">
        <f>IFERROR(VLOOKUP(C216,'[1]TB DIN INCLUIDOS'!$B:$H,6,0),"AGUARDANDO ANEXO")</f>
        <v>0</v>
      </c>
      <c r="AF216" s="26" cm="1">
        <f t="array" ref="AF216">_xlfn.IFS((AE216&gt;AC216),(AC216*2),(AE216&lt;=AC216),(AE216*2))</f>
        <v>0</v>
      </c>
      <c r="AG216" s="22"/>
      <c r="AH216" s="28">
        <f t="shared" si="21"/>
        <v>98</v>
      </c>
      <c r="AI216" s="28">
        <f t="shared" si="22"/>
        <v>0</v>
      </c>
      <c r="AJ216" s="28">
        <f t="shared" si="23"/>
        <v>0</v>
      </c>
      <c r="AK216" s="28">
        <f t="shared" si="24"/>
        <v>0</v>
      </c>
      <c r="AL216" s="28">
        <f t="shared" si="25"/>
        <v>0</v>
      </c>
      <c r="AM216" s="23" t="s">
        <v>1707</v>
      </c>
      <c r="AN216" s="37">
        <f>VLOOKUP(C216,'[2]MARÇO-2024'!$B:$M,12,0)</f>
        <v>98</v>
      </c>
      <c r="AO216" s="37">
        <f t="shared" si="26"/>
        <v>0</v>
      </c>
      <c r="AP216" s="37" t="str">
        <f t="shared" si="27"/>
        <v/>
      </c>
    </row>
    <row r="217" spans="1:42" ht="13.5" customHeight="1" x14ac:dyDescent="0.25">
      <c r="A217" s="17">
        <v>8</v>
      </c>
      <c r="B217" s="17">
        <v>9</v>
      </c>
      <c r="C217" s="29">
        <v>8010</v>
      </c>
      <c r="D217" s="38">
        <v>33175934</v>
      </c>
      <c r="E217" s="18" t="s">
        <v>437</v>
      </c>
      <c r="F217" s="68" t="s">
        <v>749</v>
      </c>
      <c r="G217" s="62" t="s">
        <v>251</v>
      </c>
      <c r="H217" s="19" t="s">
        <v>1026</v>
      </c>
      <c r="I217" s="19" t="s">
        <v>1174</v>
      </c>
      <c r="J217" s="19" t="s">
        <v>1422</v>
      </c>
      <c r="K217" s="20" t="s">
        <v>1614</v>
      </c>
      <c r="L217" s="21">
        <v>56</v>
      </c>
      <c r="M217" s="21"/>
      <c r="N217" s="26" t="str">
        <f>IFERROR(VLOOKUP(O217,Apoio!A:B,2,0),"")</f>
        <v/>
      </c>
      <c r="O217" s="22">
        <f>IFERROR(VLOOKUP(C217,'[1]TB DIN'!$B:$D,3,0),"AGUARDANDO ANEXO")</f>
        <v>0</v>
      </c>
      <c r="P217" s="22">
        <f>IFERROR(VLOOKUP(C217,'[1]TB DIN INCLUIDOS'!$B:$H,3,0),"AGUARDANDO ANEXO")</f>
        <v>0</v>
      </c>
      <c r="Q217" s="26" cm="1">
        <f t="array" ref="Q217">_xlfn.IFS((P217&gt;N217),(N217*2),(P217&lt;=N217),(P217*2))</f>
        <v>0</v>
      </c>
      <c r="R217" s="22"/>
      <c r="S217" s="26">
        <f>IFERROR(VLOOKUP(T217,Apoio!A:B,2,0),"")</f>
        <v>1</v>
      </c>
      <c r="T217" s="22">
        <f>IFERROR(VLOOKUP(C217,'[1]TB DIN'!$B:$H,4,0),"AGUARDANDO ANEXO")</f>
        <v>14</v>
      </c>
      <c r="U217" s="22">
        <f>IFERROR(VLOOKUP(C217,'[1]TB DIN INCLUIDOS'!$B:$H,4,0),"AGUARDANDO ANEXO")</f>
        <v>1</v>
      </c>
      <c r="V217" s="26" cm="1">
        <f t="array" ref="V217">_xlfn.IFS((U217&gt;S217),(S217*2),(U217&lt;=S217),(U217*2))</f>
        <v>2</v>
      </c>
      <c r="W217" s="22"/>
      <c r="X217" s="26">
        <f>IFERROR(VLOOKUP(Y217,Apoio!A:B,2,0),"")</f>
        <v>1</v>
      </c>
      <c r="Y217" s="22">
        <f>IFERROR(VLOOKUP(C217,'[1]TB DIN'!$B:$H,5,0),"AGUARDANDO ANEXO")</f>
        <v>19</v>
      </c>
      <c r="Z217" s="22">
        <f>IFERROR(VLOOKUP(C217,'[1]TB DIN INCLUIDOS'!$B:$H,5,0),"AGUARDANDO ANEXO")</f>
        <v>0</v>
      </c>
      <c r="AA217" s="26" cm="1">
        <f t="array" ref="AA217">_xlfn.IFS((Z217&gt;X217),(X217*2),(Z217&lt;=X217),(Z217*2))</f>
        <v>0</v>
      </c>
      <c r="AB217" s="22"/>
      <c r="AC217" s="26">
        <f>IFERROR(VLOOKUP(AD217,Apoio!A:B,2,0),"")</f>
        <v>1</v>
      </c>
      <c r="AD217" s="22">
        <f>IFERROR(VLOOKUP(C217,'[1]TB DIN'!$B:$H,6,0),"AGUARDANDO ANEXO")</f>
        <v>21</v>
      </c>
      <c r="AE217" s="22">
        <f>IFERROR(VLOOKUP(C217,'[1]TB DIN INCLUIDOS'!$B:$H,6,0),"AGUARDANDO ANEXO")</f>
        <v>1</v>
      </c>
      <c r="AF217" s="26" cm="1">
        <f t="array" ref="AF217">_xlfn.IFS((AE217&gt;AC217),(AC217*2),(AE217&lt;=AC217),(AE217*2))</f>
        <v>2</v>
      </c>
      <c r="AG217" s="22"/>
      <c r="AH217" s="28">
        <f t="shared" si="21"/>
        <v>54</v>
      </c>
      <c r="AI217" s="28">
        <f t="shared" si="22"/>
        <v>2</v>
      </c>
      <c r="AJ217" s="28">
        <f t="shared" si="23"/>
        <v>4</v>
      </c>
      <c r="AK217" s="28">
        <f t="shared" si="24"/>
        <v>0</v>
      </c>
      <c r="AL217" s="28">
        <f t="shared" si="25"/>
        <v>-2</v>
      </c>
      <c r="AM217" s="23" t="s">
        <v>1707</v>
      </c>
      <c r="AN217" s="37">
        <f>VLOOKUP(C217,'[2]MARÇO-2024'!$B:$M,12,0)</f>
        <v>53</v>
      </c>
      <c r="AO217" s="37">
        <f t="shared" si="26"/>
        <v>-1</v>
      </c>
      <c r="AP217" s="37" t="str">
        <f t="shared" si="27"/>
        <v/>
      </c>
    </row>
    <row r="218" spans="1:42" ht="13.5" customHeight="1" x14ac:dyDescent="0.25">
      <c r="A218" s="17">
        <v>8</v>
      </c>
      <c r="B218" s="17">
        <v>10</v>
      </c>
      <c r="C218" s="29">
        <v>8011</v>
      </c>
      <c r="D218" s="38">
        <v>33174610</v>
      </c>
      <c r="E218" s="18" t="s">
        <v>454</v>
      </c>
      <c r="F218" s="68" t="s">
        <v>764</v>
      </c>
      <c r="G218" s="64" t="s">
        <v>266</v>
      </c>
      <c r="H218" s="19" t="s">
        <v>1041</v>
      </c>
      <c r="I218" s="19" t="s">
        <v>1207</v>
      </c>
      <c r="J218" s="19" t="s">
        <v>1437</v>
      </c>
      <c r="K218" s="20" t="s">
        <v>1614</v>
      </c>
      <c r="L218" s="21">
        <v>200</v>
      </c>
      <c r="M218" s="21"/>
      <c r="N218" s="26">
        <f>IFERROR(VLOOKUP(O218,Apoio!A:B,2,0),"")</f>
        <v>1</v>
      </c>
      <c r="O218" s="22">
        <v>11</v>
      </c>
      <c r="P218" s="22">
        <f>IFERROR(VLOOKUP(C218,'[1]TB DIN INCLUIDOS'!$B:$H,3,0),"AGUARDANDO ANEXO")</f>
        <v>0</v>
      </c>
      <c r="Q218" s="26" cm="1">
        <f t="array" ref="Q218">_xlfn.IFS((P218&gt;N218),(N218*2),(P218&lt;=N218),(P218*2))</f>
        <v>0</v>
      </c>
      <c r="R218" s="22"/>
      <c r="S218" s="26">
        <f>IFERROR(VLOOKUP(T218,Apoio!A:B,2,0),"")</f>
        <v>3</v>
      </c>
      <c r="T218" s="22">
        <v>60</v>
      </c>
      <c r="U218" s="22">
        <f>IFERROR(VLOOKUP(C218,'[1]TB DIN INCLUIDOS'!$B:$H,4,0),"AGUARDANDO ANEXO")</f>
        <v>0</v>
      </c>
      <c r="V218" s="26" cm="1">
        <f t="array" ref="V218">_xlfn.IFS((U218&gt;S218),(S218*2),(U218&lt;=S218),(U218*2))</f>
        <v>0</v>
      </c>
      <c r="W218" s="22"/>
      <c r="X218" s="26">
        <f>IFERROR(VLOOKUP(Y218,Apoio!A:B,2,0),"")</f>
        <v>3</v>
      </c>
      <c r="Y218" s="22">
        <v>64</v>
      </c>
      <c r="Z218" s="22">
        <f>IFERROR(VLOOKUP(C218,'[1]TB DIN INCLUIDOS'!$B:$H,5,0),"AGUARDANDO ANEXO")</f>
        <v>1</v>
      </c>
      <c r="AA218" s="26" cm="1">
        <f t="array" ref="AA218">_xlfn.IFS((Z218&gt;X218),(X218*2),(Z218&lt;=X218),(Z218*2))</f>
        <v>2</v>
      </c>
      <c r="AB218" s="22"/>
      <c r="AC218" s="26">
        <f>IFERROR(VLOOKUP(AD218,Apoio!A:B,2,0),"")</f>
        <v>3</v>
      </c>
      <c r="AD218" s="22">
        <v>59</v>
      </c>
      <c r="AE218" s="22">
        <f>IFERROR(VLOOKUP(C218,'[1]TB DIN INCLUIDOS'!$B:$H,6,0),"AGUARDANDO ANEXO")</f>
        <v>0</v>
      </c>
      <c r="AF218" s="26" cm="1">
        <f t="array" ref="AF218">_xlfn.IFS((AE218&gt;AC218),(AC218*2),(AE218&lt;=AC218),(AE218*2))</f>
        <v>0</v>
      </c>
      <c r="AG218" s="22"/>
      <c r="AH218" s="28">
        <f t="shared" si="21"/>
        <v>194</v>
      </c>
      <c r="AI218" s="28">
        <f t="shared" si="22"/>
        <v>1</v>
      </c>
      <c r="AJ218" s="28">
        <f t="shared" si="23"/>
        <v>2</v>
      </c>
      <c r="AK218" s="28">
        <f t="shared" si="24"/>
        <v>4</v>
      </c>
      <c r="AL218" s="28">
        <f t="shared" si="25"/>
        <v>0</v>
      </c>
      <c r="AM218" s="23" t="s">
        <v>1707</v>
      </c>
      <c r="AN218" s="37">
        <f>VLOOKUP(C218,'[2]MARÇO-2024'!$B:$M,12,0)</f>
        <v>194</v>
      </c>
      <c r="AO218" s="37">
        <f t="shared" si="26"/>
        <v>0</v>
      </c>
      <c r="AP218" s="37" t="str">
        <f t="shared" si="27"/>
        <v/>
      </c>
    </row>
    <row r="219" spans="1:42" ht="13.5" customHeight="1" x14ac:dyDescent="0.25">
      <c r="A219" s="17">
        <v>8</v>
      </c>
      <c r="B219" s="17">
        <v>11</v>
      </c>
      <c r="C219" s="29">
        <v>8013</v>
      </c>
      <c r="D219" s="38">
        <v>33466220</v>
      </c>
      <c r="E219" s="18" t="s">
        <v>501</v>
      </c>
      <c r="F219" s="68" t="s">
        <v>755</v>
      </c>
      <c r="G219" s="62" t="s">
        <v>257</v>
      </c>
      <c r="H219" s="19" t="s">
        <v>1032</v>
      </c>
      <c r="I219" s="19" t="s">
        <v>1212</v>
      </c>
      <c r="J219" s="19" t="s">
        <v>1428</v>
      </c>
      <c r="K219" s="20" t="s">
        <v>1614</v>
      </c>
      <c r="L219" s="21">
        <v>103</v>
      </c>
      <c r="M219" s="21"/>
      <c r="N219" s="26" t="str">
        <f>IFERROR(VLOOKUP(O219,Apoio!A:B,2,0),"")</f>
        <v/>
      </c>
      <c r="O219" s="22">
        <f>IFERROR(VLOOKUP(C219,'[1]TB DIN'!$B:$D,3,0),"AGUARDANDO ANEXO")</f>
        <v>0</v>
      </c>
      <c r="P219" s="22">
        <f>IFERROR(VLOOKUP(C219,'[1]TB DIN INCLUIDOS'!$B:$H,3,0),"AGUARDANDO ANEXO")</f>
        <v>0</v>
      </c>
      <c r="Q219" s="26" cm="1">
        <f t="array" ref="Q219">_xlfn.IFS((P219&gt;N219),(N219*2),(P219&lt;=N219),(P219*2))</f>
        <v>0</v>
      </c>
      <c r="R219" s="22"/>
      <c r="S219" s="26" t="str">
        <f>IFERROR(VLOOKUP(T219,Apoio!A:B,2,0),"")</f>
        <v/>
      </c>
      <c r="T219" s="22">
        <f>IFERROR(VLOOKUP(C219,'[1]TB DIN'!$B:$H,4,0),"AGUARDANDO ANEXO")</f>
        <v>0</v>
      </c>
      <c r="U219" s="22">
        <f>IFERROR(VLOOKUP(C219,'[1]TB DIN INCLUIDOS'!$B:$H,4,0),"AGUARDANDO ANEXO")</f>
        <v>0</v>
      </c>
      <c r="V219" s="26" cm="1">
        <f t="array" ref="V219">_xlfn.IFS((U219&gt;S219),(S219*2),(U219&lt;=S219),(U219*2))</f>
        <v>0</v>
      </c>
      <c r="W219" s="22"/>
      <c r="X219" s="26">
        <f>IFERROR(VLOOKUP(Y219,Apoio!A:B,2,0),"")</f>
        <v>2</v>
      </c>
      <c r="Y219" s="22">
        <f>IFERROR(VLOOKUP(C219,'[1]TB DIN'!$B:$H,5,0),"AGUARDANDO ANEXO")</f>
        <v>40</v>
      </c>
      <c r="Z219" s="22">
        <f>IFERROR(VLOOKUP(C219,'[1]TB DIN INCLUIDOS'!$B:$H,5,0),"AGUARDANDO ANEXO")</f>
        <v>1</v>
      </c>
      <c r="AA219" s="26" cm="1">
        <f t="array" ref="AA219">_xlfn.IFS((Z219&gt;X219),(X219*2),(Z219&lt;=X219),(Z219*2))</f>
        <v>2</v>
      </c>
      <c r="AB219" s="22"/>
      <c r="AC219" s="26">
        <f>IFERROR(VLOOKUP(AD219,Apoio!A:B,2,0),"")</f>
        <v>3</v>
      </c>
      <c r="AD219" s="22">
        <v>60</v>
      </c>
      <c r="AE219" s="22">
        <f>IFERROR(VLOOKUP(C219,'[1]TB DIN INCLUIDOS'!$B:$H,6,0),"AGUARDANDO ANEXO")</f>
        <v>1</v>
      </c>
      <c r="AF219" s="26" cm="1">
        <f t="array" ref="AF219">_xlfn.IFS((AE219&gt;AC219),(AC219*2),(AE219&lt;=AC219),(AE219*2))</f>
        <v>2</v>
      </c>
      <c r="AG219" s="22"/>
      <c r="AH219" s="28">
        <f t="shared" si="21"/>
        <v>100</v>
      </c>
      <c r="AI219" s="28">
        <f t="shared" si="22"/>
        <v>2</v>
      </c>
      <c r="AJ219" s="28">
        <f t="shared" si="23"/>
        <v>4</v>
      </c>
      <c r="AK219" s="28">
        <f t="shared" si="24"/>
        <v>0</v>
      </c>
      <c r="AL219" s="28">
        <f t="shared" si="25"/>
        <v>-1</v>
      </c>
      <c r="AM219" s="23" t="s">
        <v>1707</v>
      </c>
      <c r="AN219" s="37">
        <f>VLOOKUP(C219,'[2]MARÇO-2024'!$B:$M,12,0)</f>
        <v>101</v>
      </c>
      <c r="AO219" s="37">
        <f t="shared" si="26"/>
        <v>1</v>
      </c>
      <c r="AP219" s="37" t="str">
        <f t="shared" si="27"/>
        <v/>
      </c>
    </row>
    <row r="220" spans="1:42" ht="13.5" customHeight="1" x14ac:dyDescent="0.25">
      <c r="A220" s="17">
        <v>8</v>
      </c>
      <c r="B220" s="17">
        <v>12</v>
      </c>
      <c r="C220" s="29">
        <v>8014</v>
      </c>
      <c r="D220" s="38">
        <v>33190046</v>
      </c>
      <c r="E220" s="18" t="s">
        <v>507</v>
      </c>
      <c r="F220" s="68" t="s">
        <v>762</v>
      </c>
      <c r="G220" s="62" t="s">
        <v>264</v>
      </c>
      <c r="H220" s="19" t="s">
        <v>1039</v>
      </c>
      <c r="I220" s="19" t="s">
        <v>1217</v>
      </c>
      <c r="J220" s="19" t="s">
        <v>1435</v>
      </c>
      <c r="K220" s="20" t="s">
        <v>1618</v>
      </c>
      <c r="L220" s="21">
        <v>70</v>
      </c>
      <c r="M220" s="21"/>
      <c r="N220" s="26" t="str">
        <f>IFERROR(VLOOKUP(O220,Apoio!A:B,2,0),"")</f>
        <v/>
      </c>
      <c r="O220" s="22">
        <f>IFERROR(VLOOKUP(C220,'[1]TB DIN'!$B:$D,3,0),"AGUARDANDO ANEXO")</f>
        <v>0</v>
      </c>
      <c r="P220" s="22">
        <f>IFERROR(VLOOKUP(C220,'[1]TB DIN INCLUIDOS'!$B:$H,3,0),"AGUARDANDO ANEXO")</f>
        <v>0</v>
      </c>
      <c r="Q220" s="26" cm="1">
        <f t="array" ref="Q220">_xlfn.IFS((P220&gt;N220),(N220*2),(P220&lt;=N220),(P220*2))</f>
        <v>0</v>
      </c>
      <c r="R220" s="22"/>
      <c r="S220" s="26" t="str">
        <f>IFERROR(VLOOKUP(T220,Apoio!A:B,2,0),"")</f>
        <v/>
      </c>
      <c r="T220" s="22">
        <f>IFERROR(VLOOKUP(C220,'[1]TB DIN'!$B:$H,4,0),"AGUARDANDO ANEXO")</f>
        <v>0</v>
      </c>
      <c r="U220" s="22">
        <f>IFERROR(VLOOKUP(C220,'[1]TB DIN INCLUIDOS'!$B:$H,4,0),"AGUARDANDO ANEXO")</f>
        <v>0</v>
      </c>
      <c r="V220" s="26" cm="1">
        <f t="array" ref="V220">_xlfn.IFS((U220&gt;S220),(S220*2),(U220&lt;=S220),(U220*2))</f>
        <v>0</v>
      </c>
      <c r="W220" s="22"/>
      <c r="X220" s="26">
        <f>IFERROR(VLOOKUP(Y220,Apoio!A:B,2,0),"")</f>
        <v>1</v>
      </c>
      <c r="Y220" s="22">
        <f>IFERROR(VLOOKUP(C220,'[1]TB DIN'!$B:$H,5,0),"AGUARDANDO ANEXO")</f>
        <v>24</v>
      </c>
      <c r="Z220" s="22">
        <f>IFERROR(VLOOKUP(C220,'[1]TB DIN INCLUIDOS'!$B:$H,5,0),"AGUARDANDO ANEXO")</f>
        <v>0</v>
      </c>
      <c r="AA220" s="26" cm="1">
        <f t="array" ref="AA220">_xlfn.IFS((Z220&gt;X220),(X220*2),(Z220&lt;=X220),(Z220*2))</f>
        <v>0</v>
      </c>
      <c r="AB220" s="22"/>
      <c r="AC220" s="26">
        <f>IFERROR(VLOOKUP(AD220,Apoio!A:B,2,0),"")</f>
        <v>2</v>
      </c>
      <c r="AD220" s="22">
        <f>IFERROR(VLOOKUP(C220,'[1]TB DIN'!$B:$H,6,0),"AGUARDANDO ANEXO")</f>
        <v>43</v>
      </c>
      <c r="AE220" s="22">
        <f>IFERROR(VLOOKUP(C220,'[1]TB DIN INCLUIDOS'!$B:$H,6,0),"AGUARDANDO ANEXO")</f>
        <v>4</v>
      </c>
      <c r="AF220" s="26" cm="1">
        <f t="array" ref="AF220">_xlfn.IFS((AE220&gt;AC220),(AC220*2),(AE220&lt;=AC220),(AE220*2))</f>
        <v>4</v>
      </c>
      <c r="AG220" s="22"/>
      <c r="AH220" s="28">
        <f t="shared" si="21"/>
        <v>67</v>
      </c>
      <c r="AI220" s="28">
        <f t="shared" si="22"/>
        <v>4</v>
      </c>
      <c r="AJ220" s="28">
        <f t="shared" si="23"/>
        <v>4</v>
      </c>
      <c r="AK220" s="28">
        <f t="shared" si="24"/>
        <v>0</v>
      </c>
      <c r="AL220" s="28">
        <f t="shared" si="25"/>
        <v>-1</v>
      </c>
      <c r="AM220" s="23" t="s">
        <v>1707</v>
      </c>
      <c r="AN220" s="37">
        <f>VLOOKUP(C220,'[2]MARÇO-2024'!$B:$M,12,0)</f>
        <v>67</v>
      </c>
      <c r="AO220" s="37">
        <f t="shared" si="26"/>
        <v>0</v>
      </c>
      <c r="AP220" s="37" t="str">
        <f t="shared" si="27"/>
        <v/>
      </c>
    </row>
    <row r="221" spans="1:42" ht="13.5" customHeight="1" x14ac:dyDescent="0.25">
      <c r="A221" s="17">
        <v>8</v>
      </c>
      <c r="B221" s="17">
        <v>13</v>
      </c>
      <c r="C221" s="29">
        <v>8015</v>
      </c>
      <c r="D221" s="43">
        <v>33158878</v>
      </c>
      <c r="E221" s="18" t="s">
        <v>500</v>
      </c>
      <c r="F221" s="68" t="s">
        <v>754</v>
      </c>
      <c r="G221" s="66" t="s">
        <v>256</v>
      </c>
      <c r="H221" s="19" t="s">
        <v>1031</v>
      </c>
      <c r="I221" s="19" t="s">
        <v>1031</v>
      </c>
      <c r="J221" s="19" t="s">
        <v>1427</v>
      </c>
      <c r="K221" s="20" t="s">
        <v>1614</v>
      </c>
      <c r="L221" s="21">
        <v>361</v>
      </c>
      <c r="M221" s="21"/>
      <c r="N221" s="26" t="str">
        <f>IFERROR(VLOOKUP(O221,Apoio!A:B,2,0),"")</f>
        <v/>
      </c>
      <c r="O221" s="22">
        <f>IFERROR(VLOOKUP(C221,'[1]TB DIN'!$B:$D,3,0),"AGUARDANDO ANEXO")</f>
        <v>0</v>
      </c>
      <c r="P221" s="22">
        <f>IFERROR(VLOOKUP(C221,'[1]TB DIN INCLUIDOS'!$B:$H,3,0),"AGUARDANDO ANEXO")</f>
        <v>0</v>
      </c>
      <c r="Q221" s="26" cm="1">
        <f t="array" ref="Q221">_xlfn.IFS((P221&gt;N221),(N221*2),(P221&lt;=N221),(P221*2))</f>
        <v>0</v>
      </c>
      <c r="R221" s="22"/>
      <c r="S221" s="26">
        <f>IFERROR(VLOOKUP(T221,Apoio!A:B,2,0),"")</f>
        <v>2</v>
      </c>
      <c r="T221" s="22">
        <v>40</v>
      </c>
      <c r="U221" s="22">
        <f>IFERROR(VLOOKUP(C221,'[1]TB DIN INCLUIDOS'!$B:$H,4,0),"AGUARDANDO ANEXO")</f>
        <v>0</v>
      </c>
      <c r="V221" s="26" cm="1">
        <f t="array" ref="V221">_xlfn.IFS((U221&gt;S221),(S221*2),(U221&lt;=S221),(U221*2))</f>
        <v>0</v>
      </c>
      <c r="W221" s="22"/>
      <c r="X221" s="26">
        <f>IFERROR(VLOOKUP(Y221,Apoio!A:B,2,0),"")</f>
        <v>4</v>
      </c>
      <c r="Y221" s="22">
        <v>78</v>
      </c>
      <c r="Z221" s="22">
        <f>IFERROR(VLOOKUP(C221,'[1]TB DIN INCLUIDOS'!$B:$H,5,0),"AGUARDANDO ANEXO")</f>
        <v>0</v>
      </c>
      <c r="AA221" s="26" cm="1">
        <f t="array" ref="AA221">_xlfn.IFS((Z221&gt;X221),(X221*2),(Z221&lt;=X221),(Z221*2))</f>
        <v>0</v>
      </c>
      <c r="AB221" s="22"/>
      <c r="AC221" s="26">
        <f>IFERROR(VLOOKUP(AD221,Apoio!A:B,2,0),"")</f>
        <v>3</v>
      </c>
      <c r="AD221" s="22">
        <f>IFERROR(VLOOKUP(C221,'[1]TB DIN'!$B:$H,6,0),"AGUARDANDO ANEXO")</f>
        <v>75</v>
      </c>
      <c r="AE221" s="22">
        <f>IFERROR(VLOOKUP(C221,'[1]TB DIN INCLUIDOS'!$B:$H,6,0),"AGUARDANDO ANEXO")</f>
        <v>0</v>
      </c>
      <c r="AF221" s="26" cm="1">
        <f t="array" ref="AF221">_xlfn.IFS((AE221&gt;AC221),(AC221*2),(AE221&lt;=AC221),(AE221*2))</f>
        <v>0</v>
      </c>
      <c r="AG221" s="22"/>
      <c r="AH221" s="28">
        <f t="shared" si="21"/>
        <v>193</v>
      </c>
      <c r="AI221" s="28">
        <f t="shared" si="22"/>
        <v>0</v>
      </c>
      <c r="AJ221" s="28">
        <f t="shared" si="23"/>
        <v>0</v>
      </c>
      <c r="AK221" s="28">
        <f t="shared" si="24"/>
        <v>168</v>
      </c>
      <c r="AL221" s="28">
        <f t="shared" si="25"/>
        <v>0</v>
      </c>
      <c r="AM221" s="23" t="s">
        <v>1707</v>
      </c>
      <c r="AN221" s="37">
        <f>VLOOKUP(C221,'[2]MARÇO-2024'!$B:$M,12,0)</f>
        <v>191</v>
      </c>
      <c r="AO221" s="37">
        <f t="shared" si="26"/>
        <v>-2</v>
      </c>
      <c r="AP221" s="37" t="str">
        <f t="shared" si="27"/>
        <v/>
      </c>
    </row>
    <row r="222" spans="1:42" ht="13.5" customHeight="1" x14ac:dyDescent="0.25">
      <c r="A222" s="17">
        <v>8</v>
      </c>
      <c r="B222" s="17">
        <v>14</v>
      </c>
      <c r="C222" s="29">
        <v>8016</v>
      </c>
      <c r="D222" s="38">
        <v>33192170</v>
      </c>
      <c r="E222" s="18" t="s">
        <v>437</v>
      </c>
      <c r="F222" s="68" t="s">
        <v>750</v>
      </c>
      <c r="G222" s="62" t="s">
        <v>252</v>
      </c>
      <c r="H222" s="19" t="s">
        <v>1027</v>
      </c>
      <c r="I222" s="19" t="s">
        <v>1174</v>
      </c>
      <c r="J222" s="19" t="s">
        <v>1423</v>
      </c>
      <c r="K222" s="20" t="s">
        <v>1614</v>
      </c>
      <c r="L222" s="21">
        <v>260</v>
      </c>
      <c r="M222" s="21"/>
      <c r="N222" s="26" t="str">
        <f>IFERROR(VLOOKUP(O222,Apoio!A:B,2,0),"")</f>
        <v/>
      </c>
      <c r="O222" s="22">
        <f>IFERROR(VLOOKUP(C222,'[1]TB DIN'!$B:$D,3,0),"AGUARDANDO ANEXO")</f>
        <v>0</v>
      </c>
      <c r="P222" s="22">
        <f>IFERROR(VLOOKUP(C222,'[1]TB DIN INCLUIDOS'!$B:$H,3,0),"AGUARDANDO ANEXO")</f>
        <v>0</v>
      </c>
      <c r="Q222" s="26" cm="1">
        <f t="array" ref="Q222">_xlfn.IFS((P222&gt;N222),(N222*2),(P222&lt;=N222),(P222*2))</f>
        <v>0</v>
      </c>
      <c r="R222" s="22"/>
      <c r="S222" s="26">
        <f>IFERROR(VLOOKUP(T222,Apoio!A:B,2,0),"")</f>
        <v>2</v>
      </c>
      <c r="T222" s="22">
        <v>37</v>
      </c>
      <c r="U222" s="22">
        <f>IFERROR(VLOOKUP(C222,'[1]TB DIN INCLUIDOS'!$B:$H,4,0),"AGUARDANDO ANEXO")</f>
        <v>0</v>
      </c>
      <c r="V222" s="26" cm="1">
        <f t="array" ref="V222">_xlfn.IFS((U222&gt;S222),(S222*2),(U222&lt;=S222),(U222*2))</f>
        <v>0</v>
      </c>
      <c r="W222" s="22"/>
      <c r="X222" s="26">
        <f>IFERROR(VLOOKUP(Y222,Apoio!A:B,2,0),"")</f>
        <v>5</v>
      </c>
      <c r="Y222" s="22">
        <v>116</v>
      </c>
      <c r="Z222" s="22">
        <f>IFERROR(VLOOKUP(C222,'[1]TB DIN INCLUIDOS'!$B:$H,5,0),"AGUARDANDO ANEXO")</f>
        <v>2</v>
      </c>
      <c r="AA222" s="26" cm="1">
        <f t="array" ref="AA222">_xlfn.IFS((Z222&gt;X222),(X222*2),(Z222&lt;=X222),(Z222*2))</f>
        <v>4</v>
      </c>
      <c r="AB222" s="22"/>
      <c r="AC222" s="26">
        <f>IFERROR(VLOOKUP(AD222,Apoio!A:B,2,0),"")</f>
        <v>4</v>
      </c>
      <c r="AD222" s="22">
        <f>IFERROR(VLOOKUP(C222,'[1]TB DIN'!$B:$H,6,0),"AGUARDANDO ANEXO")</f>
        <v>97</v>
      </c>
      <c r="AE222" s="22">
        <f>IFERROR(VLOOKUP(C222,'[1]TB DIN INCLUIDOS'!$B:$H,6,0),"AGUARDANDO ANEXO")</f>
        <v>2</v>
      </c>
      <c r="AF222" s="26" cm="1">
        <f t="array" ref="AF222">_xlfn.IFS((AE222&gt;AC222),(AC222*2),(AE222&lt;=AC222),(AE222*2))</f>
        <v>4</v>
      </c>
      <c r="AG222" s="22"/>
      <c r="AH222" s="28">
        <f t="shared" si="21"/>
        <v>250</v>
      </c>
      <c r="AI222" s="28">
        <f t="shared" si="22"/>
        <v>4</v>
      </c>
      <c r="AJ222" s="28">
        <f t="shared" si="23"/>
        <v>8</v>
      </c>
      <c r="AK222" s="28">
        <f t="shared" si="24"/>
        <v>2</v>
      </c>
      <c r="AL222" s="28">
        <f t="shared" si="25"/>
        <v>0</v>
      </c>
      <c r="AM222" s="23" t="s">
        <v>1707</v>
      </c>
      <c r="AN222" s="37">
        <f>VLOOKUP(C222,'[2]MARÇO-2024'!$B:$M,12,0)</f>
        <v>248</v>
      </c>
      <c r="AO222" s="37">
        <f t="shared" si="26"/>
        <v>-2</v>
      </c>
      <c r="AP222" s="37" t="str">
        <f t="shared" si="27"/>
        <v/>
      </c>
    </row>
    <row r="223" spans="1:42" ht="13.5" customHeight="1" x14ac:dyDescent="0.25">
      <c r="A223" s="17">
        <v>8</v>
      </c>
      <c r="B223" s="17">
        <v>15</v>
      </c>
      <c r="C223" s="29">
        <v>8017</v>
      </c>
      <c r="D223" s="38">
        <v>33192090</v>
      </c>
      <c r="E223" s="18" t="s">
        <v>463</v>
      </c>
      <c r="F223" s="68" t="s">
        <v>751</v>
      </c>
      <c r="G223" s="62" t="s">
        <v>253</v>
      </c>
      <c r="H223" s="19" t="s">
        <v>1028</v>
      </c>
      <c r="I223" s="19" t="s">
        <v>39</v>
      </c>
      <c r="J223" s="19" t="s">
        <v>1424</v>
      </c>
      <c r="K223" s="20" t="s">
        <v>1614</v>
      </c>
      <c r="L223" s="21">
        <v>200</v>
      </c>
      <c r="M223" s="21"/>
      <c r="N223" s="26" t="str">
        <f>IFERROR(VLOOKUP(O223,Apoio!A:B,2,0),"")</f>
        <v/>
      </c>
      <c r="O223" s="22">
        <f>IFERROR(VLOOKUP(C223,'[1]TB DIN'!$B:$D,3,0),"AGUARDANDO ANEXO")</f>
        <v>0</v>
      </c>
      <c r="P223" s="22">
        <f>IFERROR(VLOOKUP(C223,'[1]TB DIN INCLUIDOS'!$B:$H,3,0),"AGUARDANDO ANEXO")</f>
        <v>0</v>
      </c>
      <c r="Q223" s="26" cm="1">
        <f t="array" ref="Q223">_xlfn.IFS((P223&gt;N223),(N223*2),(P223&lt;=N223),(P223*2))</f>
        <v>0</v>
      </c>
      <c r="R223" s="22"/>
      <c r="S223" s="26">
        <f>IFERROR(VLOOKUP(T223,Apoio!A:B,2,0),"")</f>
        <v>2</v>
      </c>
      <c r="T223" s="22">
        <v>47</v>
      </c>
      <c r="U223" s="22">
        <f>IFERROR(VLOOKUP(C223,'[1]TB DIN INCLUIDOS'!$B:$H,4,0),"AGUARDANDO ANEXO")</f>
        <v>1</v>
      </c>
      <c r="V223" s="26" cm="1">
        <f t="array" ref="V223">_xlfn.IFS((U223&gt;S223),(S223*2),(U223&lt;=S223),(U223*2))</f>
        <v>2</v>
      </c>
      <c r="W223" s="22"/>
      <c r="X223" s="26">
        <f>IFERROR(VLOOKUP(Y223,Apoio!A:B,2,0),"")</f>
        <v>3</v>
      </c>
      <c r="Y223" s="22">
        <f>IFERROR(VLOOKUP(C223,'[1]TB DIN'!$B:$H,5,0),"AGUARDANDO ANEXO")</f>
        <v>56</v>
      </c>
      <c r="Z223" s="22">
        <f>IFERROR(VLOOKUP(C223,'[1]TB DIN INCLUIDOS'!$B:$H,5,0),"AGUARDANDO ANEXO")</f>
        <v>1</v>
      </c>
      <c r="AA223" s="26" cm="1">
        <f t="array" ref="AA223">_xlfn.IFS((Z223&gt;X223),(X223*2),(Z223&lt;=X223),(Z223*2))</f>
        <v>2</v>
      </c>
      <c r="AB223" s="22"/>
      <c r="AC223" s="26">
        <f>IFERROR(VLOOKUP(AD223,Apoio!A:B,2,0),"")</f>
        <v>4</v>
      </c>
      <c r="AD223" s="22">
        <v>91</v>
      </c>
      <c r="AE223" s="22">
        <f>IFERROR(VLOOKUP(C223,'[1]TB DIN INCLUIDOS'!$B:$H,6,0),"AGUARDANDO ANEXO")</f>
        <v>1</v>
      </c>
      <c r="AF223" s="26" cm="1">
        <f t="array" ref="AF223">_xlfn.IFS((AE223&gt;AC223),(AC223*2),(AE223&lt;=AC223),(AE223*2))</f>
        <v>2</v>
      </c>
      <c r="AG223" s="22"/>
      <c r="AH223" s="28">
        <f t="shared" si="21"/>
        <v>194</v>
      </c>
      <c r="AI223" s="28">
        <f t="shared" si="22"/>
        <v>3</v>
      </c>
      <c r="AJ223" s="28">
        <f t="shared" si="23"/>
        <v>6</v>
      </c>
      <c r="AK223" s="28">
        <f t="shared" si="24"/>
        <v>0</v>
      </c>
      <c r="AL223" s="28">
        <f t="shared" si="25"/>
        <v>0</v>
      </c>
      <c r="AM223" s="23" t="s">
        <v>1707</v>
      </c>
      <c r="AN223" s="37">
        <f>VLOOKUP(C223,'[2]MARÇO-2024'!$B:$M,12,0)</f>
        <v>194</v>
      </c>
      <c r="AO223" s="37">
        <f t="shared" si="26"/>
        <v>0</v>
      </c>
      <c r="AP223" s="37" t="str">
        <f t="shared" si="27"/>
        <v/>
      </c>
    </row>
    <row r="224" spans="1:42" ht="13.5" customHeight="1" x14ac:dyDescent="0.25">
      <c r="A224" s="17">
        <v>8</v>
      </c>
      <c r="B224" s="17">
        <v>16</v>
      </c>
      <c r="C224" s="29">
        <v>8018</v>
      </c>
      <c r="D224" s="38">
        <v>33192227</v>
      </c>
      <c r="E224" s="18" t="s">
        <v>502</v>
      </c>
      <c r="F224" s="68" t="s">
        <v>756</v>
      </c>
      <c r="G224" s="64" t="s">
        <v>258</v>
      </c>
      <c r="H224" s="19" t="s">
        <v>1033</v>
      </c>
      <c r="I224" s="19" t="s">
        <v>1033</v>
      </c>
      <c r="J224" s="19" t="s">
        <v>1429</v>
      </c>
      <c r="K224" s="20" t="s">
        <v>1615</v>
      </c>
      <c r="L224" s="21">
        <v>83</v>
      </c>
      <c r="M224" s="21"/>
      <c r="N224" s="26" t="str">
        <f>IFERROR(VLOOKUP(O224,Apoio!A:B,2,0),"")</f>
        <v/>
      </c>
      <c r="O224" s="22">
        <f>IFERROR(VLOOKUP(C224,'[1]TB DIN'!$B:$D,3,0),"AGUARDANDO ANEXO")</f>
        <v>0</v>
      </c>
      <c r="P224" s="22">
        <f>IFERROR(VLOOKUP(C224,'[1]TB DIN INCLUIDOS'!$B:$H,3,0),"AGUARDANDO ANEXO")</f>
        <v>0</v>
      </c>
      <c r="Q224" s="26" cm="1">
        <f t="array" ref="Q224">_xlfn.IFS((P224&gt;N224),(N224*2),(P224&lt;=N224),(P224*2))</f>
        <v>0</v>
      </c>
      <c r="R224" s="22"/>
      <c r="S224" s="26" t="str">
        <f>IFERROR(VLOOKUP(T224,Apoio!A:B,2,0),"")</f>
        <v/>
      </c>
      <c r="T224" s="22">
        <f>IFERROR(VLOOKUP(C224,'[1]TB DIN'!$B:$H,4,0),"AGUARDANDO ANEXO")</f>
        <v>0</v>
      </c>
      <c r="U224" s="22">
        <f>IFERROR(VLOOKUP(C224,'[1]TB DIN INCLUIDOS'!$B:$H,4,0),"AGUARDANDO ANEXO")</f>
        <v>0</v>
      </c>
      <c r="V224" s="26" cm="1">
        <f t="array" ref="V224">_xlfn.IFS((U224&gt;S224),(S224*2),(U224&lt;=S224),(U224*2))</f>
        <v>0</v>
      </c>
      <c r="W224" s="22"/>
      <c r="X224" s="26">
        <f>IFERROR(VLOOKUP(Y224,Apoio!A:B,2,0),"")</f>
        <v>2</v>
      </c>
      <c r="Y224" s="22">
        <f>IFERROR(VLOOKUP(C224,'[1]TB DIN'!$B:$H,5,0),"AGUARDANDO ANEXO")</f>
        <v>26</v>
      </c>
      <c r="Z224" s="22">
        <f>IFERROR(VLOOKUP(C224,'[1]TB DIN INCLUIDOS'!$B:$H,5,0),"AGUARDANDO ANEXO")</f>
        <v>1</v>
      </c>
      <c r="AA224" s="26" cm="1">
        <f t="array" ref="AA224">_xlfn.IFS((Z224&gt;X224),(X224*2),(Z224&lt;=X224),(Z224*2))</f>
        <v>2</v>
      </c>
      <c r="AB224" s="22"/>
      <c r="AC224" s="26">
        <f>IFERROR(VLOOKUP(AD224,Apoio!A:B,2,0),"")</f>
        <v>3</v>
      </c>
      <c r="AD224" s="22">
        <f>IFERROR(VLOOKUP(C224,'[1]TB DIN'!$B:$H,6,0),"AGUARDANDO ANEXO")</f>
        <v>56</v>
      </c>
      <c r="AE224" s="22">
        <f>IFERROR(VLOOKUP(C224,'[1]TB DIN INCLUIDOS'!$B:$H,6,0),"AGUARDANDO ANEXO")</f>
        <v>0</v>
      </c>
      <c r="AF224" s="26" cm="1">
        <f t="array" ref="AF224">_xlfn.IFS((AE224&gt;AC224),(AC224*2),(AE224&lt;=AC224),(AE224*2))</f>
        <v>0</v>
      </c>
      <c r="AG224" s="22"/>
      <c r="AH224" s="28">
        <f t="shared" si="21"/>
        <v>82</v>
      </c>
      <c r="AI224" s="28">
        <f t="shared" si="22"/>
        <v>1</v>
      </c>
      <c r="AJ224" s="28">
        <f t="shared" si="23"/>
        <v>2</v>
      </c>
      <c r="AK224" s="28">
        <f t="shared" si="24"/>
        <v>0</v>
      </c>
      <c r="AL224" s="28">
        <f t="shared" si="25"/>
        <v>-1</v>
      </c>
      <c r="AM224" s="23" t="s">
        <v>1849</v>
      </c>
      <c r="AN224" s="37">
        <f>VLOOKUP(C224,'[2]MARÇO-2024'!$B:$M,12,0)</f>
        <v>79</v>
      </c>
      <c r="AO224" s="37">
        <f t="shared" si="26"/>
        <v>-3</v>
      </c>
      <c r="AP224" s="37" t="str">
        <f t="shared" si="27"/>
        <v/>
      </c>
    </row>
    <row r="225" spans="1:42" ht="13.5" customHeight="1" x14ac:dyDescent="0.25">
      <c r="A225" s="17">
        <v>8</v>
      </c>
      <c r="B225" s="17">
        <v>17</v>
      </c>
      <c r="C225" s="29">
        <v>8019</v>
      </c>
      <c r="D225" s="43">
        <v>33192189</v>
      </c>
      <c r="E225" s="18" t="s">
        <v>426</v>
      </c>
      <c r="F225" s="68" t="s">
        <v>763</v>
      </c>
      <c r="G225" s="64" t="s">
        <v>265</v>
      </c>
      <c r="H225" s="19" t="s">
        <v>1040</v>
      </c>
      <c r="I225" s="19" t="s">
        <v>1168</v>
      </c>
      <c r="J225" s="19" t="s">
        <v>1436</v>
      </c>
      <c r="K225" s="20" t="s">
        <v>1614</v>
      </c>
      <c r="L225" s="21">
        <v>149</v>
      </c>
      <c r="M225" s="21"/>
      <c r="N225" s="26" t="str">
        <f>IFERROR(VLOOKUP(O225,Apoio!A:B,2,0),"")</f>
        <v/>
      </c>
      <c r="O225" s="22">
        <f>IFERROR(VLOOKUP(C225,'[1]TB DIN'!$B:$D,3,0),"AGUARDANDO ANEXO")</f>
        <v>0</v>
      </c>
      <c r="P225" s="22">
        <f>IFERROR(VLOOKUP(C225,'[1]TB DIN INCLUIDOS'!$B:$H,3,0),"AGUARDANDO ANEXO")</f>
        <v>0</v>
      </c>
      <c r="Q225" s="26" cm="1">
        <f t="array" ref="Q225">_xlfn.IFS((P225&gt;N225),(N225*2),(P225&lt;=N225),(P225*2))</f>
        <v>0</v>
      </c>
      <c r="R225" s="22"/>
      <c r="S225" s="26" t="str">
        <f>IFERROR(VLOOKUP(T225,Apoio!A:B,2,0),"")</f>
        <v/>
      </c>
      <c r="T225" s="22">
        <f>IFERROR(VLOOKUP(C225,'[1]TB DIN'!$B:$H,4,0),"AGUARDANDO ANEXO")</f>
        <v>0</v>
      </c>
      <c r="U225" s="22">
        <f>IFERROR(VLOOKUP(C225,'[1]TB DIN INCLUIDOS'!$B:$H,4,0),"AGUARDANDO ANEXO")</f>
        <v>0</v>
      </c>
      <c r="V225" s="26" cm="1">
        <f t="array" ref="V225">_xlfn.IFS((U225&gt;S225),(S225*2),(U225&lt;=S225),(U225*2))</f>
        <v>0</v>
      </c>
      <c r="W225" s="22"/>
      <c r="X225" s="26">
        <f>IFERROR(VLOOKUP(Y225,Apoio!A:B,2,0),"")</f>
        <v>3</v>
      </c>
      <c r="Y225" s="22">
        <f>IFERROR(VLOOKUP(C225,'[1]TB DIN'!$B:$H,5,0),"AGUARDANDO ANEXO")</f>
        <v>69</v>
      </c>
      <c r="Z225" s="22">
        <f>IFERROR(VLOOKUP(C225,'[1]TB DIN INCLUIDOS'!$B:$H,5,0),"AGUARDANDO ANEXO")</f>
        <v>0</v>
      </c>
      <c r="AA225" s="26" cm="1">
        <f t="array" ref="AA225">_xlfn.IFS((Z225&gt;X225),(X225*2),(Z225&lt;=X225),(Z225*2))</f>
        <v>0</v>
      </c>
      <c r="AB225" s="22"/>
      <c r="AC225" s="26">
        <f>IFERROR(VLOOKUP(AD225,Apoio!A:B,2,0),"")</f>
        <v>4</v>
      </c>
      <c r="AD225" s="22">
        <v>77</v>
      </c>
      <c r="AE225" s="22">
        <v>3</v>
      </c>
      <c r="AF225" s="26" cm="1">
        <f t="array" ref="AF225">_xlfn.IFS((AE225&gt;AC225),(AC225*2),(AE225&lt;=AC225),(AE225*2))</f>
        <v>6</v>
      </c>
      <c r="AG225" s="22"/>
      <c r="AH225" s="28">
        <f t="shared" si="21"/>
        <v>146</v>
      </c>
      <c r="AI225" s="28">
        <f t="shared" si="22"/>
        <v>3</v>
      </c>
      <c r="AJ225" s="28">
        <f t="shared" si="23"/>
        <v>6</v>
      </c>
      <c r="AK225" s="28">
        <f t="shared" si="24"/>
        <v>0</v>
      </c>
      <c r="AL225" s="28">
        <f t="shared" si="25"/>
        <v>-3</v>
      </c>
      <c r="AM225" s="23" t="s">
        <v>1849</v>
      </c>
      <c r="AN225" s="37">
        <f>VLOOKUP(C225,'[2]MARÇO-2024'!$B:$M,12,0)</f>
        <v>144</v>
      </c>
      <c r="AO225" s="37">
        <f t="shared" si="26"/>
        <v>-2</v>
      </c>
      <c r="AP225" s="37" t="str">
        <f t="shared" si="27"/>
        <v/>
      </c>
    </row>
    <row r="226" spans="1:42" ht="13.5" customHeight="1" x14ac:dyDescent="0.25">
      <c r="A226" s="17">
        <v>8</v>
      </c>
      <c r="B226" s="17">
        <v>18</v>
      </c>
      <c r="C226" s="29">
        <v>8021</v>
      </c>
      <c r="D226" s="38">
        <v>33192855</v>
      </c>
      <c r="E226" s="18" t="s">
        <v>509</v>
      </c>
      <c r="F226" s="68" t="s">
        <v>766</v>
      </c>
      <c r="G226" s="62" t="s">
        <v>268</v>
      </c>
      <c r="H226" s="19" t="s">
        <v>1043</v>
      </c>
      <c r="I226" s="19" t="s">
        <v>1043</v>
      </c>
      <c r="J226" s="19" t="s">
        <v>1439</v>
      </c>
      <c r="K226" s="20" t="s">
        <v>1620</v>
      </c>
      <c r="L226" s="21">
        <v>38</v>
      </c>
      <c r="M226" s="21"/>
      <c r="N226" s="26" t="str">
        <f>IFERROR(VLOOKUP(O226,Apoio!A:B,2,0),"")</f>
        <v/>
      </c>
      <c r="O226" s="22">
        <f>IFERROR(VLOOKUP(C226,'[1]TB DIN'!$B:$D,3,0),"AGUARDANDO ANEXO")</f>
        <v>0</v>
      </c>
      <c r="P226" s="22">
        <f>IFERROR(VLOOKUP(C226,'[1]TB DIN INCLUIDOS'!$B:$H,3,0),"AGUARDANDO ANEXO")</f>
        <v>0</v>
      </c>
      <c r="Q226" s="26" cm="1">
        <f t="array" ref="Q226">_xlfn.IFS((P226&gt;N226),(N226*2),(P226&lt;=N226),(P226*2))</f>
        <v>0</v>
      </c>
      <c r="R226" s="22"/>
      <c r="S226" s="26">
        <f>IFERROR(VLOOKUP(T226,Apoio!A:B,2,0),"")</f>
        <v>1</v>
      </c>
      <c r="T226" s="22">
        <f>IFERROR(VLOOKUP(C226,'[1]TB DIN'!$B:$H,4,0),"AGUARDANDO ANEXO")</f>
        <v>10</v>
      </c>
      <c r="U226" s="22">
        <f>IFERROR(VLOOKUP(C226,'[1]TB DIN INCLUIDOS'!$B:$H,4,0),"AGUARDANDO ANEXO")</f>
        <v>0</v>
      </c>
      <c r="V226" s="26" cm="1">
        <f t="array" ref="V226">_xlfn.IFS((U226&gt;S226),(S226*2),(U226&lt;=S226),(U226*2))</f>
        <v>0</v>
      </c>
      <c r="W226" s="22"/>
      <c r="X226" s="26">
        <f>IFERROR(VLOOKUP(Y226,Apoio!A:B,2,0),"")</f>
        <v>1</v>
      </c>
      <c r="Y226" s="22">
        <f>IFERROR(VLOOKUP(C226,'[1]TB DIN'!$B:$H,5,0),"AGUARDANDO ANEXO")</f>
        <v>10</v>
      </c>
      <c r="Z226" s="22">
        <f>IFERROR(VLOOKUP(C226,'[1]TB DIN INCLUIDOS'!$B:$H,5,0),"AGUARDANDO ANEXO")</f>
        <v>0</v>
      </c>
      <c r="AA226" s="26" cm="1">
        <f t="array" ref="AA226">_xlfn.IFS((Z226&gt;X226),(X226*2),(Z226&lt;=X226),(Z226*2))</f>
        <v>0</v>
      </c>
      <c r="AB226" s="22"/>
      <c r="AC226" s="26">
        <f>IFERROR(VLOOKUP(AD226,Apoio!A:B,2,0),"")</f>
        <v>1</v>
      </c>
      <c r="AD226" s="22">
        <v>17</v>
      </c>
      <c r="AE226" s="22">
        <f>IFERROR(VLOOKUP(C226,'[1]TB DIN INCLUIDOS'!$B:$H,6,0),"AGUARDANDO ANEXO")</f>
        <v>0</v>
      </c>
      <c r="AF226" s="26" cm="1">
        <f t="array" ref="AF226">_xlfn.IFS((AE226&gt;AC226),(AC226*2),(AE226&lt;=AC226),(AE226*2))</f>
        <v>0</v>
      </c>
      <c r="AG226" s="22"/>
      <c r="AH226" s="28">
        <f t="shared" si="21"/>
        <v>37</v>
      </c>
      <c r="AI226" s="28">
        <f t="shared" si="22"/>
        <v>0</v>
      </c>
      <c r="AJ226" s="28">
        <f t="shared" si="23"/>
        <v>0</v>
      </c>
      <c r="AK226" s="28">
        <f t="shared" si="24"/>
        <v>1</v>
      </c>
      <c r="AL226" s="28">
        <f t="shared" si="25"/>
        <v>0</v>
      </c>
      <c r="AM226" s="23" t="s">
        <v>1707</v>
      </c>
      <c r="AN226" s="37">
        <f>VLOOKUP(C226,'[2]MARÇO-2024'!$B:$M,12,0)</f>
        <v>38</v>
      </c>
      <c r="AO226" s="37">
        <f t="shared" si="26"/>
        <v>1</v>
      </c>
      <c r="AP226" s="37" t="str">
        <f t="shared" si="27"/>
        <v/>
      </c>
    </row>
    <row r="227" spans="1:42" ht="13.5" customHeight="1" x14ac:dyDescent="0.25">
      <c r="A227" s="17">
        <v>8</v>
      </c>
      <c r="B227" s="17">
        <v>19</v>
      </c>
      <c r="C227" s="29">
        <v>8022</v>
      </c>
      <c r="D227" s="38">
        <v>33194840</v>
      </c>
      <c r="E227" s="18" t="s">
        <v>463</v>
      </c>
      <c r="F227" s="68" t="s">
        <v>767</v>
      </c>
      <c r="G227" s="62" t="s">
        <v>269</v>
      </c>
      <c r="H227" s="19" t="s">
        <v>1044</v>
      </c>
      <c r="I227" s="19" t="s">
        <v>39</v>
      </c>
      <c r="J227" s="19" t="s">
        <v>1440</v>
      </c>
      <c r="K227" s="20" t="s">
        <v>1619</v>
      </c>
      <c r="L227" s="21">
        <v>215</v>
      </c>
      <c r="M227" s="21"/>
      <c r="N227" s="26" t="str">
        <f>IFERROR(VLOOKUP(O227,Apoio!A:B,2,0),"")</f>
        <v/>
      </c>
      <c r="O227" s="22">
        <f>IFERROR(VLOOKUP(C227,'[1]TB DIN'!$B:$D,3,0),"AGUARDANDO ANEXO")</f>
        <v>0</v>
      </c>
      <c r="P227" s="22">
        <f>IFERROR(VLOOKUP(C227,'[1]TB DIN INCLUIDOS'!$B:$H,3,0),"AGUARDANDO ANEXO")</f>
        <v>0</v>
      </c>
      <c r="Q227" s="26" cm="1">
        <f t="array" ref="Q227">_xlfn.IFS((P227&gt;N227),(N227*2),(P227&lt;=N227),(P227*2))</f>
        <v>0</v>
      </c>
      <c r="R227" s="22"/>
      <c r="S227" s="26">
        <f>IFERROR(VLOOKUP(T227,Apoio!A:B,2,0),"")</f>
        <v>2</v>
      </c>
      <c r="T227" s="22">
        <f>IFERROR(VLOOKUP(C227,'[1]TB DIN'!$B:$H,4,0),"AGUARDANDO ANEXO")</f>
        <v>41</v>
      </c>
      <c r="U227" s="22">
        <f>IFERROR(VLOOKUP(C227,'[1]TB DIN INCLUIDOS'!$B:$H,4,0),"AGUARDANDO ANEXO")</f>
        <v>0</v>
      </c>
      <c r="V227" s="26" cm="1">
        <f t="array" ref="V227">_xlfn.IFS((U227&gt;S227),(S227*2),(U227&lt;=S227),(U227*2))</f>
        <v>0</v>
      </c>
      <c r="W227" s="22"/>
      <c r="X227" s="26">
        <f>IFERROR(VLOOKUP(Y227,Apoio!A:B,2,0),"")</f>
        <v>4</v>
      </c>
      <c r="Y227" s="22">
        <f>IFERROR(VLOOKUP(C227,'[1]TB DIN'!$B:$H,5,0),"AGUARDANDO ANEXO")</f>
        <v>84</v>
      </c>
      <c r="Z227" s="22">
        <f>IFERROR(VLOOKUP(C227,'[1]TB DIN INCLUIDOS'!$B:$H,5,0),"AGUARDANDO ANEXO")</f>
        <v>1</v>
      </c>
      <c r="AA227" s="26" cm="1">
        <f t="array" ref="AA227">_xlfn.IFS((Z227&gt;X227),(X227*2),(Z227&lt;=X227),(Z227*2))</f>
        <v>2</v>
      </c>
      <c r="AB227" s="22"/>
      <c r="AC227" s="26">
        <f>IFERROR(VLOOKUP(AD227,Apoio!A:B,2,0),"")</f>
        <v>4</v>
      </c>
      <c r="AD227" s="22">
        <f>IFERROR(VLOOKUP(C227,'[1]TB DIN'!$B:$H,6,0),"AGUARDANDO ANEXO")</f>
        <v>86</v>
      </c>
      <c r="AE227" s="22">
        <f>IFERROR(VLOOKUP(C227,'[1]TB DIN INCLUIDOS'!$B:$H,6,0),"AGUARDANDO ANEXO")</f>
        <v>1</v>
      </c>
      <c r="AF227" s="26" cm="1">
        <f t="array" ref="AF227">_xlfn.IFS((AE227&gt;AC227),(AC227*2),(AE227&lt;=AC227),(AE227*2))</f>
        <v>2</v>
      </c>
      <c r="AG227" s="22"/>
      <c r="AH227" s="28">
        <f t="shared" si="21"/>
        <v>211</v>
      </c>
      <c r="AI227" s="28">
        <f t="shared" si="22"/>
        <v>2</v>
      </c>
      <c r="AJ227" s="28">
        <f t="shared" si="23"/>
        <v>4</v>
      </c>
      <c r="AK227" s="28">
        <f t="shared" si="24"/>
        <v>0</v>
      </c>
      <c r="AL227" s="28">
        <f t="shared" si="25"/>
        <v>0</v>
      </c>
      <c r="AM227" s="23" t="s">
        <v>1707</v>
      </c>
      <c r="AN227" s="37">
        <f>VLOOKUP(C227,'[2]MARÇO-2024'!$B:$M,12,0)</f>
        <v>211</v>
      </c>
      <c r="AO227" s="37">
        <f t="shared" si="26"/>
        <v>0</v>
      </c>
      <c r="AP227" s="37" t="str">
        <f t="shared" si="27"/>
        <v/>
      </c>
    </row>
    <row r="228" spans="1:42" ht="13.5" customHeight="1" x14ac:dyDescent="0.25">
      <c r="A228" s="17">
        <v>8</v>
      </c>
      <c r="B228" s="17">
        <v>20</v>
      </c>
      <c r="C228" s="29">
        <v>8023</v>
      </c>
      <c r="D228" s="38">
        <v>33195030</v>
      </c>
      <c r="E228" s="18" t="s">
        <v>510</v>
      </c>
      <c r="F228" s="68" t="s">
        <v>768</v>
      </c>
      <c r="G228" s="62" t="s">
        <v>270</v>
      </c>
      <c r="H228" s="19" t="s">
        <v>48</v>
      </c>
      <c r="I228" s="19" t="s">
        <v>49</v>
      </c>
      <c r="J228" s="19" t="s">
        <v>1441</v>
      </c>
      <c r="K228" s="20" t="s">
        <v>1616</v>
      </c>
      <c r="L228" s="21">
        <v>72</v>
      </c>
      <c r="M228" s="21"/>
      <c r="N228" s="26" t="str">
        <f>IFERROR(VLOOKUP(O228,Apoio!A:B,2,0),"")</f>
        <v/>
      </c>
      <c r="O228" s="22">
        <f>IFERROR(VLOOKUP(C228,'[1]TB DIN'!$B:$D,3,0),"AGUARDANDO ANEXO")</f>
        <v>0</v>
      </c>
      <c r="P228" s="22">
        <f>IFERROR(VLOOKUP(C228,'[1]TB DIN INCLUIDOS'!$B:$H,3,0),"AGUARDANDO ANEXO")</f>
        <v>0</v>
      </c>
      <c r="Q228" s="26" cm="1">
        <f t="array" ref="Q228">_xlfn.IFS((P228&gt;N228),(N228*2),(P228&lt;=N228),(P228*2))</f>
        <v>0</v>
      </c>
      <c r="R228" s="22"/>
      <c r="S228" s="26" t="str">
        <f>IFERROR(VLOOKUP(T228,Apoio!A:B,2,0),"")</f>
        <v/>
      </c>
      <c r="T228" s="22">
        <f>IFERROR(VLOOKUP(C228,'[1]TB DIN'!$B:$H,4,0),"AGUARDANDO ANEXO")</f>
        <v>0</v>
      </c>
      <c r="U228" s="22">
        <f>IFERROR(VLOOKUP(C228,'[1]TB DIN INCLUIDOS'!$B:$H,4,0),"AGUARDANDO ANEXO")</f>
        <v>0</v>
      </c>
      <c r="V228" s="26" cm="1">
        <f t="array" ref="V228">_xlfn.IFS((U228&gt;S228),(S228*2),(U228&lt;=S228),(U228*2))</f>
        <v>0</v>
      </c>
      <c r="W228" s="22"/>
      <c r="X228" s="26">
        <f>IFERROR(VLOOKUP(Y228,Apoio!A:B,2,0),"")</f>
        <v>2</v>
      </c>
      <c r="Y228" s="22">
        <f>IFERROR(VLOOKUP(C228,'[1]TB DIN'!$B:$H,5,0),"AGUARDANDO ANEXO")</f>
        <v>36</v>
      </c>
      <c r="Z228" s="22">
        <f>IFERROR(VLOOKUP(C228,'[1]TB DIN INCLUIDOS'!$B:$H,5,0),"AGUARDANDO ANEXO")</f>
        <v>0</v>
      </c>
      <c r="AA228" s="26" cm="1">
        <f t="array" ref="AA228">_xlfn.IFS((Z228&gt;X228),(X228*2),(Z228&lt;=X228),(Z228*2))</f>
        <v>0</v>
      </c>
      <c r="AB228" s="22"/>
      <c r="AC228" s="26">
        <f>IFERROR(VLOOKUP(AD228,Apoio!A:B,2,0),"")</f>
        <v>2</v>
      </c>
      <c r="AD228" s="22">
        <f>IFERROR(VLOOKUP(C228,'[1]TB DIN'!$B:$H,6,0),"AGUARDANDO ANEXO")</f>
        <v>34</v>
      </c>
      <c r="AE228" s="22">
        <f>IFERROR(VLOOKUP(C228,'[1]TB DIN INCLUIDOS'!$B:$H,6,0),"AGUARDANDO ANEXO")</f>
        <v>1</v>
      </c>
      <c r="AF228" s="26" cm="1">
        <f t="array" ref="AF228">_xlfn.IFS((AE228&gt;AC228),(AC228*2),(AE228&lt;=AC228),(AE228*2))</f>
        <v>2</v>
      </c>
      <c r="AG228" s="22"/>
      <c r="AH228" s="28">
        <f t="shared" si="21"/>
        <v>70</v>
      </c>
      <c r="AI228" s="28">
        <f t="shared" si="22"/>
        <v>1</v>
      </c>
      <c r="AJ228" s="28">
        <f t="shared" si="23"/>
        <v>2</v>
      </c>
      <c r="AK228" s="28">
        <f t="shared" si="24"/>
        <v>0</v>
      </c>
      <c r="AL228" s="28">
        <f t="shared" si="25"/>
        <v>0</v>
      </c>
      <c r="AM228" s="23" t="s">
        <v>1707</v>
      </c>
      <c r="AN228" s="37">
        <f>VLOOKUP(C228,'[2]MARÇO-2024'!$B:$M,12,0)</f>
        <v>70</v>
      </c>
      <c r="AO228" s="37">
        <f t="shared" si="26"/>
        <v>0</v>
      </c>
      <c r="AP228" s="37" t="str">
        <f t="shared" si="27"/>
        <v/>
      </c>
    </row>
    <row r="229" spans="1:42" ht="13.5" customHeight="1" x14ac:dyDescent="0.25">
      <c r="A229" s="17">
        <v>8</v>
      </c>
      <c r="B229" s="17">
        <v>21</v>
      </c>
      <c r="C229" s="29">
        <v>8024</v>
      </c>
      <c r="D229" s="43">
        <v>33194750</v>
      </c>
      <c r="E229" s="18" t="s">
        <v>500</v>
      </c>
      <c r="F229" s="68" t="s">
        <v>769</v>
      </c>
      <c r="G229" s="64" t="s">
        <v>271</v>
      </c>
      <c r="H229" s="19" t="s">
        <v>50</v>
      </c>
      <c r="I229" s="19" t="s">
        <v>50</v>
      </c>
      <c r="J229" s="19" t="s">
        <v>1442</v>
      </c>
      <c r="K229" s="20" t="s">
        <v>1614</v>
      </c>
      <c r="L229" s="21">
        <v>120</v>
      </c>
      <c r="M229" s="21"/>
      <c r="N229" s="26" t="str">
        <f>IFERROR(VLOOKUP(O229,Apoio!A:B,2,0),"")</f>
        <v/>
      </c>
      <c r="O229" s="22">
        <f>IFERROR(VLOOKUP(C229,'[1]TB DIN'!$B:$D,3,0),"AGUARDANDO ANEXO")</f>
        <v>0</v>
      </c>
      <c r="P229" s="22">
        <f>IFERROR(VLOOKUP(C229,'[1]TB DIN INCLUIDOS'!$B:$H,3,0),"AGUARDANDO ANEXO")</f>
        <v>0</v>
      </c>
      <c r="Q229" s="26" cm="1">
        <f t="array" ref="Q229">_xlfn.IFS((P229&gt;N229),(N229*2),(P229&lt;=N229),(P229*2))</f>
        <v>0</v>
      </c>
      <c r="R229" s="22"/>
      <c r="S229" s="26">
        <f>IFERROR(VLOOKUP(T229,Apoio!A:B,2,0),"")</f>
        <v>2</v>
      </c>
      <c r="T229" s="22">
        <v>43</v>
      </c>
      <c r="U229" s="22">
        <f>IFERROR(VLOOKUP(C229,'[1]TB DIN INCLUIDOS'!$B:$H,4,0),"AGUARDANDO ANEXO")</f>
        <v>0</v>
      </c>
      <c r="V229" s="26" cm="1">
        <f t="array" ref="V229">_xlfn.IFS((U229&gt;S229),(S229*2),(U229&lt;=S229),(U229*2))</f>
        <v>0</v>
      </c>
      <c r="W229" s="22"/>
      <c r="X229" s="26">
        <f>IFERROR(VLOOKUP(Y229,Apoio!A:B,2,0),"")</f>
        <v>2</v>
      </c>
      <c r="Y229" s="22">
        <v>38</v>
      </c>
      <c r="Z229" s="22">
        <f>IFERROR(VLOOKUP(C229,'[1]TB DIN INCLUIDOS'!$B:$H,5,0),"AGUARDANDO ANEXO")</f>
        <v>0</v>
      </c>
      <c r="AA229" s="26" cm="1">
        <f t="array" ref="AA229">_xlfn.IFS((Z229&gt;X229),(X229*2),(Z229&lt;=X229),(Z229*2))</f>
        <v>0</v>
      </c>
      <c r="AB229" s="22"/>
      <c r="AC229" s="26">
        <f>IFERROR(VLOOKUP(AD229,Apoio!A:B,2,0),"")</f>
        <v>2</v>
      </c>
      <c r="AD229" s="22">
        <v>31</v>
      </c>
      <c r="AE229" s="22">
        <f>IFERROR(VLOOKUP(C229,'[1]TB DIN INCLUIDOS'!$B:$H,6,0),"AGUARDANDO ANEXO")</f>
        <v>0</v>
      </c>
      <c r="AF229" s="26" cm="1">
        <f t="array" ref="AF229">_xlfn.IFS((AE229&gt;AC229),(AC229*2),(AE229&lt;=AC229),(AE229*2))</f>
        <v>0</v>
      </c>
      <c r="AG229" s="22"/>
      <c r="AH229" s="28">
        <f t="shared" si="21"/>
        <v>112</v>
      </c>
      <c r="AI229" s="28">
        <f t="shared" si="22"/>
        <v>0</v>
      </c>
      <c r="AJ229" s="28">
        <f t="shared" si="23"/>
        <v>0</v>
      </c>
      <c r="AK229" s="28">
        <f t="shared" si="24"/>
        <v>8</v>
      </c>
      <c r="AL229" s="28">
        <f t="shared" si="25"/>
        <v>0</v>
      </c>
      <c r="AM229" s="23" t="s">
        <v>1849</v>
      </c>
      <c r="AN229" s="37">
        <f>VLOOKUP(C229,'[2]MARÇO-2024'!$B:$M,12,0)</f>
        <v>109</v>
      </c>
      <c r="AO229" s="37">
        <f t="shared" si="26"/>
        <v>-3</v>
      </c>
      <c r="AP229" s="37" t="str">
        <f t="shared" si="27"/>
        <v/>
      </c>
    </row>
    <row r="230" spans="1:42" ht="13.5" customHeight="1" x14ac:dyDescent="0.25">
      <c r="A230" s="17">
        <v>8</v>
      </c>
      <c r="B230" s="17">
        <v>22</v>
      </c>
      <c r="C230" s="29">
        <v>8025</v>
      </c>
      <c r="D230" s="38">
        <v>33194858</v>
      </c>
      <c r="E230" s="18" t="s">
        <v>511</v>
      </c>
      <c r="F230" s="68" t="s">
        <v>770</v>
      </c>
      <c r="G230" s="62" t="s">
        <v>272</v>
      </c>
      <c r="H230" s="19" t="s">
        <v>51</v>
      </c>
      <c r="I230" s="19" t="s">
        <v>51</v>
      </c>
      <c r="J230" s="19" t="s">
        <v>1443</v>
      </c>
      <c r="K230" s="20" t="s">
        <v>1621</v>
      </c>
      <c r="L230" s="21">
        <v>50</v>
      </c>
      <c r="M230" s="21"/>
      <c r="N230" s="26" t="str">
        <f>IFERROR(VLOOKUP(O230,Apoio!A:B,2,0),"")</f>
        <v/>
      </c>
      <c r="O230" s="22">
        <f>IFERROR(VLOOKUP(C230,'[1]TB DIN'!$B:$D,3,0),"AGUARDANDO ANEXO")</f>
        <v>0</v>
      </c>
      <c r="P230" s="22">
        <f>IFERROR(VLOOKUP(C230,'[1]TB DIN INCLUIDOS'!$B:$H,3,0),"AGUARDANDO ANEXO")</f>
        <v>0</v>
      </c>
      <c r="Q230" s="26" cm="1">
        <f t="array" ref="Q230">_xlfn.IFS((P230&gt;N230),(N230*2),(P230&lt;=N230),(P230*2))</f>
        <v>0</v>
      </c>
      <c r="R230" s="22"/>
      <c r="S230" s="26" t="str">
        <f>IFERROR(VLOOKUP(T230,Apoio!A:B,2,0),"")</f>
        <v/>
      </c>
      <c r="T230" s="22">
        <f>IFERROR(VLOOKUP(C230,'[1]TB DIN'!$B:$H,4,0),"AGUARDANDO ANEXO")</f>
        <v>0</v>
      </c>
      <c r="U230" s="22">
        <f>IFERROR(VLOOKUP(C230,'[1]TB DIN INCLUIDOS'!$B:$H,4,0),"AGUARDANDO ANEXO")</f>
        <v>0</v>
      </c>
      <c r="V230" s="26" cm="1">
        <f t="array" ref="V230">_xlfn.IFS((U230&gt;S230),(S230*2),(U230&lt;=S230),(U230*2))</f>
        <v>0</v>
      </c>
      <c r="W230" s="22"/>
      <c r="X230" s="26">
        <f>IFERROR(VLOOKUP(Y230,Apoio!A:B,2,0),"")</f>
        <v>1</v>
      </c>
      <c r="Y230" s="22">
        <f>IFERROR(VLOOKUP(C230,'[1]TB DIN'!$B:$H,5,0),"AGUARDANDO ANEXO")</f>
        <v>18</v>
      </c>
      <c r="Z230" s="22">
        <f>IFERROR(VLOOKUP(C230,'[1]TB DIN INCLUIDOS'!$B:$H,5,0),"AGUARDANDO ANEXO")</f>
        <v>2</v>
      </c>
      <c r="AA230" s="26" cm="1">
        <f t="array" ref="AA230">_xlfn.IFS((Z230&gt;X230),(X230*2),(Z230&lt;=X230),(Z230*2))</f>
        <v>2</v>
      </c>
      <c r="AB230" s="22"/>
      <c r="AC230" s="26">
        <f>IFERROR(VLOOKUP(AD230,Apoio!A:B,2,0),"")</f>
        <v>2</v>
      </c>
      <c r="AD230" s="22">
        <v>27</v>
      </c>
      <c r="AE230" s="22">
        <f>IFERROR(VLOOKUP(C230,'[1]TB DIN INCLUIDOS'!$B:$H,6,0),"AGUARDANDO ANEXO")</f>
        <v>2</v>
      </c>
      <c r="AF230" s="26" cm="1">
        <f t="array" ref="AF230">_xlfn.IFS((AE230&gt;AC230),(AC230*2),(AE230&lt;=AC230),(AE230*2))</f>
        <v>4</v>
      </c>
      <c r="AG230" s="22"/>
      <c r="AH230" s="28">
        <f t="shared" si="21"/>
        <v>45</v>
      </c>
      <c r="AI230" s="28">
        <f t="shared" si="22"/>
        <v>4</v>
      </c>
      <c r="AJ230" s="28">
        <f t="shared" si="23"/>
        <v>6</v>
      </c>
      <c r="AK230" s="28">
        <f t="shared" si="24"/>
        <v>0</v>
      </c>
      <c r="AL230" s="28">
        <f t="shared" si="25"/>
        <v>-1</v>
      </c>
      <c r="AM230" s="23" t="s">
        <v>1707</v>
      </c>
      <c r="AN230" s="37">
        <f>VLOOKUP(C230,'[2]MARÇO-2024'!$B:$M,12,0)</f>
        <v>46</v>
      </c>
      <c r="AO230" s="37">
        <f t="shared" si="26"/>
        <v>1</v>
      </c>
      <c r="AP230" s="37" t="str">
        <f t="shared" si="27"/>
        <v/>
      </c>
    </row>
    <row r="231" spans="1:42" ht="13.5" customHeight="1" x14ac:dyDescent="0.25">
      <c r="A231" s="17">
        <v>8</v>
      </c>
      <c r="B231" s="17">
        <v>23</v>
      </c>
      <c r="C231" s="29">
        <v>8026</v>
      </c>
      <c r="D231" s="43">
        <v>33195811</v>
      </c>
      <c r="E231" s="18"/>
      <c r="F231" s="68"/>
      <c r="G231" s="62" t="s">
        <v>1731</v>
      </c>
      <c r="H231" s="19" t="s">
        <v>1679</v>
      </c>
      <c r="I231" s="19" t="s">
        <v>1679</v>
      </c>
      <c r="J231" s="19" t="s">
        <v>1793</v>
      </c>
      <c r="K231" s="20" t="s">
        <v>1618</v>
      </c>
      <c r="L231" s="21">
        <v>25</v>
      </c>
      <c r="M231" s="21"/>
      <c r="N231" s="26" t="str">
        <f>IFERROR(VLOOKUP(O231,Apoio!A:B,2,0),"")</f>
        <v/>
      </c>
      <c r="O231" s="22">
        <f>IFERROR(VLOOKUP(C231,'[1]TB DIN'!$B:$D,3,0),"AGUARDANDO ANEXO")</f>
        <v>0</v>
      </c>
      <c r="P231" s="22">
        <f>IFERROR(VLOOKUP(C231,'[1]TB DIN INCLUIDOS'!$B:$H,3,0),"AGUARDANDO ANEXO")</f>
        <v>0</v>
      </c>
      <c r="Q231" s="26" cm="1">
        <f t="array" ref="Q231">_xlfn.IFS((P231&gt;N231),(N231*2),(P231&lt;=N231),(P231*2))</f>
        <v>0</v>
      </c>
      <c r="R231" s="22"/>
      <c r="S231" s="26" t="str">
        <f>IFERROR(VLOOKUP(T231,Apoio!A:B,2,0),"")</f>
        <v/>
      </c>
      <c r="T231" s="22">
        <f>IFERROR(VLOOKUP(C231,'[1]TB DIN'!$B:$H,4,0),"AGUARDANDO ANEXO")</f>
        <v>0</v>
      </c>
      <c r="U231" s="22">
        <f>IFERROR(VLOOKUP(C231,'[1]TB DIN INCLUIDOS'!$B:$H,4,0),"AGUARDANDO ANEXO")</f>
        <v>0</v>
      </c>
      <c r="V231" s="26" cm="1">
        <f t="array" ref="V231">_xlfn.IFS((U231&gt;S231),(S231*2),(U231&lt;=S231),(U231*2))</f>
        <v>0</v>
      </c>
      <c r="W231" s="22"/>
      <c r="X231" s="26" t="str">
        <f>IFERROR(VLOOKUP(Y231,Apoio!A:B,2,0),"")</f>
        <v/>
      </c>
      <c r="Y231" s="22">
        <f>IFERROR(VLOOKUP(C231,'[1]TB DIN'!$B:$H,5,0),"AGUARDANDO ANEXO")</f>
        <v>0</v>
      </c>
      <c r="Z231" s="22">
        <f>IFERROR(VLOOKUP(C231,'[1]TB DIN INCLUIDOS'!$B:$H,5,0),"AGUARDANDO ANEXO")</f>
        <v>0</v>
      </c>
      <c r="AA231" s="26" cm="1">
        <f t="array" ref="AA231">_xlfn.IFS((Z231&gt;X231),(X231*2),(Z231&lt;=X231),(Z231*2))</f>
        <v>0</v>
      </c>
      <c r="AB231" s="22"/>
      <c r="AC231" s="26">
        <f>IFERROR(VLOOKUP(AD231,Apoio!A:B,2,0),"")</f>
        <v>1</v>
      </c>
      <c r="AD231" s="22">
        <v>24</v>
      </c>
      <c r="AE231" s="22">
        <f>IFERROR(VLOOKUP(C231,'[1]TB DIN INCLUIDOS'!$B:$H,6,0),"AGUARDANDO ANEXO")</f>
        <v>1</v>
      </c>
      <c r="AF231" s="26" cm="1">
        <f t="array" ref="AF231">_xlfn.IFS((AE231&gt;AC231),(AC231*2),(AE231&lt;=AC231),(AE231*2))</f>
        <v>2</v>
      </c>
      <c r="AG231" s="22"/>
      <c r="AH231" s="28">
        <f t="shared" si="21"/>
        <v>24</v>
      </c>
      <c r="AI231" s="28">
        <f t="shared" si="22"/>
        <v>1</v>
      </c>
      <c r="AJ231" s="28">
        <f t="shared" si="23"/>
        <v>2</v>
      </c>
      <c r="AK231" s="28">
        <f t="shared" si="24"/>
        <v>0</v>
      </c>
      <c r="AL231" s="28">
        <f t="shared" si="25"/>
        <v>-1</v>
      </c>
      <c r="AM231" s="23" t="s">
        <v>1708</v>
      </c>
      <c r="AN231" s="37">
        <f>VLOOKUP(C231,'[2]MARÇO-2024'!$B:$M,12,0)</f>
        <v>24</v>
      </c>
      <c r="AO231" s="37">
        <f t="shared" si="26"/>
        <v>0</v>
      </c>
      <c r="AP231" s="37" t="str">
        <f t="shared" si="27"/>
        <v/>
      </c>
    </row>
    <row r="232" spans="1:42" ht="13.5" customHeight="1" x14ac:dyDescent="0.25">
      <c r="A232" s="17">
        <v>8</v>
      </c>
      <c r="B232" s="17">
        <v>24</v>
      </c>
      <c r="C232" s="29">
        <v>8027</v>
      </c>
      <c r="D232" s="39">
        <v>33199434</v>
      </c>
      <c r="E232" s="18"/>
      <c r="F232" s="68"/>
      <c r="G232" s="62" t="s">
        <v>1720</v>
      </c>
      <c r="H232" s="19" t="s">
        <v>1680</v>
      </c>
      <c r="I232" s="19" t="s">
        <v>1765</v>
      </c>
      <c r="J232" s="19" t="s">
        <v>1794</v>
      </c>
      <c r="K232" s="20" t="s">
        <v>1618</v>
      </c>
      <c r="L232" s="21">
        <v>18</v>
      </c>
      <c r="M232" s="21"/>
      <c r="N232" s="26" t="str">
        <f>IFERROR(VLOOKUP(O232,Apoio!A:B,2,0),"")</f>
        <v/>
      </c>
      <c r="O232" s="22">
        <f>IFERROR(VLOOKUP(C232,'[1]TB DIN'!$B:$D,3,0),"AGUARDANDO ANEXO")</f>
        <v>0</v>
      </c>
      <c r="P232" s="22">
        <f>IFERROR(VLOOKUP(C232,'[1]TB DIN INCLUIDOS'!$B:$H,3,0),"AGUARDANDO ANEXO")</f>
        <v>0</v>
      </c>
      <c r="Q232" s="26" cm="1">
        <f t="array" ref="Q232">_xlfn.IFS((P232&gt;N232),(N232*2),(P232&lt;=N232),(P232*2))</f>
        <v>0</v>
      </c>
      <c r="R232" s="22"/>
      <c r="S232" s="26" t="str">
        <f>IFERROR(VLOOKUP(T232,Apoio!A:B,2,0),"")</f>
        <v/>
      </c>
      <c r="T232" s="22">
        <f>IFERROR(VLOOKUP(C232,'[1]TB DIN'!$B:$H,4,0),"AGUARDANDO ANEXO")</f>
        <v>0</v>
      </c>
      <c r="U232" s="22">
        <f>IFERROR(VLOOKUP(C232,'[1]TB DIN INCLUIDOS'!$B:$H,4,0),"AGUARDANDO ANEXO")</f>
        <v>0</v>
      </c>
      <c r="V232" s="26" cm="1">
        <f t="array" ref="V232">_xlfn.IFS((U232&gt;S232),(S232*2),(U232&lt;=S232),(U232*2))</f>
        <v>0</v>
      </c>
      <c r="W232" s="22"/>
      <c r="X232" s="26">
        <f>IFERROR(VLOOKUP(Y232,Apoio!A:B,2,0),"")</f>
        <v>1</v>
      </c>
      <c r="Y232" s="22">
        <f>IFERROR(VLOOKUP(C232,'[1]TB DIN'!$B:$H,5,0),"AGUARDANDO ANEXO")</f>
        <v>9</v>
      </c>
      <c r="Z232" s="22">
        <f>IFERROR(VLOOKUP(C232,'[1]TB DIN INCLUIDOS'!$B:$H,5,0),"AGUARDANDO ANEXO")</f>
        <v>0</v>
      </c>
      <c r="AA232" s="26" cm="1">
        <f t="array" ref="AA232">_xlfn.IFS((Z232&gt;X232),(X232*2),(Z232&lt;=X232),(Z232*2))</f>
        <v>0</v>
      </c>
      <c r="AB232" s="22"/>
      <c r="AC232" s="26">
        <f>IFERROR(VLOOKUP(AD232,Apoio!A:B,2,0),"")</f>
        <v>1</v>
      </c>
      <c r="AD232" s="22">
        <f>IFERROR(VLOOKUP(C232,'[1]TB DIN'!$B:$H,6,0),"AGUARDANDO ANEXO")</f>
        <v>9</v>
      </c>
      <c r="AE232" s="22">
        <f>IFERROR(VLOOKUP(C232,'[1]TB DIN INCLUIDOS'!$B:$H,6,0),"AGUARDANDO ANEXO")</f>
        <v>1</v>
      </c>
      <c r="AF232" s="26" cm="1">
        <f t="array" ref="AF232">_xlfn.IFS((AE232&gt;AC232),(AC232*2),(AE232&lt;=AC232),(AE232*2))</f>
        <v>2</v>
      </c>
      <c r="AG232" s="22"/>
      <c r="AH232" s="28">
        <f t="shared" si="21"/>
        <v>18</v>
      </c>
      <c r="AI232" s="28">
        <f t="shared" si="22"/>
        <v>1</v>
      </c>
      <c r="AJ232" s="28">
        <f t="shared" si="23"/>
        <v>2</v>
      </c>
      <c r="AK232" s="28">
        <f t="shared" si="24"/>
        <v>0</v>
      </c>
      <c r="AL232" s="28">
        <f t="shared" si="25"/>
        <v>-2</v>
      </c>
      <c r="AM232" s="23" t="s">
        <v>1708</v>
      </c>
      <c r="AN232" s="37">
        <f>VLOOKUP(C232,'[2]MARÇO-2024'!$B:$M,12,0)</f>
        <v>18</v>
      </c>
      <c r="AO232" s="37">
        <f t="shared" si="26"/>
        <v>0</v>
      </c>
      <c r="AP232" s="37" t="str">
        <f t="shared" si="27"/>
        <v/>
      </c>
    </row>
    <row r="233" spans="1:42" ht="13.5" customHeight="1" x14ac:dyDescent="0.25">
      <c r="A233" s="17">
        <v>9</v>
      </c>
      <c r="B233" s="17">
        <v>1</v>
      </c>
      <c r="C233" s="29">
        <v>9001</v>
      </c>
      <c r="D233" s="38">
        <v>33122253</v>
      </c>
      <c r="E233" s="18" t="s">
        <v>465</v>
      </c>
      <c r="F233" s="68" t="s">
        <v>773</v>
      </c>
      <c r="G233" s="62" t="s">
        <v>275</v>
      </c>
      <c r="H233" s="19" t="s">
        <v>1047</v>
      </c>
      <c r="I233" s="19" t="s">
        <v>1136</v>
      </c>
      <c r="J233" s="19" t="s">
        <v>1446</v>
      </c>
      <c r="K233" s="20" t="s">
        <v>1622</v>
      </c>
      <c r="L233" s="21">
        <v>35</v>
      </c>
      <c r="M233" s="21"/>
      <c r="N233" s="26" t="str">
        <f>IFERROR(VLOOKUP(O233,Apoio!A:B,2,0),"")</f>
        <v/>
      </c>
      <c r="O233" s="22">
        <f>IFERROR(VLOOKUP(C233,'[1]TB DIN'!$B:$D,3,0),"AGUARDANDO ANEXO")</f>
        <v>0</v>
      </c>
      <c r="P233" s="22">
        <f>IFERROR(VLOOKUP(C233,'[1]TB DIN INCLUIDOS'!$B:$H,3,0),"AGUARDANDO ANEXO")</f>
        <v>0</v>
      </c>
      <c r="Q233" s="26" cm="1">
        <f t="array" ref="Q233">_xlfn.IFS((P233&gt;N233),(N233*2),(P233&lt;=N233),(P233*2))</f>
        <v>0</v>
      </c>
      <c r="R233" s="22"/>
      <c r="S233" s="26" t="str">
        <f>IFERROR(VLOOKUP(T233,Apoio!A:B,2,0),"")</f>
        <v/>
      </c>
      <c r="T233" s="22">
        <f>IFERROR(VLOOKUP(C233,'[1]TB DIN'!$B:$H,4,0),"AGUARDANDO ANEXO")</f>
        <v>0</v>
      </c>
      <c r="U233" s="22">
        <f>IFERROR(VLOOKUP(C233,'[1]TB DIN INCLUIDOS'!$B:$H,4,0),"AGUARDANDO ANEXO")</f>
        <v>0</v>
      </c>
      <c r="V233" s="26" cm="1">
        <f t="array" ref="V233">_xlfn.IFS((U233&gt;S233),(S233*2),(U233&lt;=S233),(U233*2))</f>
        <v>0</v>
      </c>
      <c r="W233" s="22"/>
      <c r="X233" s="26">
        <f>IFERROR(VLOOKUP(Y233,Apoio!A:B,2,0),"")</f>
        <v>1</v>
      </c>
      <c r="Y233" s="22">
        <f>IFERROR(VLOOKUP(C233,'[1]TB DIN'!$B:$H,5,0),"AGUARDANDO ANEXO")</f>
        <v>15</v>
      </c>
      <c r="Z233" s="22">
        <f>IFERROR(VLOOKUP(C233,'[1]TB DIN INCLUIDOS'!$B:$H,5,0),"AGUARDANDO ANEXO")</f>
        <v>0</v>
      </c>
      <c r="AA233" s="26" cm="1">
        <f t="array" ref="AA233">_xlfn.IFS((Z233&gt;X233),(X233*2),(Z233&lt;=X233),(Z233*2))</f>
        <v>0</v>
      </c>
      <c r="AB233" s="22"/>
      <c r="AC233" s="26">
        <f>IFERROR(VLOOKUP(AD233,Apoio!A:B,2,0),"")</f>
        <v>1</v>
      </c>
      <c r="AD233" s="22">
        <f>IFERROR(VLOOKUP(C233,'[1]TB DIN'!$B:$H,6,0),"AGUARDANDO ANEXO")</f>
        <v>20</v>
      </c>
      <c r="AE233" s="22">
        <f>IFERROR(VLOOKUP(C233,'[1]TB DIN INCLUIDOS'!$B:$H,6,0),"AGUARDANDO ANEXO")</f>
        <v>0</v>
      </c>
      <c r="AF233" s="26" cm="1">
        <f t="array" ref="AF233">_xlfn.IFS((AE233&gt;AC233),(AC233*2),(AE233&lt;=AC233),(AE233*2))</f>
        <v>0</v>
      </c>
      <c r="AG233" s="22"/>
      <c r="AH233" s="28">
        <f t="shared" si="21"/>
        <v>35</v>
      </c>
      <c r="AI233" s="28">
        <f t="shared" si="22"/>
        <v>0</v>
      </c>
      <c r="AJ233" s="28">
        <f t="shared" si="23"/>
        <v>0</v>
      </c>
      <c r="AK233" s="28">
        <f t="shared" si="24"/>
        <v>0</v>
      </c>
      <c r="AL233" s="28">
        <f t="shared" si="25"/>
        <v>0</v>
      </c>
      <c r="AM233" s="23" t="s">
        <v>1707</v>
      </c>
      <c r="AN233" s="37">
        <f>VLOOKUP(C233,'[2]MARÇO-2024'!$B:$M,12,0)</f>
        <v>35</v>
      </c>
      <c r="AO233" s="37">
        <f t="shared" si="26"/>
        <v>0</v>
      </c>
      <c r="AP233" s="37" t="str">
        <f t="shared" si="27"/>
        <v/>
      </c>
    </row>
    <row r="234" spans="1:42" ht="13.5" customHeight="1" x14ac:dyDescent="0.25">
      <c r="A234" s="17">
        <v>9</v>
      </c>
      <c r="B234" s="17">
        <v>2</v>
      </c>
      <c r="C234" s="29">
        <v>9002</v>
      </c>
      <c r="D234" s="38">
        <v>33122296</v>
      </c>
      <c r="E234" s="18" t="s">
        <v>465</v>
      </c>
      <c r="F234" s="68" t="s">
        <v>779</v>
      </c>
      <c r="G234" s="62" t="s">
        <v>281</v>
      </c>
      <c r="H234" s="19" t="s">
        <v>1053</v>
      </c>
      <c r="I234" s="19" t="s">
        <v>1136</v>
      </c>
      <c r="J234" s="19" t="s">
        <v>1452</v>
      </c>
      <c r="K234" s="20" t="s">
        <v>1622</v>
      </c>
      <c r="L234" s="21">
        <v>34</v>
      </c>
      <c r="M234" s="21"/>
      <c r="N234" s="26" t="str">
        <f>IFERROR(VLOOKUP(O234,Apoio!A:B,2,0),"")</f>
        <v/>
      </c>
      <c r="O234" s="22">
        <f>IFERROR(VLOOKUP(C234,'[1]TB DIN'!$B:$D,3,0),"AGUARDANDO ANEXO")</f>
        <v>0</v>
      </c>
      <c r="P234" s="22">
        <f>IFERROR(VLOOKUP(C234,'[1]TB DIN INCLUIDOS'!$B:$H,3,0),"AGUARDANDO ANEXO")</f>
        <v>0</v>
      </c>
      <c r="Q234" s="26" cm="1">
        <f t="array" ref="Q234">_xlfn.IFS((P234&gt;N234),(N234*2),(P234&lt;=N234),(P234*2))</f>
        <v>0</v>
      </c>
      <c r="R234" s="22"/>
      <c r="S234" s="26" t="str">
        <f>IFERROR(VLOOKUP(T234,Apoio!A:B,2,0),"")</f>
        <v/>
      </c>
      <c r="T234" s="22">
        <f>IFERROR(VLOOKUP(C234,'[1]TB DIN'!$B:$H,4,0),"AGUARDANDO ANEXO")</f>
        <v>0</v>
      </c>
      <c r="U234" s="22">
        <f>IFERROR(VLOOKUP(C234,'[1]TB DIN INCLUIDOS'!$B:$H,4,0),"AGUARDANDO ANEXO")</f>
        <v>0</v>
      </c>
      <c r="V234" s="26" cm="1">
        <f t="array" ref="V234">_xlfn.IFS((U234&gt;S234),(S234*2),(U234&lt;=S234),(U234*2))</f>
        <v>0</v>
      </c>
      <c r="W234" s="22"/>
      <c r="X234" s="26">
        <f>IFERROR(VLOOKUP(Y234,Apoio!A:B,2,0),"")</f>
        <v>1</v>
      </c>
      <c r="Y234" s="22">
        <f>IFERROR(VLOOKUP(C234,'[1]TB DIN'!$B:$H,5,0),"AGUARDANDO ANEXO")</f>
        <v>15</v>
      </c>
      <c r="Z234" s="22">
        <f>IFERROR(VLOOKUP(C234,'[1]TB DIN INCLUIDOS'!$B:$H,5,0),"AGUARDANDO ANEXO")</f>
        <v>0</v>
      </c>
      <c r="AA234" s="26" cm="1">
        <f t="array" ref="AA234">_xlfn.IFS((Z234&gt;X234),(X234*2),(Z234&lt;=X234),(Z234*2))</f>
        <v>0</v>
      </c>
      <c r="AB234" s="22"/>
      <c r="AC234" s="26">
        <f>IFERROR(VLOOKUP(AD234,Apoio!A:B,2,0),"")</f>
        <v>1</v>
      </c>
      <c r="AD234" s="22">
        <v>19</v>
      </c>
      <c r="AE234" s="22">
        <f>IFERROR(VLOOKUP(C234,'[1]TB DIN INCLUIDOS'!$B:$H,6,0),"AGUARDANDO ANEXO")</f>
        <v>1</v>
      </c>
      <c r="AF234" s="26" cm="1">
        <f t="array" ref="AF234">_xlfn.IFS((AE234&gt;AC234),(AC234*2),(AE234&lt;=AC234),(AE234*2))</f>
        <v>2</v>
      </c>
      <c r="AG234" s="22"/>
      <c r="AH234" s="28">
        <f t="shared" si="21"/>
        <v>34</v>
      </c>
      <c r="AI234" s="28">
        <f t="shared" si="22"/>
        <v>1</v>
      </c>
      <c r="AJ234" s="28">
        <f t="shared" si="23"/>
        <v>2</v>
      </c>
      <c r="AK234" s="28">
        <f t="shared" si="24"/>
        <v>0</v>
      </c>
      <c r="AL234" s="28">
        <f t="shared" si="25"/>
        <v>-2</v>
      </c>
      <c r="AM234" s="23" t="s">
        <v>1707</v>
      </c>
      <c r="AN234" s="37">
        <f>VLOOKUP(C234,'[2]MARÇO-2024'!$B:$M,12,0)</f>
        <v>34</v>
      </c>
      <c r="AO234" s="37">
        <f t="shared" si="26"/>
        <v>0</v>
      </c>
      <c r="AP234" s="37" t="str">
        <f t="shared" si="27"/>
        <v/>
      </c>
    </row>
    <row r="235" spans="1:42" ht="13.5" customHeight="1" x14ac:dyDescent="0.25">
      <c r="A235" s="17">
        <v>9</v>
      </c>
      <c r="B235" s="17">
        <v>3</v>
      </c>
      <c r="C235" s="29">
        <v>9003</v>
      </c>
      <c r="D235" s="38">
        <v>33122482</v>
      </c>
      <c r="E235" s="18" t="s">
        <v>518</v>
      </c>
      <c r="F235" s="68" t="s">
        <v>780</v>
      </c>
      <c r="G235" s="62" t="s">
        <v>282</v>
      </c>
      <c r="H235" s="19" t="s">
        <v>1054</v>
      </c>
      <c r="I235" s="19" t="s">
        <v>1136</v>
      </c>
      <c r="J235" s="19" t="s">
        <v>1453</v>
      </c>
      <c r="K235" s="20" t="s">
        <v>1622</v>
      </c>
      <c r="L235" s="21">
        <v>35</v>
      </c>
      <c r="M235" s="21"/>
      <c r="N235" s="26" t="str">
        <f>IFERROR(VLOOKUP(O235,Apoio!A:B,2,0),"")</f>
        <v/>
      </c>
      <c r="O235" s="22">
        <f>IFERROR(VLOOKUP(C235,'[1]TB DIN'!$B:$D,3,0),"AGUARDANDO ANEXO")</f>
        <v>0</v>
      </c>
      <c r="P235" s="22">
        <f>IFERROR(VLOOKUP(C235,'[1]TB DIN INCLUIDOS'!$B:$H,3,0),"AGUARDANDO ANEXO")</f>
        <v>0</v>
      </c>
      <c r="Q235" s="26" cm="1">
        <f t="array" ref="Q235">_xlfn.IFS((P235&gt;N235),(N235*2),(P235&lt;=N235),(P235*2))</f>
        <v>0</v>
      </c>
      <c r="R235" s="22"/>
      <c r="S235" s="26" t="str">
        <f>IFERROR(VLOOKUP(T235,Apoio!A:B,2,0),"")</f>
        <v/>
      </c>
      <c r="T235" s="22">
        <f>IFERROR(VLOOKUP(C235,'[1]TB DIN'!$B:$H,4,0),"AGUARDANDO ANEXO")</f>
        <v>0</v>
      </c>
      <c r="U235" s="22">
        <f>IFERROR(VLOOKUP(C235,'[1]TB DIN INCLUIDOS'!$B:$H,4,0),"AGUARDANDO ANEXO")</f>
        <v>0</v>
      </c>
      <c r="V235" s="26" cm="1">
        <f t="array" ref="V235">_xlfn.IFS((U235&gt;S235),(S235*2),(U235&lt;=S235),(U235*2))</f>
        <v>0</v>
      </c>
      <c r="W235" s="22"/>
      <c r="X235" s="26">
        <f>IFERROR(VLOOKUP(Y235,Apoio!A:B,2,0),"")</f>
        <v>1</v>
      </c>
      <c r="Y235" s="22">
        <f>IFERROR(VLOOKUP(C235,'[1]TB DIN'!$B:$H,5,0),"AGUARDANDO ANEXO")</f>
        <v>15</v>
      </c>
      <c r="Z235" s="22">
        <f>IFERROR(VLOOKUP(C235,'[1]TB DIN INCLUIDOS'!$B:$H,5,0),"AGUARDANDO ANEXO")</f>
        <v>0</v>
      </c>
      <c r="AA235" s="26" cm="1">
        <f t="array" ref="AA235">_xlfn.IFS((Z235&gt;X235),(X235*2),(Z235&lt;=X235),(Z235*2))</f>
        <v>0</v>
      </c>
      <c r="AB235" s="22"/>
      <c r="AC235" s="26">
        <f>IFERROR(VLOOKUP(AD235,Apoio!A:B,2,0),"")</f>
        <v>1</v>
      </c>
      <c r="AD235" s="22">
        <v>20</v>
      </c>
      <c r="AE235" s="22">
        <f>IFERROR(VLOOKUP(C235,'[1]TB DIN INCLUIDOS'!$B:$H,6,0),"AGUARDANDO ANEXO")</f>
        <v>0</v>
      </c>
      <c r="AF235" s="26" cm="1">
        <f t="array" ref="AF235">_xlfn.IFS((AE235&gt;AC235),(AC235*2),(AE235&lt;=AC235),(AE235*2))</f>
        <v>0</v>
      </c>
      <c r="AG235" s="22"/>
      <c r="AH235" s="28">
        <f t="shared" si="21"/>
        <v>35</v>
      </c>
      <c r="AI235" s="28">
        <f t="shared" si="22"/>
        <v>0</v>
      </c>
      <c r="AJ235" s="28">
        <f t="shared" si="23"/>
        <v>0</v>
      </c>
      <c r="AK235" s="28">
        <f t="shared" si="24"/>
        <v>0</v>
      </c>
      <c r="AL235" s="28">
        <f t="shared" si="25"/>
        <v>0</v>
      </c>
      <c r="AM235" s="23" t="s">
        <v>1707</v>
      </c>
      <c r="AN235" s="37">
        <f>VLOOKUP(C235,'[2]MARÇO-2024'!$B:$M,12,0)</f>
        <v>35</v>
      </c>
      <c r="AO235" s="37">
        <f t="shared" si="26"/>
        <v>0</v>
      </c>
      <c r="AP235" s="37" t="str">
        <f t="shared" si="27"/>
        <v/>
      </c>
    </row>
    <row r="236" spans="1:42" ht="13.5" customHeight="1" x14ac:dyDescent="0.25">
      <c r="A236" s="17">
        <v>9</v>
      </c>
      <c r="B236" s="17">
        <v>4</v>
      </c>
      <c r="C236" s="29">
        <v>9004</v>
      </c>
      <c r="D236" s="38">
        <v>33164886</v>
      </c>
      <c r="E236" s="18" t="s">
        <v>516</v>
      </c>
      <c r="F236" s="68" t="s">
        <v>776</v>
      </c>
      <c r="G236" s="62" t="s">
        <v>278</v>
      </c>
      <c r="H236" s="19" t="s">
        <v>1050</v>
      </c>
      <c r="I236" s="19" t="s">
        <v>1220</v>
      </c>
      <c r="J236" s="19" t="s">
        <v>1449</v>
      </c>
      <c r="K236" s="20" t="s">
        <v>1622</v>
      </c>
      <c r="L236" s="21">
        <v>168</v>
      </c>
      <c r="M236" s="21"/>
      <c r="N236" s="26" t="str">
        <f>IFERROR(VLOOKUP(O236,Apoio!A:B,2,0),"")</f>
        <v/>
      </c>
      <c r="O236" s="22">
        <f>IFERROR(VLOOKUP(C236,'[1]TB DIN'!$B:$D,3,0),"AGUARDANDO ANEXO")</f>
        <v>0</v>
      </c>
      <c r="P236" s="22">
        <f>IFERROR(VLOOKUP(C236,'[1]TB DIN INCLUIDOS'!$B:$H,3,0),"AGUARDANDO ANEXO")</f>
        <v>0</v>
      </c>
      <c r="Q236" s="26" cm="1">
        <f t="array" ref="Q236">_xlfn.IFS((P236&gt;N236),(N236*2),(P236&lt;=N236),(P236*2))</f>
        <v>0</v>
      </c>
      <c r="R236" s="22"/>
      <c r="S236" s="26">
        <f>IFERROR(VLOOKUP(T236,Apoio!A:B,2,0),"")</f>
        <v>2</v>
      </c>
      <c r="T236" s="22">
        <v>36</v>
      </c>
      <c r="U236" s="22">
        <f>IFERROR(VLOOKUP(C236,'[1]TB DIN INCLUIDOS'!$B:$H,4,0),"AGUARDANDO ANEXO")</f>
        <v>0</v>
      </c>
      <c r="V236" s="26" cm="1">
        <f t="array" ref="V236">_xlfn.IFS((U236&gt;S236),(S236*2),(U236&lt;=S236),(U236*2))</f>
        <v>0</v>
      </c>
      <c r="W236" s="22"/>
      <c r="X236" s="26">
        <f>IFERROR(VLOOKUP(Y236,Apoio!A:B,2,0),"")</f>
        <v>3</v>
      </c>
      <c r="Y236" s="22">
        <v>65</v>
      </c>
      <c r="Z236" s="22">
        <f>IFERROR(VLOOKUP(C236,'[1]TB DIN INCLUIDOS'!$B:$H,5,0),"AGUARDANDO ANEXO")</f>
        <v>1</v>
      </c>
      <c r="AA236" s="26" cm="1">
        <f t="array" ref="AA236">_xlfn.IFS((Z236&gt;X236),(X236*2),(Z236&lt;=X236),(Z236*2))</f>
        <v>2</v>
      </c>
      <c r="AB236" s="22"/>
      <c r="AC236" s="26">
        <f>IFERROR(VLOOKUP(AD236,Apoio!A:B,2,0),"")</f>
        <v>3</v>
      </c>
      <c r="AD236" s="22">
        <f>IFERROR(VLOOKUP(C236,'[1]TB DIN'!$B:$H,6,0),"AGUARDANDO ANEXO")</f>
        <v>64</v>
      </c>
      <c r="AE236" s="22">
        <f>IFERROR(VLOOKUP(C236,'[1]TB DIN INCLUIDOS'!$B:$H,6,0),"AGUARDANDO ANEXO")</f>
        <v>5</v>
      </c>
      <c r="AF236" s="26" cm="1">
        <f t="array" ref="AF236">_xlfn.IFS((AE236&gt;AC236),(AC236*2),(AE236&lt;=AC236),(AE236*2))</f>
        <v>6</v>
      </c>
      <c r="AG236" s="22"/>
      <c r="AH236" s="28">
        <f t="shared" si="21"/>
        <v>165</v>
      </c>
      <c r="AI236" s="28">
        <f t="shared" si="22"/>
        <v>6</v>
      </c>
      <c r="AJ236" s="28">
        <f t="shared" si="23"/>
        <v>8</v>
      </c>
      <c r="AK236" s="28">
        <f t="shared" si="24"/>
        <v>0</v>
      </c>
      <c r="AL236" s="28">
        <f t="shared" si="25"/>
        <v>-5</v>
      </c>
      <c r="AM236" s="23" t="s">
        <v>1707</v>
      </c>
      <c r="AN236" s="37">
        <f>VLOOKUP(C236,'[2]MARÇO-2024'!$B:$M,12,0)</f>
        <v>166</v>
      </c>
      <c r="AO236" s="37">
        <f t="shared" si="26"/>
        <v>1</v>
      </c>
      <c r="AP236" s="37" t="str">
        <f t="shared" si="27"/>
        <v/>
      </c>
    </row>
    <row r="237" spans="1:42" ht="13.5" customHeight="1" x14ac:dyDescent="0.25">
      <c r="A237" s="17">
        <v>9</v>
      </c>
      <c r="B237" s="17">
        <v>5</v>
      </c>
      <c r="C237" s="29">
        <v>9007</v>
      </c>
      <c r="D237" s="38">
        <v>33177058</v>
      </c>
      <c r="E237" s="18" t="s">
        <v>519</v>
      </c>
      <c r="F237" s="68" t="s">
        <v>781</v>
      </c>
      <c r="G237" s="62" t="s">
        <v>283</v>
      </c>
      <c r="H237" s="19" t="s">
        <v>1055</v>
      </c>
      <c r="I237" s="19" t="s">
        <v>1222</v>
      </c>
      <c r="J237" s="19" t="s">
        <v>1454</v>
      </c>
      <c r="K237" s="20" t="s">
        <v>1622</v>
      </c>
      <c r="L237" s="21">
        <v>85</v>
      </c>
      <c r="M237" s="21"/>
      <c r="N237" s="26" t="str">
        <f>IFERROR(VLOOKUP(O237,Apoio!A:B,2,0),"")</f>
        <v/>
      </c>
      <c r="O237" s="22">
        <f>IFERROR(VLOOKUP(C237,'[1]TB DIN'!$B:$D,3,0),"AGUARDANDO ANEXO")</f>
        <v>0</v>
      </c>
      <c r="P237" s="22">
        <f>IFERROR(VLOOKUP(C237,'[1]TB DIN INCLUIDOS'!$B:$H,3,0),"AGUARDANDO ANEXO")</f>
        <v>0</v>
      </c>
      <c r="Q237" s="26" cm="1">
        <f t="array" ref="Q237">_xlfn.IFS((P237&gt;N237),(N237*2),(P237&lt;=N237),(P237*2))</f>
        <v>0</v>
      </c>
      <c r="R237" s="22"/>
      <c r="S237" s="26">
        <f>IFERROR(VLOOKUP(T237,Apoio!A:B,2,0),"")</f>
        <v>1</v>
      </c>
      <c r="T237" s="22">
        <f>IFERROR(VLOOKUP(C237,'[1]TB DIN'!$B:$H,4,0),"AGUARDANDO ANEXO")</f>
        <v>16</v>
      </c>
      <c r="U237" s="22">
        <f>IFERROR(VLOOKUP(C237,'[1]TB DIN INCLUIDOS'!$B:$H,4,0),"AGUARDANDO ANEXO")</f>
        <v>0</v>
      </c>
      <c r="V237" s="26" cm="1">
        <f t="array" ref="V237">_xlfn.IFS((U237&gt;S237),(S237*2),(U237&lt;=S237),(U237*2))</f>
        <v>0</v>
      </c>
      <c r="W237" s="22"/>
      <c r="X237" s="26">
        <f>IFERROR(VLOOKUP(Y237,Apoio!A:B,2,0),"")</f>
        <v>1</v>
      </c>
      <c r="Y237" s="22">
        <f>IFERROR(VLOOKUP(C237,'[1]TB DIN'!$B:$H,5,0),"AGUARDANDO ANEXO")</f>
        <v>23</v>
      </c>
      <c r="Z237" s="22">
        <f>IFERROR(VLOOKUP(C237,'[1]TB DIN INCLUIDOS'!$B:$H,5,0),"AGUARDANDO ANEXO")</f>
        <v>0</v>
      </c>
      <c r="AA237" s="26" cm="1">
        <f t="array" ref="AA237">_xlfn.IFS((Z237&gt;X237),(X237*2),(Z237&lt;=X237),(Z237*2))</f>
        <v>0</v>
      </c>
      <c r="AB237" s="22"/>
      <c r="AC237" s="26">
        <f>IFERROR(VLOOKUP(AD237,Apoio!A:B,2,0),"")</f>
        <v>2</v>
      </c>
      <c r="AD237" s="22">
        <f>IFERROR(VLOOKUP(C237,'[1]TB DIN'!$B:$H,6,0),"AGUARDANDO ANEXO")</f>
        <v>46</v>
      </c>
      <c r="AE237" s="22">
        <f>IFERROR(VLOOKUP(C237,'[1]TB DIN INCLUIDOS'!$B:$H,6,0),"AGUARDANDO ANEXO")</f>
        <v>0</v>
      </c>
      <c r="AF237" s="26" cm="1">
        <f t="array" ref="AF237">_xlfn.IFS((AE237&gt;AC237),(AC237*2),(AE237&lt;=AC237),(AE237*2))</f>
        <v>0</v>
      </c>
      <c r="AG237" s="22"/>
      <c r="AH237" s="28">
        <f t="shared" si="21"/>
        <v>85</v>
      </c>
      <c r="AI237" s="28">
        <f t="shared" si="22"/>
        <v>0</v>
      </c>
      <c r="AJ237" s="28">
        <f t="shared" si="23"/>
        <v>0</v>
      </c>
      <c r="AK237" s="28">
        <f t="shared" si="24"/>
        <v>0</v>
      </c>
      <c r="AL237" s="28">
        <f t="shared" si="25"/>
        <v>0</v>
      </c>
      <c r="AM237" s="23" t="s">
        <v>1707</v>
      </c>
      <c r="AN237" s="37">
        <f>VLOOKUP(C237,'[2]MARÇO-2024'!$B:$M,12,0)</f>
        <v>85</v>
      </c>
      <c r="AO237" s="37">
        <f t="shared" si="26"/>
        <v>0</v>
      </c>
      <c r="AP237" s="37" t="str">
        <f t="shared" si="27"/>
        <v/>
      </c>
    </row>
    <row r="238" spans="1:42" ht="13.5" customHeight="1" x14ac:dyDescent="0.25">
      <c r="A238" s="17">
        <v>9</v>
      </c>
      <c r="B238" s="17">
        <v>6</v>
      </c>
      <c r="C238" s="29">
        <v>9008</v>
      </c>
      <c r="D238" s="38">
        <v>33192324</v>
      </c>
      <c r="E238" s="18" t="s">
        <v>512</v>
      </c>
      <c r="F238" s="68" t="s">
        <v>771</v>
      </c>
      <c r="G238" s="62" t="s">
        <v>273</v>
      </c>
      <c r="H238" s="19" t="s">
        <v>1045</v>
      </c>
      <c r="I238" s="19" t="s">
        <v>1045</v>
      </c>
      <c r="J238" s="19" t="s">
        <v>1444</v>
      </c>
      <c r="K238" s="20" t="s">
        <v>1622</v>
      </c>
      <c r="L238" s="21">
        <v>70</v>
      </c>
      <c r="M238" s="21"/>
      <c r="N238" s="26" t="str">
        <f>IFERROR(VLOOKUP(O238,Apoio!A:B,2,0),"")</f>
        <v/>
      </c>
      <c r="O238" s="22">
        <f>IFERROR(VLOOKUP(C238,'[1]TB DIN'!$B:$D,3,0),"AGUARDANDO ANEXO")</f>
        <v>0</v>
      </c>
      <c r="P238" s="22">
        <f>IFERROR(VLOOKUP(C238,'[1]TB DIN INCLUIDOS'!$B:$H,3,0),"AGUARDANDO ANEXO")</f>
        <v>0</v>
      </c>
      <c r="Q238" s="26" cm="1">
        <f t="array" ref="Q238">_xlfn.IFS((P238&gt;N238),(N238*2),(P238&lt;=N238),(P238*2))</f>
        <v>0</v>
      </c>
      <c r="R238" s="22"/>
      <c r="S238" s="26">
        <f>IFERROR(VLOOKUP(T238,Apoio!A:B,2,0),"")</f>
        <v>1</v>
      </c>
      <c r="T238" s="22">
        <f>IFERROR(VLOOKUP(C238,'[1]TB DIN'!$B:$H,4,0),"AGUARDANDO ANEXO")</f>
        <v>22</v>
      </c>
      <c r="U238" s="22">
        <f>IFERROR(VLOOKUP(C238,'[1]TB DIN INCLUIDOS'!$B:$H,4,0),"AGUARDANDO ANEXO")</f>
        <v>1</v>
      </c>
      <c r="V238" s="26" cm="1">
        <f t="array" ref="V238">_xlfn.IFS((U238&gt;S238),(S238*2),(U238&lt;=S238),(U238*2))</f>
        <v>2</v>
      </c>
      <c r="W238" s="22"/>
      <c r="X238" s="26">
        <f>IFERROR(VLOOKUP(Y238,Apoio!A:B,2,0),"")</f>
        <v>1</v>
      </c>
      <c r="Y238" s="22">
        <f>IFERROR(VLOOKUP(C238,'[1]TB DIN'!$B:$H,5,0),"AGUARDANDO ANEXO")</f>
        <v>25</v>
      </c>
      <c r="Z238" s="22">
        <f>IFERROR(VLOOKUP(C238,'[1]TB DIN INCLUIDOS'!$B:$H,5,0),"AGUARDANDO ANEXO")</f>
        <v>0</v>
      </c>
      <c r="AA238" s="26" cm="1">
        <f t="array" ref="AA238">_xlfn.IFS((Z238&gt;X238),(X238*2),(Z238&lt;=X238),(Z238*2))</f>
        <v>0</v>
      </c>
      <c r="AB238" s="22"/>
      <c r="AC238" s="26">
        <f>IFERROR(VLOOKUP(AD238,Apoio!A:B,2,0),"")</f>
        <v>1</v>
      </c>
      <c r="AD238" s="22">
        <f>IFERROR(VLOOKUP(C238,'[1]TB DIN'!$B:$H,6,0),"AGUARDANDO ANEXO")</f>
        <v>19</v>
      </c>
      <c r="AE238" s="22">
        <f>IFERROR(VLOOKUP(C238,'[1]TB DIN INCLUIDOS'!$B:$H,6,0),"AGUARDANDO ANEXO")</f>
        <v>1</v>
      </c>
      <c r="AF238" s="26" cm="1">
        <f t="array" ref="AF238">_xlfn.IFS((AE238&gt;AC238),(AC238*2),(AE238&lt;=AC238),(AE238*2))</f>
        <v>2</v>
      </c>
      <c r="AG238" s="22"/>
      <c r="AH238" s="28">
        <f t="shared" si="21"/>
        <v>66</v>
      </c>
      <c r="AI238" s="28">
        <f t="shared" si="22"/>
        <v>2</v>
      </c>
      <c r="AJ238" s="28">
        <f t="shared" si="23"/>
        <v>4</v>
      </c>
      <c r="AK238" s="28">
        <f t="shared" si="24"/>
        <v>0</v>
      </c>
      <c r="AL238" s="28">
        <f t="shared" si="25"/>
        <v>0</v>
      </c>
      <c r="AM238" s="23" t="s">
        <v>1707</v>
      </c>
      <c r="AN238" s="37">
        <f>VLOOKUP(C238,'[2]MARÇO-2024'!$B:$M,12,0)</f>
        <v>66</v>
      </c>
      <c r="AO238" s="37">
        <f t="shared" si="26"/>
        <v>0</v>
      </c>
      <c r="AP238" s="37" t="str">
        <f t="shared" si="27"/>
        <v/>
      </c>
    </row>
    <row r="239" spans="1:42" ht="13.5" customHeight="1" x14ac:dyDescent="0.25">
      <c r="A239" s="17">
        <v>9</v>
      </c>
      <c r="B239" s="17">
        <v>7</v>
      </c>
      <c r="C239" s="29">
        <v>9009</v>
      </c>
      <c r="D239" s="38">
        <v>33192340</v>
      </c>
      <c r="E239" s="18" t="s">
        <v>513</v>
      </c>
      <c r="F239" s="68" t="s">
        <v>772</v>
      </c>
      <c r="G239" s="62" t="s">
        <v>274</v>
      </c>
      <c r="H239" s="19" t="s">
        <v>1046</v>
      </c>
      <c r="I239" s="19" t="s">
        <v>1046</v>
      </c>
      <c r="J239" s="19" t="s">
        <v>1445</v>
      </c>
      <c r="K239" s="20" t="s">
        <v>1622</v>
      </c>
      <c r="L239" s="21">
        <v>100</v>
      </c>
      <c r="M239" s="21"/>
      <c r="N239" s="26" t="str">
        <f>IFERROR(VLOOKUP(O239,Apoio!A:B,2,0),"")</f>
        <v/>
      </c>
      <c r="O239" s="22">
        <f>IFERROR(VLOOKUP(C239,'[1]TB DIN'!$B:$D,3,0),"AGUARDANDO ANEXO")</f>
        <v>0</v>
      </c>
      <c r="P239" s="22">
        <f>IFERROR(VLOOKUP(C239,'[1]TB DIN INCLUIDOS'!$B:$H,3,0),"AGUARDANDO ANEXO")</f>
        <v>0</v>
      </c>
      <c r="Q239" s="26" cm="1">
        <f t="array" ref="Q239">_xlfn.IFS((P239&gt;N239),(N239*2),(P239&lt;=N239),(P239*2))</f>
        <v>0</v>
      </c>
      <c r="R239" s="22"/>
      <c r="S239" s="26">
        <f>IFERROR(VLOOKUP(T239,Apoio!A:B,2,0),"")</f>
        <v>1</v>
      </c>
      <c r="T239" s="22">
        <f>IFERROR(VLOOKUP(C239,'[1]TB DIN'!$B:$H,4,0),"AGUARDANDO ANEXO")</f>
        <v>16</v>
      </c>
      <c r="U239" s="22">
        <f>IFERROR(VLOOKUP(C239,'[1]TB DIN INCLUIDOS'!$B:$H,4,0),"AGUARDANDO ANEXO")</f>
        <v>0</v>
      </c>
      <c r="V239" s="26" cm="1">
        <f t="array" ref="V239">_xlfn.IFS((U239&gt;S239),(S239*2),(U239&lt;=S239),(U239*2))</f>
        <v>0</v>
      </c>
      <c r="W239" s="22"/>
      <c r="X239" s="26">
        <f>IFERROR(VLOOKUP(Y239,Apoio!A:B,2,0),"")</f>
        <v>2</v>
      </c>
      <c r="Y239" s="22">
        <f>IFERROR(VLOOKUP(C239,'[1]TB DIN'!$B:$H,5,0),"AGUARDANDO ANEXO")</f>
        <v>43</v>
      </c>
      <c r="Z239" s="22">
        <f>IFERROR(VLOOKUP(C239,'[1]TB DIN INCLUIDOS'!$B:$H,5,0),"AGUARDANDO ANEXO")</f>
        <v>0</v>
      </c>
      <c r="AA239" s="26" cm="1">
        <f t="array" ref="AA239">_xlfn.IFS((Z239&gt;X239),(X239*2),(Z239&lt;=X239),(Z239*2))</f>
        <v>0</v>
      </c>
      <c r="AB239" s="22"/>
      <c r="AC239" s="26">
        <f>IFERROR(VLOOKUP(AD239,Apoio!A:B,2,0),"")</f>
        <v>2</v>
      </c>
      <c r="AD239" s="22">
        <f>IFERROR(VLOOKUP(C239,'[1]TB DIN'!$B:$H,6,0),"AGUARDANDO ANEXO")</f>
        <v>41</v>
      </c>
      <c r="AE239" s="22">
        <f>IFERROR(VLOOKUP(C239,'[1]TB DIN INCLUIDOS'!$B:$H,6,0),"AGUARDANDO ANEXO")</f>
        <v>0</v>
      </c>
      <c r="AF239" s="26" cm="1">
        <f t="array" ref="AF239">_xlfn.IFS((AE239&gt;AC239),(AC239*2),(AE239&lt;=AC239),(AE239*2))</f>
        <v>0</v>
      </c>
      <c r="AG239" s="22"/>
      <c r="AH239" s="28">
        <f t="shared" si="21"/>
        <v>100</v>
      </c>
      <c r="AI239" s="28">
        <f t="shared" si="22"/>
        <v>0</v>
      </c>
      <c r="AJ239" s="28">
        <f t="shared" si="23"/>
        <v>0</v>
      </c>
      <c r="AK239" s="28">
        <f t="shared" si="24"/>
        <v>0</v>
      </c>
      <c r="AL239" s="28">
        <f t="shared" si="25"/>
        <v>0</v>
      </c>
      <c r="AM239" s="23" t="s">
        <v>1707</v>
      </c>
      <c r="AN239" s="37">
        <f>VLOOKUP(C239,'[2]MARÇO-2024'!$B:$M,12,0)</f>
        <v>100</v>
      </c>
      <c r="AO239" s="37">
        <f t="shared" si="26"/>
        <v>0</v>
      </c>
      <c r="AP239" s="37" t="str">
        <f t="shared" si="27"/>
        <v/>
      </c>
    </row>
    <row r="240" spans="1:42" ht="13.5" customHeight="1" x14ac:dyDescent="0.25">
      <c r="A240" s="17">
        <v>9</v>
      </c>
      <c r="B240" s="17">
        <v>8</v>
      </c>
      <c r="C240" s="29">
        <v>9010</v>
      </c>
      <c r="D240" s="38">
        <v>33185786</v>
      </c>
      <c r="E240" s="18" t="s">
        <v>517</v>
      </c>
      <c r="F240" s="68" t="s">
        <v>777</v>
      </c>
      <c r="G240" s="62" t="s">
        <v>279</v>
      </c>
      <c r="H240" s="19" t="s">
        <v>1051</v>
      </c>
      <c r="I240" s="19" t="s">
        <v>1221</v>
      </c>
      <c r="J240" s="19" t="s">
        <v>1450</v>
      </c>
      <c r="K240" s="20" t="s">
        <v>1622</v>
      </c>
      <c r="L240" s="21">
        <v>124</v>
      </c>
      <c r="M240" s="21"/>
      <c r="N240" s="26" t="str">
        <f>IFERROR(VLOOKUP(O240,Apoio!A:B,2,0),"")</f>
        <v/>
      </c>
      <c r="O240" s="22">
        <f>IFERROR(VLOOKUP(C240,'[1]TB DIN'!$B:$D,3,0),"AGUARDANDO ANEXO")</f>
        <v>0</v>
      </c>
      <c r="P240" s="22">
        <f>IFERROR(VLOOKUP(C240,'[1]TB DIN INCLUIDOS'!$B:$H,3,0),"AGUARDANDO ANEXO")</f>
        <v>0</v>
      </c>
      <c r="Q240" s="26" cm="1">
        <f t="array" ref="Q240">_xlfn.IFS((P240&gt;N240),(N240*2),(P240&lt;=N240),(P240*2))</f>
        <v>0</v>
      </c>
      <c r="R240" s="22"/>
      <c r="S240" s="26" t="str">
        <f>IFERROR(VLOOKUP(T240,Apoio!A:B,2,0),"")</f>
        <v/>
      </c>
      <c r="T240" s="22">
        <f>IFERROR(VLOOKUP(C240,'[1]TB DIN'!$B:$H,4,0),"AGUARDANDO ANEXO")</f>
        <v>0</v>
      </c>
      <c r="U240" s="22">
        <f>IFERROR(VLOOKUP(C240,'[1]TB DIN INCLUIDOS'!$B:$H,4,0),"AGUARDANDO ANEXO")</f>
        <v>0</v>
      </c>
      <c r="V240" s="26" cm="1">
        <f t="array" ref="V240">_xlfn.IFS((U240&gt;S240),(S240*2),(U240&lt;=S240),(U240*2))</f>
        <v>0</v>
      </c>
      <c r="W240" s="22"/>
      <c r="X240" s="26">
        <f>IFERROR(VLOOKUP(Y240,Apoio!A:B,2,0),"")</f>
        <v>2</v>
      </c>
      <c r="Y240" s="22">
        <f>IFERROR(VLOOKUP(C240,'[1]TB DIN'!$B:$H,5,0),"AGUARDANDO ANEXO")</f>
        <v>43</v>
      </c>
      <c r="Z240" s="22">
        <f>IFERROR(VLOOKUP(C240,'[1]TB DIN INCLUIDOS'!$B:$H,5,0),"AGUARDANDO ANEXO")</f>
        <v>2</v>
      </c>
      <c r="AA240" s="26" cm="1">
        <f t="array" ref="AA240">_xlfn.IFS((Z240&gt;X240),(X240*2),(Z240&lt;=X240),(Z240*2))</f>
        <v>4</v>
      </c>
      <c r="AB240" s="22"/>
      <c r="AC240" s="26">
        <f>IFERROR(VLOOKUP(AD240,Apoio!A:B,2,0),"")</f>
        <v>3</v>
      </c>
      <c r="AD240" s="22">
        <v>67</v>
      </c>
      <c r="AE240" s="22">
        <f>IFERROR(VLOOKUP(C240,'[1]TB DIN INCLUIDOS'!$B:$H,6,0),"AGUARDANDO ANEXO")</f>
        <v>4</v>
      </c>
      <c r="AF240" s="26" cm="1">
        <f t="array" ref="AF240">_xlfn.IFS((AE240&gt;AC240),(AC240*2),(AE240&lt;=AC240),(AE240*2))</f>
        <v>6</v>
      </c>
      <c r="AG240" s="22"/>
      <c r="AH240" s="28">
        <f t="shared" si="21"/>
        <v>110</v>
      </c>
      <c r="AI240" s="28">
        <f t="shared" si="22"/>
        <v>6</v>
      </c>
      <c r="AJ240" s="28">
        <f t="shared" si="23"/>
        <v>10</v>
      </c>
      <c r="AK240" s="28">
        <f t="shared" si="24"/>
        <v>4</v>
      </c>
      <c r="AL240" s="28">
        <f t="shared" si="25"/>
        <v>0</v>
      </c>
      <c r="AM240" s="23" t="s">
        <v>1707</v>
      </c>
      <c r="AN240" s="37">
        <f>VLOOKUP(C240,'[2]MARÇO-2024'!$B:$M,12,0)</f>
        <v>114</v>
      </c>
      <c r="AO240" s="37">
        <f t="shared" si="26"/>
        <v>4</v>
      </c>
      <c r="AP240" s="37" t="str">
        <f t="shared" si="27"/>
        <v/>
      </c>
    </row>
    <row r="241" spans="1:42" ht="13.5" customHeight="1" x14ac:dyDescent="0.25">
      <c r="A241" s="17">
        <v>9</v>
      </c>
      <c r="B241" s="17">
        <v>9</v>
      </c>
      <c r="C241" s="29">
        <v>9011</v>
      </c>
      <c r="D241" s="38">
        <v>33192952</v>
      </c>
      <c r="E241" s="18" t="s">
        <v>446</v>
      </c>
      <c r="F241" s="68" t="s">
        <v>778</v>
      </c>
      <c r="G241" s="62" t="s">
        <v>280</v>
      </c>
      <c r="H241" s="19" t="s">
        <v>1052</v>
      </c>
      <c r="I241" s="19" t="s">
        <v>971</v>
      </c>
      <c r="J241" s="19" t="s">
        <v>1451</v>
      </c>
      <c r="K241" s="20" t="s">
        <v>1622</v>
      </c>
      <c r="L241" s="21">
        <v>151</v>
      </c>
      <c r="M241" s="21"/>
      <c r="N241" s="26" t="str">
        <f>IFERROR(VLOOKUP(O241,Apoio!A:B,2,0),"")</f>
        <v/>
      </c>
      <c r="O241" s="22">
        <f>IFERROR(VLOOKUP(C241,'[1]TB DIN'!$B:$D,3,0),"AGUARDANDO ANEXO")</f>
        <v>0</v>
      </c>
      <c r="P241" s="22">
        <f>IFERROR(VLOOKUP(C241,'[1]TB DIN INCLUIDOS'!$B:$H,3,0),"AGUARDANDO ANEXO")</f>
        <v>0</v>
      </c>
      <c r="Q241" s="26" cm="1">
        <f t="array" ref="Q241">_xlfn.IFS((P241&gt;N241),(N241*2),(P241&lt;=N241),(P241*2))</f>
        <v>0</v>
      </c>
      <c r="R241" s="22"/>
      <c r="S241" s="26">
        <f>IFERROR(VLOOKUP(T241,Apoio!A:B,2,0),"")</f>
        <v>2</v>
      </c>
      <c r="T241" s="22">
        <v>49</v>
      </c>
      <c r="U241" s="22">
        <f>IFERROR(VLOOKUP(C241,'[1]TB DIN INCLUIDOS'!$B:$H,4,0),"AGUARDANDO ANEXO")</f>
        <v>1</v>
      </c>
      <c r="V241" s="26" cm="1">
        <f t="array" ref="V241">_xlfn.IFS((U241&gt;S241),(S241*2),(U241&lt;=S241),(U241*2))</f>
        <v>2</v>
      </c>
      <c r="W241" s="22"/>
      <c r="X241" s="26">
        <f>IFERROR(VLOOKUP(Y241,Apoio!A:B,2,0),"")</f>
        <v>2</v>
      </c>
      <c r="Y241" s="22">
        <v>48</v>
      </c>
      <c r="Z241" s="22">
        <f>IFERROR(VLOOKUP(C241,'[1]TB DIN INCLUIDOS'!$B:$H,5,0),"AGUARDANDO ANEXO")</f>
        <v>2</v>
      </c>
      <c r="AA241" s="26" cm="1">
        <f t="array" ref="AA241">_xlfn.IFS((Z241&gt;X241),(X241*2),(Z241&lt;=X241),(Z241*2))</f>
        <v>4</v>
      </c>
      <c r="AB241" s="22"/>
      <c r="AC241" s="26">
        <f>IFERROR(VLOOKUP(AD241,Apoio!A:B,2,0),"")</f>
        <v>2</v>
      </c>
      <c r="AD241" s="22">
        <v>47</v>
      </c>
      <c r="AE241" s="22">
        <v>0</v>
      </c>
      <c r="AF241" s="26" cm="1">
        <f t="array" ref="AF241">_xlfn.IFS((AE241&gt;AC241),(AC241*2),(AE241&lt;=AC241),(AE241*2))</f>
        <v>0</v>
      </c>
      <c r="AG241" s="22"/>
      <c r="AH241" s="28">
        <f t="shared" si="21"/>
        <v>144</v>
      </c>
      <c r="AI241" s="28">
        <f t="shared" si="22"/>
        <v>3</v>
      </c>
      <c r="AJ241" s="28">
        <f t="shared" si="23"/>
        <v>6</v>
      </c>
      <c r="AK241" s="28">
        <f t="shared" si="24"/>
        <v>1</v>
      </c>
      <c r="AL241" s="28">
        <f t="shared" si="25"/>
        <v>0</v>
      </c>
      <c r="AM241" s="23" t="s">
        <v>1707</v>
      </c>
      <c r="AN241" s="37">
        <f>VLOOKUP(C241,'[2]MARÇO-2024'!$B:$M,12,0)</f>
        <v>132</v>
      </c>
      <c r="AO241" s="37">
        <f t="shared" si="26"/>
        <v>-12</v>
      </c>
      <c r="AP241" s="37" t="str">
        <f t="shared" si="27"/>
        <v/>
      </c>
    </row>
    <row r="242" spans="1:42" ht="13.5" customHeight="1" x14ac:dyDescent="0.25">
      <c r="A242" s="17">
        <v>9</v>
      </c>
      <c r="B242" s="17">
        <v>10</v>
      </c>
      <c r="C242" s="29">
        <v>9012</v>
      </c>
      <c r="D242" s="43">
        <v>33192405</v>
      </c>
      <c r="E242" s="18" t="s">
        <v>515</v>
      </c>
      <c r="F242" s="68" t="s">
        <v>775</v>
      </c>
      <c r="G242" s="62" t="s">
        <v>277</v>
      </c>
      <c r="H242" s="19" t="s">
        <v>1049</v>
      </c>
      <c r="I242" s="19" t="s">
        <v>1219</v>
      </c>
      <c r="J242" s="19" t="s">
        <v>1448</v>
      </c>
      <c r="K242" s="20" t="s">
        <v>1622</v>
      </c>
      <c r="L242" s="21">
        <v>152</v>
      </c>
      <c r="M242" s="21"/>
      <c r="N242" s="26" t="str">
        <f>IFERROR(VLOOKUP(O242,Apoio!A:B,2,0),"")</f>
        <v/>
      </c>
      <c r="O242" s="22">
        <f>IFERROR(VLOOKUP(C242,'[1]TB DIN'!$B:$D,3,0),"AGUARDANDO ANEXO")</f>
        <v>0</v>
      </c>
      <c r="P242" s="22">
        <f>IFERROR(VLOOKUP(C242,'[1]TB DIN INCLUIDOS'!$B:$H,3,0),"AGUARDANDO ANEXO")</f>
        <v>0</v>
      </c>
      <c r="Q242" s="26" cm="1">
        <f t="array" ref="Q242">_xlfn.IFS((P242&gt;N242),(N242*2),(P242&lt;=N242),(P242*2))</f>
        <v>0</v>
      </c>
      <c r="R242" s="22"/>
      <c r="S242" s="26">
        <f>IFERROR(VLOOKUP(T242,Apoio!A:B,2,0),"")</f>
        <v>1</v>
      </c>
      <c r="T242" s="22">
        <v>19</v>
      </c>
      <c r="U242" s="22">
        <f>IFERROR(VLOOKUP(C242,'[1]TB DIN INCLUIDOS'!$B:$H,4,0),"AGUARDANDO ANEXO")</f>
        <v>0</v>
      </c>
      <c r="V242" s="26" cm="1">
        <f t="array" ref="V242">_xlfn.IFS((U242&gt;S242),(S242*2),(U242&lt;=S242),(U242*2))</f>
        <v>0</v>
      </c>
      <c r="W242" s="22"/>
      <c r="X242" s="26">
        <f>IFERROR(VLOOKUP(Y242,Apoio!A:B,2,0),"")</f>
        <v>3</v>
      </c>
      <c r="Y242" s="22">
        <f>IFERROR(VLOOKUP(C242,'[1]TB DIN'!$B:$H,5,0),"AGUARDANDO ANEXO")</f>
        <v>73</v>
      </c>
      <c r="Z242" s="22">
        <f>IFERROR(VLOOKUP(C242,'[1]TB DIN INCLUIDOS'!$B:$H,5,0),"AGUARDANDO ANEXO")</f>
        <v>0</v>
      </c>
      <c r="AA242" s="26" cm="1">
        <f t="array" ref="AA242">_xlfn.IFS((Z242&gt;X242),(X242*2),(Z242&lt;=X242),(Z242*2))</f>
        <v>0</v>
      </c>
      <c r="AB242" s="22"/>
      <c r="AC242" s="26">
        <f>IFERROR(VLOOKUP(AD242,Apoio!A:B,2,0),"")</f>
        <v>3</v>
      </c>
      <c r="AD242" s="22">
        <v>60</v>
      </c>
      <c r="AE242" s="22">
        <f>IFERROR(VLOOKUP(C242,'[1]TB DIN INCLUIDOS'!$B:$H,6,0),"AGUARDANDO ANEXO")</f>
        <v>0</v>
      </c>
      <c r="AF242" s="26" cm="1">
        <f t="array" ref="AF242">_xlfn.IFS((AE242&gt;AC242),(AC242*2),(AE242&lt;=AC242),(AE242*2))</f>
        <v>0</v>
      </c>
      <c r="AG242" s="22"/>
      <c r="AH242" s="28">
        <f t="shared" si="21"/>
        <v>152</v>
      </c>
      <c r="AI242" s="28">
        <f t="shared" si="22"/>
        <v>0</v>
      </c>
      <c r="AJ242" s="28">
        <f t="shared" si="23"/>
        <v>0</v>
      </c>
      <c r="AK242" s="28">
        <f t="shared" si="24"/>
        <v>0</v>
      </c>
      <c r="AL242" s="28">
        <f t="shared" si="25"/>
        <v>0</v>
      </c>
      <c r="AM242" s="23" t="s">
        <v>1707</v>
      </c>
      <c r="AN242" s="37">
        <f>VLOOKUP(C242,'[2]MARÇO-2024'!$B:$M,12,0)</f>
        <v>152</v>
      </c>
      <c r="AO242" s="37">
        <f t="shared" si="26"/>
        <v>0</v>
      </c>
      <c r="AP242" s="37" t="str">
        <f t="shared" si="27"/>
        <v/>
      </c>
    </row>
    <row r="243" spans="1:42" ht="13.5" customHeight="1" x14ac:dyDescent="0.25">
      <c r="A243" s="17">
        <v>9</v>
      </c>
      <c r="B243" s="17">
        <v>11</v>
      </c>
      <c r="C243" s="29">
        <v>9013</v>
      </c>
      <c r="D243" s="38">
        <v>33192391</v>
      </c>
      <c r="E243" s="18" t="s">
        <v>514</v>
      </c>
      <c r="F243" s="68" t="s">
        <v>774</v>
      </c>
      <c r="G243" s="62" t="s">
        <v>276</v>
      </c>
      <c r="H243" s="19" t="s">
        <v>1048</v>
      </c>
      <c r="I243" s="19" t="s">
        <v>1048</v>
      </c>
      <c r="J243" s="19" t="s">
        <v>1447</v>
      </c>
      <c r="K243" s="20" t="s">
        <v>1623</v>
      </c>
      <c r="L243" s="21">
        <v>110</v>
      </c>
      <c r="M243" s="21"/>
      <c r="N243" s="26" t="str">
        <f>IFERROR(VLOOKUP(O243,Apoio!A:B,2,0),"")</f>
        <v/>
      </c>
      <c r="O243" s="22">
        <f>IFERROR(VLOOKUP(C243,'[1]TB DIN'!$B:$D,3,0),"AGUARDANDO ANEXO")</f>
        <v>0</v>
      </c>
      <c r="P243" s="22">
        <f>IFERROR(VLOOKUP(C243,'[1]TB DIN INCLUIDOS'!$B:$H,3,0),"AGUARDANDO ANEXO")</f>
        <v>0</v>
      </c>
      <c r="Q243" s="26" cm="1">
        <f t="array" ref="Q243">_xlfn.IFS((P243&gt;N243),(N243*2),(P243&lt;=N243),(P243*2))</f>
        <v>0</v>
      </c>
      <c r="R243" s="22"/>
      <c r="S243" s="26">
        <f>IFERROR(VLOOKUP(T243,Apoio!A:B,2,0),"")</f>
        <v>1</v>
      </c>
      <c r="T243" s="22">
        <f>IFERROR(VLOOKUP(C243,'[1]TB DIN'!$B:$H,4,0),"AGUARDANDO ANEXO")</f>
        <v>16</v>
      </c>
      <c r="U243" s="22">
        <f>IFERROR(VLOOKUP(C243,'[1]TB DIN INCLUIDOS'!$B:$H,4,0),"AGUARDANDO ANEXO")</f>
        <v>0</v>
      </c>
      <c r="V243" s="26" cm="1">
        <f t="array" ref="V243">_xlfn.IFS((U243&gt;S243),(S243*2),(U243&lt;=S243),(U243*2))</f>
        <v>0</v>
      </c>
      <c r="W243" s="22"/>
      <c r="X243" s="26">
        <f>IFERROR(VLOOKUP(Y243,Apoio!A:B,2,0),"")</f>
        <v>2</v>
      </c>
      <c r="Y243" s="22">
        <v>38</v>
      </c>
      <c r="Z243" s="22">
        <v>1</v>
      </c>
      <c r="AA243" s="26" cm="1">
        <f t="array" ref="AA243">_xlfn.IFS((Z243&gt;X243),(X243*2),(Z243&lt;=X243),(Z243*2))</f>
        <v>2</v>
      </c>
      <c r="AB243" s="22"/>
      <c r="AC243" s="26">
        <f>IFERROR(VLOOKUP(AD243,Apoio!A:B,2,0),"")</f>
        <v>2</v>
      </c>
      <c r="AD243" s="22">
        <v>50</v>
      </c>
      <c r="AE243" s="22">
        <f>IFERROR(VLOOKUP(C243,'[1]TB DIN INCLUIDOS'!$B:$H,6,0),"AGUARDANDO ANEXO")</f>
        <v>3</v>
      </c>
      <c r="AF243" s="26" cm="1">
        <f t="array" ref="AF243">_xlfn.IFS((AE243&gt;AC243),(AC243*2),(AE243&lt;=AC243),(AE243*2))</f>
        <v>4</v>
      </c>
      <c r="AG243" s="22"/>
      <c r="AH243" s="28">
        <f t="shared" si="21"/>
        <v>104</v>
      </c>
      <c r="AI243" s="28">
        <f t="shared" si="22"/>
        <v>4</v>
      </c>
      <c r="AJ243" s="28">
        <f t="shared" si="23"/>
        <v>6</v>
      </c>
      <c r="AK243" s="28">
        <f t="shared" si="24"/>
        <v>0</v>
      </c>
      <c r="AL243" s="28">
        <f t="shared" si="25"/>
        <v>0</v>
      </c>
      <c r="AM243" s="23" t="s">
        <v>1849</v>
      </c>
      <c r="AN243" s="37">
        <f>VLOOKUP(C243,'[2]MARÇO-2024'!$B:$M,12,0)</f>
        <v>106</v>
      </c>
      <c r="AO243" s="37">
        <f t="shared" si="26"/>
        <v>2</v>
      </c>
      <c r="AP243" s="37" t="str">
        <f t="shared" si="27"/>
        <v/>
      </c>
    </row>
    <row r="244" spans="1:42" ht="13.5" customHeight="1" x14ac:dyDescent="0.25">
      <c r="A244" s="17">
        <v>9</v>
      </c>
      <c r="B244" s="17">
        <v>12</v>
      </c>
      <c r="C244" s="29">
        <v>9014</v>
      </c>
      <c r="D244" s="38">
        <v>33192383</v>
      </c>
      <c r="E244" s="18" t="s">
        <v>520</v>
      </c>
      <c r="F244" s="68" t="s">
        <v>782</v>
      </c>
      <c r="G244" s="62" t="s">
        <v>284</v>
      </c>
      <c r="H244" s="19" t="s">
        <v>1056</v>
      </c>
      <c r="I244" s="19" t="s">
        <v>1223</v>
      </c>
      <c r="J244" s="19" t="s">
        <v>1455</v>
      </c>
      <c r="K244" s="20" t="s">
        <v>1624</v>
      </c>
      <c r="L244" s="21">
        <v>117</v>
      </c>
      <c r="M244" s="21"/>
      <c r="N244" s="26" t="str">
        <f>IFERROR(VLOOKUP(O244,Apoio!A:B,2,0),"")</f>
        <v/>
      </c>
      <c r="O244" s="22">
        <f>IFERROR(VLOOKUP(C244,'[1]TB DIN'!$B:$D,3,0),"AGUARDANDO ANEXO")</f>
        <v>0</v>
      </c>
      <c r="P244" s="22">
        <f>IFERROR(VLOOKUP(C244,'[1]TB DIN INCLUIDOS'!$B:$H,3,0),"AGUARDANDO ANEXO")</f>
        <v>0</v>
      </c>
      <c r="Q244" s="26" cm="1">
        <f t="array" ref="Q244">_xlfn.IFS((P244&gt;N244),(N244*2),(P244&lt;=N244),(P244*2))</f>
        <v>0</v>
      </c>
      <c r="R244" s="22"/>
      <c r="S244" s="26">
        <f>IFERROR(VLOOKUP(T244,Apoio!A:B,2,0),"")</f>
        <v>1</v>
      </c>
      <c r="T244" s="22">
        <v>17</v>
      </c>
      <c r="U244" s="22">
        <f>IFERROR(VLOOKUP(C244,'[1]TB DIN INCLUIDOS'!$B:$H,4,0),"AGUARDANDO ANEXO")</f>
        <v>0</v>
      </c>
      <c r="V244" s="26" cm="1">
        <f t="array" ref="V244">_xlfn.IFS((U244&gt;S244),(S244*2),(U244&lt;=S244),(U244*2))</f>
        <v>0</v>
      </c>
      <c r="W244" s="22"/>
      <c r="X244" s="26">
        <f>IFERROR(VLOOKUP(Y244,Apoio!A:B,2,0),"")</f>
        <v>2</v>
      </c>
      <c r="Y244" s="22">
        <f>IFERROR(VLOOKUP(C244,'[1]TB DIN'!$B:$H,5,0),"AGUARDANDO ANEXO")</f>
        <v>42</v>
      </c>
      <c r="Z244" s="22">
        <f>IFERROR(VLOOKUP(C244,'[1]TB DIN INCLUIDOS'!$B:$H,5,0),"AGUARDANDO ANEXO")</f>
        <v>0</v>
      </c>
      <c r="AA244" s="26" cm="1">
        <f t="array" ref="AA244">_xlfn.IFS((Z244&gt;X244),(X244*2),(Z244&lt;=X244),(Z244*2))</f>
        <v>0</v>
      </c>
      <c r="AB244" s="22"/>
      <c r="AC244" s="26">
        <f>IFERROR(VLOOKUP(AD244,Apoio!A:B,2,0),"")</f>
        <v>3</v>
      </c>
      <c r="AD244" s="22">
        <v>56</v>
      </c>
      <c r="AE244" s="22">
        <f>IFERROR(VLOOKUP(C244,'[1]TB DIN INCLUIDOS'!$B:$H,6,0),"AGUARDANDO ANEXO")</f>
        <v>1</v>
      </c>
      <c r="AF244" s="26" cm="1">
        <f t="array" ref="AF244">_xlfn.IFS((AE244&gt;AC244),(AC244*2),(AE244&lt;=AC244),(AE244*2))</f>
        <v>2</v>
      </c>
      <c r="AG244" s="22"/>
      <c r="AH244" s="28">
        <f t="shared" si="21"/>
        <v>115</v>
      </c>
      <c r="AI244" s="28">
        <f t="shared" si="22"/>
        <v>1</v>
      </c>
      <c r="AJ244" s="28">
        <f t="shared" si="23"/>
        <v>2</v>
      </c>
      <c r="AK244" s="28">
        <f t="shared" si="24"/>
        <v>0</v>
      </c>
      <c r="AL244" s="28">
        <f t="shared" si="25"/>
        <v>0</v>
      </c>
      <c r="AM244" s="23" t="s">
        <v>1707</v>
      </c>
      <c r="AN244" s="37">
        <f>VLOOKUP(C244,'[2]MARÇO-2024'!$B:$M,12,0)</f>
        <v>115</v>
      </c>
      <c r="AO244" s="37">
        <f t="shared" si="26"/>
        <v>0</v>
      </c>
      <c r="AP244" s="37" t="str">
        <f t="shared" si="27"/>
        <v/>
      </c>
    </row>
    <row r="245" spans="1:42" ht="13.5" customHeight="1" x14ac:dyDescent="0.25">
      <c r="A245" s="17">
        <v>9</v>
      </c>
      <c r="B245" s="17">
        <v>13</v>
      </c>
      <c r="C245" s="29">
        <v>9017</v>
      </c>
      <c r="D245" s="38">
        <v>33192375</v>
      </c>
      <c r="E245" s="18" t="s">
        <v>521</v>
      </c>
      <c r="F245" s="68" t="s">
        <v>783</v>
      </c>
      <c r="G245" s="62" t="s">
        <v>285</v>
      </c>
      <c r="H245" s="19" t="s">
        <v>1057</v>
      </c>
      <c r="I245" s="19" t="s">
        <v>1224</v>
      </c>
      <c r="J245" s="19" t="s">
        <v>1456</v>
      </c>
      <c r="K245" s="20" t="s">
        <v>1622</v>
      </c>
      <c r="L245" s="21">
        <v>180</v>
      </c>
      <c r="M245" s="21"/>
      <c r="N245" s="26" t="str">
        <f>IFERROR(VLOOKUP(O245,Apoio!A:B,2,0),"")</f>
        <v/>
      </c>
      <c r="O245" s="22">
        <f>IFERROR(VLOOKUP(C245,'[1]TB DIN'!$B:$D,3,0),"AGUARDANDO ANEXO")</f>
        <v>0</v>
      </c>
      <c r="P245" s="22">
        <f>IFERROR(VLOOKUP(C245,'[1]TB DIN INCLUIDOS'!$B:$H,3,0),"AGUARDANDO ANEXO")</f>
        <v>0</v>
      </c>
      <c r="Q245" s="26" cm="1">
        <f t="array" ref="Q245">_xlfn.IFS((P245&gt;N245),(N245*2),(P245&lt;=N245),(P245*2))</f>
        <v>0</v>
      </c>
      <c r="R245" s="22"/>
      <c r="S245" s="26">
        <f>IFERROR(VLOOKUP(T245,Apoio!A:B,2,0),"")</f>
        <v>1</v>
      </c>
      <c r="T245" s="22">
        <f>IFERROR(VLOOKUP(C245,'[1]TB DIN'!$B:$H,4,0),"AGUARDANDO ANEXO")</f>
        <v>13</v>
      </c>
      <c r="U245" s="22">
        <f>IFERROR(VLOOKUP(C245,'[1]TB DIN INCLUIDOS'!$B:$H,4,0),"AGUARDANDO ANEXO")</f>
        <v>0</v>
      </c>
      <c r="V245" s="26" cm="1">
        <f t="array" ref="V245">_xlfn.IFS((U245&gt;S245),(S245*2),(U245&lt;=S245),(U245*2))</f>
        <v>0</v>
      </c>
      <c r="W245" s="22"/>
      <c r="X245" s="26">
        <f>IFERROR(VLOOKUP(Y245,Apoio!A:B,2,0),"")</f>
        <v>3</v>
      </c>
      <c r="Y245" s="22">
        <v>73</v>
      </c>
      <c r="Z245" s="22">
        <f>IFERROR(VLOOKUP(C245,'[1]TB DIN INCLUIDOS'!$B:$H,5,0),"AGUARDANDO ANEXO")</f>
        <v>2</v>
      </c>
      <c r="AA245" s="26" cm="1">
        <f t="array" ref="AA245">_xlfn.IFS((Z245&gt;X245),(X245*2),(Z245&lt;=X245),(Z245*2))</f>
        <v>4</v>
      </c>
      <c r="AB245" s="22"/>
      <c r="AC245" s="26">
        <f>IFERROR(VLOOKUP(AD245,Apoio!A:B,2,0),"")</f>
        <v>4</v>
      </c>
      <c r="AD245" s="22">
        <v>92</v>
      </c>
      <c r="AE245" s="22">
        <f>IFERROR(VLOOKUP(C245,'[1]TB DIN INCLUIDOS'!$B:$H,6,0),"AGUARDANDO ANEXO")</f>
        <v>3</v>
      </c>
      <c r="AF245" s="26" cm="1">
        <f t="array" ref="AF245">_xlfn.IFS((AE245&gt;AC245),(AC245*2),(AE245&lt;=AC245),(AE245*2))</f>
        <v>6</v>
      </c>
      <c r="AG245" s="22"/>
      <c r="AH245" s="28">
        <f t="shared" si="21"/>
        <v>178</v>
      </c>
      <c r="AI245" s="28">
        <f t="shared" si="22"/>
        <v>5</v>
      </c>
      <c r="AJ245" s="28">
        <f t="shared" si="23"/>
        <v>10</v>
      </c>
      <c r="AK245" s="28">
        <f t="shared" si="24"/>
        <v>0</v>
      </c>
      <c r="AL245" s="28">
        <f t="shared" si="25"/>
        <v>-8</v>
      </c>
      <c r="AM245" s="23" t="s">
        <v>1849</v>
      </c>
      <c r="AN245" s="37">
        <f>VLOOKUP(C245,'[2]MARÇO-2024'!$B:$M,12,0)</f>
        <v>179</v>
      </c>
      <c r="AO245" s="37">
        <f t="shared" si="26"/>
        <v>1</v>
      </c>
      <c r="AP245" s="37" t="str">
        <f t="shared" si="27"/>
        <v/>
      </c>
    </row>
    <row r="246" spans="1:42" ht="13.5" customHeight="1" x14ac:dyDescent="0.25">
      <c r="A246" s="17">
        <v>9</v>
      </c>
      <c r="B246" s="17">
        <v>14</v>
      </c>
      <c r="C246" s="29">
        <v>9018</v>
      </c>
      <c r="D246" s="38">
        <v>33195250</v>
      </c>
      <c r="E246" s="18" t="s">
        <v>522</v>
      </c>
      <c r="F246" s="68" t="s">
        <v>784</v>
      </c>
      <c r="G246" s="62" t="s">
        <v>286</v>
      </c>
      <c r="H246" s="19" t="s">
        <v>52</v>
      </c>
      <c r="I246" s="19" t="s">
        <v>52</v>
      </c>
      <c r="J246" s="19" t="s">
        <v>1457</v>
      </c>
      <c r="K246" s="20" t="s">
        <v>1624</v>
      </c>
      <c r="L246" s="21">
        <v>126</v>
      </c>
      <c r="M246" s="21"/>
      <c r="N246" s="26" t="str">
        <f>IFERROR(VLOOKUP(O246,Apoio!A:B,2,0),"")</f>
        <v/>
      </c>
      <c r="O246" s="22">
        <f>IFERROR(VLOOKUP(C246,'[1]TB DIN'!$B:$D,3,0),"AGUARDANDO ANEXO")</f>
        <v>0</v>
      </c>
      <c r="P246" s="22">
        <f>IFERROR(VLOOKUP(C246,'[1]TB DIN INCLUIDOS'!$B:$H,3,0),"AGUARDANDO ANEXO")</f>
        <v>0</v>
      </c>
      <c r="Q246" s="26" cm="1">
        <f t="array" ref="Q246">_xlfn.IFS((P246&gt;N246),(N246*2),(P246&lt;=N246),(P246*2))</f>
        <v>0</v>
      </c>
      <c r="R246" s="22"/>
      <c r="S246" s="26">
        <f>IFERROR(VLOOKUP(T246,Apoio!A:B,2,0),"")</f>
        <v>2</v>
      </c>
      <c r="T246" s="22">
        <f>IFERROR(VLOOKUP(C246,'[1]TB DIN'!$B:$H,4,0),"AGUARDANDO ANEXO")</f>
        <v>40</v>
      </c>
      <c r="U246" s="22">
        <f>IFERROR(VLOOKUP(C246,'[1]TB DIN INCLUIDOS'!$B:$H,4,0),"AGUARDANDO ANEXO")</f>
        <v>1</v>
      </c>
      <c r="V246" s="26" cm="1">
        <f t="array" ref="V246">_xlfn.IFS((U246&gt;S246),(S246*2),(U246&lt;=S246),(U246*2))</f>
        <v>2</v>
      </c>
      <c r="W246" s="22"/>
      <c r="X246" s="26">
        <f>IFERROR(VLOOKUP(Y246,Apoio!A:B,2,0),"")</f>
        <v>1</v>
      </c>
      <c r="Y246" s="22">
        <f>IFERROR(VLOOKUP(C246,'[1]TB DIN'!$B:$H,5,0),"AGUARDANDO ANEXO")</f>
        <v>25</v>
      </c>
      <c r="Z246" s="22">
        <f>IFERROR(VLOOKUP(C246,'[1]TB DIN INCLUIDOS'!$B:$H,5,0),"AGUARDANDO ANEXO")</f>
        <v>0</v>
      </c>
      <c r="AA246" s="26" cm="1">
        <f t="array" ref="AA246">_xlfn.IFS((Z246&gt;X246),(X246*2),(Z246&lt;=X246),(Z246*2))</f>
        <v>0</v>
      </c>
      <c r="AB246" s="22"/>
      <c r="AC246" s="26">
        <f>IFERROR(VLOOKUP(AD246,Apoio!A:B,2,0),"")</f>
        <v>3</v>
      </c>
      <c r="AD246" s="22">
        <f>IFERROR(VLOOKUP(C246,'[1]TB DIN'!$B:$H,6,0),"AGUARDANDO ANEXO")</f>
        <v>59</v>
      </c>
      <c r="AE246" s="22">
        <f>IFERROR(VLOOKUP(C246,'[1]TB DIN INCLUIDOS'!$B:$H,6,0),"AGUARDANDO ANEXO")</f>
        <v>0</v>
      </c>
      <c r="AF246" s="26" cm="1">
        <f t="array" ref="AF246">_xlfn.IFS((AE246&gt;AC246),(AC246*2),(AE246&lt;=AC246),(AE246*2))</f>
        <v>0</v>
      </c>
      <c r="AG246" s="22"/>
      <c r="AH246" s="28">
        <f t="shared" si="21"/>
        <v>124</v>
      </c>
      <c r="AI246" s="28">
        <f t="shared" si="22"/>
        <v>1</v>
      </c>
      <c r="AJ246" s="28">
        <f t="shared" si="23"/>
        <v>2</v>
      </c>
      <c r="AK246" s="28">
        <f t="shared" si="24"/>
        <v>0</v>
      </c>
      <c r="AL246" s="28">
        <f t="shared" si="25"/>
        <v>0</v>
      </c>
      <c r="AM246" s="23" t="s">
        <v>1707</v>
      </c>
      <c r="AN246" s="37">
        <f>VLOOKUP(C246,'[2]MARÇO-2024'!$B:$M,12,0)</f>
        <v>125</v>
      </c>
      <c r="AO246" s="37">
        <f t="shared" si="26"/>
        <v>1</v>
      </c>
      <c r="AP246" s="37" t="str">
        <f t="shared" si="27"/>
        <v/>
      </c>
    </row>
    <row r="247" spans="1:42" ht="13.5" customHeight="1" x14ac:dyDescent="0.25">
      <c r="A247" s="17">
        <v>9</v>
      </c>
      <c r="B247" s="17">
        <v>15</v>
      </c>
      <c r="C247" s="29">
        <v>9019</v>
      </c>
      <c r="D247" s="38">
        <v>33195145</v>
      </c>
      <c r="E247" s="18" t="s">
        <v>523</v>
      </c>
      <c r="F247" s="68" t="s">
        <v>785</v>
      </c>
      <c r="G247" s="62" t="s">
        <v>287</v>
      </c>
      <c r="H247" s="19" t="s">
        <v>74</v>
      </c>
      <c r="I247" s="19" t="s">
        <v>53</v>
      </c>
      <c r="J247" s="19" t="s">
        <v>1458</v>
      </c>
      <c r="K247" s="20" t="s">
        <v>1624</v>
      </c>
      <c r="L247" s="21">
        <v>102</v>
      </c>
      <c r="M247" s="21"/>
      <c r="N247" s="26" t="str">
        <f>IFERROR(VLOOKUP(O247,Apoio!A:B,2,0),"")</f>
        <v/>
      </c>
      <c r="O247" s="22">
        <f>IFERROR(VLOOKUP(C247,'[1]TB DIN'!$B:$D,3,0),"AGUARDANDO ANEXO")</f>
        <v>0</v>
      </c>
      <c r="P247" s="22">
        <f>IFERROR(VLOOKUP(C247,'[1]TB DIN INCLUIDOS'!$B:$H,3,0),"AGUARDANDO ANEXO")</f>
        <v>0</v>
      </c>
      <c r="Q247" s="26" cm="1">
        <f t="array" ref="Q247">_xlfn.IFS((P247&gt;N247),(N247*2),(P247&lt;=N247),(P247*2))</f>
        <v>0</v>
      </c>
      <c r="R247" s="22"/>
      <c r="S247" s="26">
        <f>IFERROR(VLOOKUP(T247,Apoio!A:B,2,0),"")</f>
        <v>1</v>
      </c>
      <c r="T247" s="22">
        <v>24</v>
      </c>
      <c r="U247" s="22">
        <f>IFERROR(VLOOKUP(C247,'[1]TB DIN INCLUIDOS'!$B:$H,4,0),"AGUARDANDO ANEXO")</f>
        <v>0</v>
      </c>
      <c r="V247" s="26" cm="1">
        <f t="array" ref="V247">_xlfn.IFS((U247&gt;S247),(S247*2),(U247&lt;=S247),(U247*2))</f>
        <v>0</v>
      </c>
      <c r="W247" s="22"/>
      <c r="X247" s="26">
        <f>IFERROR(VLOOKUP(Y247,Apoio!A:B,2,0),"")</f>
        <v>2</v>
      </c>
      <c r="Y247" s="22">
        <v>32</v>
      </c>
      <c r="Z247" s="22">
        <f>IFERROR(VLOOKUP(C247,'[1]TB DIN INCLUIDOS'!$B:$H,5,0),"AGUARDANDO ANEXO")</f>
        <v>0</v>
      </c>
      <c r="AA247" s="26" cm="1">
        <f t="array" ref="AA247">_xlfn.IFS((Z247&gt;X247),(X247*2),(Z247&lt;=X247),(Z247*2))</f>
        <v>0</v>
      </c>
      <c r="AB247" s="22"/>
      <c r="AC247" s="26">
        <f>IFERROR(VLOOKUP(AD247,Apoio!A:B,2,0),"")</f>
        <v>2</v>
      </c>
      <c r="AD247" s="22">
        <v>36</v>
      </c>
      <c r="AE247" s="22">
        <v>1</v>
      </c>
      <c r="AF247" s="26" cm="1">
        <f t="array" ref="AF247">_xlfn.IFS((AE247&gt;AC247),(AC247*2),(AE247&lt;=AC247),(AE247*2))</f>
        <v>2</v>
      </c>
      <c r="AG247" s="22"/>
      <c r="AH247" s="28">
        <f t="shared" si="21"/>
        <v>92</v>
      </c>
      <c r="AI247" s="28">
        <f t="shared" si="22"/>
        <v>1</v>
      </c>
      <c r="AJ247" s="28">
        <f t="shared" si="23"/>
        <v>2</v>
      </c>
      <c r="AK247" s="28">
        <f t="shared" si="24"/>
        <v>8</v>
      </c>
      <c r="AL247" s="28">
        <f t="shared" si="25"/>
        <v>0</v>
      </c>
      <c r="AM247" s="23" t="s">
        <v>1707</v>
      </c>
      <c r="AN247" s="37">
        <f>VLOOKUP(C247,'[2]MARÇO-2024'!$B:$M,12,0)</f>
        <v>101</v>
      </c>
      <c r="AO247" s="37">
        <f t="shared" si="26"/>
        <v>9</v>
      </c>
      <c r="AP247" s="37" t="str">
        <f t="shared" si="27"/>
        <v/>
      </c>
    </row>
    <row r="248" spans="1:42" ht="13.5" customHeight="1" x14ac:dyDescent="0.25">
      <c r="A248" s="17">
        <v>9</v>
      </c>
      <c r="B248" s="17">
        <v>16</v>
      </c>
      <c r="C248" s="29">
        <v>9020</v>
      </c>
      <c r="D248" s="38">
        <v>33195234</v>
      </c>
      <c r="E248" s="18" t="s">
        <v>523</v>
      </c>
      <c r="F248" s="68" t="s">
        <v>786</v>
      </c>
      <c r="G248" s="62" t="s">
        <v>288</v>
      </c>
      <c r="H248" s="19" t="s">
        <v>75</v>
      </c>
      <c r="I248" s="19" t="s">
        <v>53</v>
      </c>
      <c r="J248" s="19" t="s">
        <v>1459</v>
      </c>
      <c r="K248" s="20" t="s">
        <v>1622</v>
      </c>
      <c r="L248" s="21">
        <v>102</v>
      </c>
      <c r="M248" s="21"/>
      <c r="N248" s="26" t="str">
        <f>IFERROR(VLOOKUP(O248,Apoio!A:B,2,0),"")</f>
        <v/>
      </c>
      <c r="O248" s="22">
        <f>IFERROR(VLOOKUP(C248,'[1]TB DIN'!$B:$D,3,0),"AGUARDANDO ANEXO")</f>
        <v>0</v>
      </c>
      <c r="P248" s="22">
        <f>IFERROR(VLOOKUP(C248,'[1]TB DIN INCLUIDOS'!$B:$H,3,0),"AGUARDANDO ANEXO")</f>
        <v>0</v>
      </c>
      <c r="Q248" s="26" cm="1">
        <f t="array" ref="Q248">_xlfn.IFS((P248&gt;N248),(N248*2),(P248&lt;=N248),(P248*2))</f>
        <v>0</v>
      </c>
      <c r="R248" s="22"/>
      <c r="S248" s="26">
        <f>IFERROR(VLOOKUP(T248,Apoio!A:B,2,0),"")</f>
        <v>1</v>
      </c>
      <c r="T248" s="22">
        <f>IFERROR(VLOOKUP(C248,'[1]TB DIN'!$B:$H,4,0),"AGUARDANDO ANEXO")</f>
        <v>24</v>
      </c>
      <c r="U248" s="22">
        <f>IFERROR(VLOOKUP(C248,'[1]TB DIN INCLUIDOS'!$B:$H,4,0),"AGUARDANDO ANEXO")</f>
        <v>0</v>
      </c>
      <c r="V248" s="26" cm="1">
        <f t="array" ref="V248">_xlfn.IFS((U248&gt;S248),(S248*2),(U248&lt;=S248),(U248*2))</f>
        <v>0</v>
      </c>
      <c r="W248" s="22"/>
      <c r="X248" s="26">
        <f>IFERROR(VLOOKUP(Y248,Apoio!A:B,2,0),"")</f>
        <v>2</v>
      </c>
      <c r="Y248" s="22">
        <v>32</v>
      </c>
      <c r="Z248" s="22">
        <f>IFERROR(VLOOKUP(C248,'[1]TB DIN INCLUIDOS'!$B:$H,5,0),"AGUARDANDO ANEXO")</f>
        <v>1</v>
      </c>
      <c r="AA248" s="26" cm="1">
        <f t="array" ref="AA248">_xlfn.IFS((Z248&gt;X248),(X248*2),(Z248&lt;=X248),(Z248*2))</f>
        <v>2</v>
      </c>
      <c r="AB248" s="22"/>
      <c r="AC248" s="26">
        <f>IFERROR(VLOOKUP(AD248,Apoio!A:B,2,0),"")</f>
        <v>2</v>
      </c>
      <c r="AD248" s="22">
        <f>IFERROR(VLOOKUP(C248,'[1]TB DIN'!$B:$H,6,0),"AGUARDANDO ANEXO")</f>
        <v>45</v>
      </c>
      <c r="AE248" s="22">
        <v>3</v>
      </c>
      <c r="AF248" s="26" cm="1">
        <f t="array" ref="AF248">_xlfn.IFS((AE248&gt;AC248),(AC248*2),(AE248&lt;=AC248),(AE248*2))</f>
        <v>4</v>
      </c>
      <c r="AG248" s="22"/>
      <c r="AH248" s="28">
        <f t="shared" si="21"/>
        <v>101</v>
      </c>
      <c r="AI248" s="28">
        <f t="shared" si="22"/>
        <v>4</v>
      </c>
      <c r="AJ248" s="28">
        <f t="shared" si="23"/>
        <v>6</v>
      </c>
      <c r="AK248" s="28">
        <f t="shared" si="24"/>
        <v>0</v>
      </c>
      <c r="AL248" s="28">
        <f t="shared" si="25"/>
        <v>-5</v>
      </c>
      <c r="AM248" s="23" t="s">
        <v>1707</v>
      </c>
      <c r="AN248" s="37">
        <f>VLOOKUP(C248,'[2]MARÇO-2024'!$B:$M,12,0)</f>
        <v>102</v>
      </c>
      <c r="AO248" s="37">
        <f t="shared" si="26"/>
        <v>1</v>
      </c>
      <c r="AP248" s="37" t="str">
        <f t="shared" si="27"/>
        <v/>
      </c>
    </row>
    <row r="249" spans="1:42" ht="13.5" customHeight="1" x14ac:dyDescent="0.25">
      <c r="A249" s="17">
        <v>9</v>
      </c>
      <c r="B249" s="17">
        <v>17</v>
      </c>
      <c r="C249" s="29">
        <v>9021</v>
      </c>
      <c r="D249" s="38">
        <v>33195129</v>
      </c>
      <c r="E249" s="18" t="s">
        <v>524</v>
      </c>
      <c r="F249" s="68" t="s">
        <v>787</v>
      </c>
      <c r="G249" s="64" t="s">
        <v>289</v>
      </c>
      <c r="H249" s="19" t="s">
        <v>54</v>
      </c>
      <c r="I249" s="19" t="s">
        <v>54</v>
      </c>
      <c r="J249" s="19" t="s">
        <v>1460</v>
      </c>
      <c r="K249" s="20" t="s">
        <v>1625</v>
      </c>
      <c r="L249" s="21">
        <v>242</v>
      </c>
      <c r="M249" s="21"/>
      <c r="N249" s="26" t="str">
        <f>IFERROR(VLOOKUP(O249,Apoio!A:B,2,0),"")</f>
        <v/>
      </c>
      <c r="O249" s="22">
        <f>IFERROR(VLOOKUP(C249,'[1]TB DIN'!$B:$D,3,0),"AGUARDANDO ANEXO")</f>
        <v>0</v>
      </c>
      <c r="P249" s="22">
        <f>IFERROR(VLOOKUP(C249,'[1]TB DIN INCLUIDOS'!$B:$H,3,0),"AGUARDANDO ANEXO")</f>
        <v>0</v>
      </c>
      <c r="Q249" s="26" cm="1">
        <f t="array" ref="Q249">_xlfn.IFS((P249&gt;N249),(N249*2),(P249&lt;=N249),(P249*2))</f>
        <v>0</v>
      </c>
      <c r="R249" s="22"/>
      <c r="S249" s="26">
        <f>IFERROR(VLOOKUP(T249,Apoio!A:B,2,0),"")</f>
        <v>3</v>
      </c>
      <c r="T249" s="22">
        <v>65</v>
      </c>
      <c r="U249" s="22">
        <f>IFERROR(VLOOKUP(C249,'[1]TB DIN INCLUIDOS'!$B:$H,4,0),"AGUARDANDO ANEXO")</f>
        <v>0</v>
      </c>
      <c r="V249" s="26" cm="1">
        <f t="array" ref="V249">_xlfn.IFS((U249&gt;S249),(S249*2),(U249&lt;=S249),(U249*2))</f>
        <v>0</v>
      </c>
      <c r="W249" s="22"/>
      <c r="X249" s="26">
        <f>IFERROR(VLOOKUP(Y249,Apoio!A:B,2,0),"")</f>
        <v>3</v>
      </c>
      <c r="Y249" s="22">
        <v>62</v>
      </c>
      <c r="Z249" s="22">
        <v>2</v>
      </c>
      <c r="AA249" s="26" cm="1">
        <f t="array" ref="AA249">_xlfn.IFS((Z249&gt;X249),(X249*2),(Z249&lt;=X249),(Z249*2))</f>
        <v>4</v>
      </c>
      <c r="AB249" s="22"/>
      <c r="AC249" s="26">
        <f>IFERROR(VLOOKUP(AD249,Apoio!A:B,2,0),"")</f>
        <v>5</v>
      </c>
      <c r="AD249" s="22">
        <v>101</v>
      </c>
      <c r="AE249" s="22">
        <v>5</v>
      </c>
      <c r="AF249" s="26" cm="1">
        <f t="array" ref="AF249">_xlfn.IFS((AE249&gt;AC249),(AC249*2),(AE249&lt;=AC249),(AE249*2))</f>
        <v>10</v>
      </c>
      <c r="AG249" s="22"/>
      <c r="AH249" s="48">
        <f t="shared" si="21"/>
        <v>228</v>
      </c>
      <c r="AI249" s="48">
        <f t="shared" si="22"/>
        <v>7</v>
      </c>
      <c r="AJ249" s="48">
        <f t="shared" si="23"/>
        <v>14</v>
      </c>
      <c r="AK249" s="48">
        <f t="shared" si="24"/>
        <v>0</v>
      </c>
      <c r="AL249" s="48">
        <f t="shared" si="25"/>
        <v>0</v>
      </c>
      <c r="AM249" s="23" t="s">
        <v>1707</v>
      </c>
      <c r="AN249" s="49">
        <f>VLOOKUP(C249,'[2]MARÇO-2024'!$B:$M,12,0)</f>
        <v>226</v>
      </c>
      <c r="AO249" s="49">
        <f t="shared" si="26"/>
        <v>-2</v>
      </c>
      <c r="AP249" s="49" t="str">
        <f t="shared" si="27"/>
        <v/>
      </c>
    </row>
    <row r="250" spans="1:42" ht="13.5" customHeight="1" x14ac:dyDescent="0.25">
      <c r="A250" s="17">
        <v>9</v>
      </c>
      <c r="B250" s="17">
        <v>18</v>
      </c>
      <c r="C250" s="29">
        <v>9022</v>
      </c>
      <c r="D250" s="38">
        <v>33195242</v>
      </c>
      <c r="E250" s="18" t="s">
        <v>525</v>
      </c>
      <c r="F250" s="68" t="s">
        <v>788</v>
      </c>
      <c r="G250" s="62" t="s">
        <v>290</v>
      </c>
      <c r="H250" s="19" t="s">
        <v>55</v>
      </c>
      <c r="I250" s="19" t="s">
        <v>55</v>
      </c>
      <c r="J250" s="19" t="s">
        <v>1461</v>
      </c>
      <c r="K250" s="20" t="s">
        <v>1625</v>
      </c>
      <c r="L250" s="21">
        <v>110</v>
      </c>
      <c r="M250" s="21"/>
      <c r="N250" s="26" t="str">
        <f>IFERROR(VLOOKUP(O250,Apoio!A:B,2,0),"")</f>
        <v/>
      </c>
      <c r="O250" s="22">
        <f>IFERROR(VLOOKUP(C250,'[1]TB DIN'!$B:$D,3,0),"AGUARDANDO ANEXO")</f>
        <v>0</v>
      </c>
      <c r="P250" s="22">
        <f>IFERROR(VLOOKUP(C250,'[1]TB DIN INCLUIDOS'!$B:$H,3,0),"AGUARDANDO ANEXO")</f>
        <v>0</v>
      </c>
      <c r="Q250" s="26" cm="1">
        <f t="array" ref="Q250">_xlfn.IFS((P250&gt;N250),(N250*2),(P250&lt;=N250),(P250*2))</f>
        <v>0</v>
      </c>
      <c r="R250" s="22"/>
      <c r="S250" s="26">
        <f>IFERROR(VLOOKUP(T250,Apoio!A:B,2,0),"")</f>
        <v>2</v>
      </c>
      <c r="T250" s="22">
        <f>IFERROR(VLOOKUP(C250,'[1]TB DIN'!$B:$H,4,0),"AGUARDANDO ANEXO")</f>
        <v>36</v>
      </c>
      <c r="U250" s="22">
        <f>IFERROR(VLOOKUP(C250,'[1]TB DIN INCLUIDOS'!$B:$H,4,0),"AGUARDANDO ANEXO")</f>
        <v>0</v>
      </c>
      <c r="V250" s="26" cm="1">
        <f t="array" ref="V250">_xlfn.IFS((U250&gt;S250),(S250*2),(U250&lt;=S250),(U250*2))</f>
        <v>0</v>
      </c>
      <c r="W250" s="22"/>
      <c r="X250" s="26">
        <f>IFERROR(VLOOKUP(Y250,Apoio!A:B,2,0),"")</f>
        <v>1</v>
      </c>
      <c r="Y250" s="22">
        <f>IFERROR(VLOOKUP(C250,'[1]TB DIN'!$B:$H,5,0),"AGUARDANDO ANEXO")</f>
        <v>23</v>
      </c>
      <c r="Z250" s="22">
        <f>IFERROR(VLOOKUP(C250,'[1]TB DIN INCLUIDOS'!$B:$H,5,0),"AGUARDANDO ANEXO")</f>
        <v>1</v>
      </c>
      <c r="AA250" s="26" cm="1">
        <f t="array" ref="AA250">_xlfn.IFS((Z250&gt;X250),(X250*2),(Z250&lt;=X250),(Z250*2))</f>
        <v>2</v>
      </c>
      <c r="AB250" s="22"/>
      <c r="AC250" s="26">
        <f>IFERROR(VLOOKUP(AD250,Apoio!A:B,2,0),"")</f>
        <v>2</v>
      </c>
      <c r="AD250" s="22">
        <f>IFERROR(VLOOKUP(C250,'[1]TB DIN'!$B:$H,6,0),"AGUARDANDO ANEXO")</f>
        <v>47</v>
      </c>
      <c r="AE250" s="22">
        <f>IFERROR(VLOOKUP(C250,'[1]TB DIN INCLUIDOS'!$B:$H,6,0),"AGUARDANDO ANEXO")</f>
        <v>1</v>
      </c>
      <c r="AF250" s="26" cm="1">
        <f t="array" ref="AF250">_xlfn.IFS((AE250&gt;AC250),(AC250*2),(AE250&lt;=AC250),(AE250*2))</f>
        <v>2</v>
      </c>
      <c r="AG250" s="22"/>
      <c r="AH250" s="28">
        <f t="shared" si="21"/>
        <v>106</v>
      </c>
      <c r="AI250" s="28">
        <f t="shared" si="22"/>
        <v>2</v>
      </c>
      <c r="AJ250" s="28">
        <f t="shared" si="23"/>
        <v>4</v>
      </c>
      <c r="AK250" s="28">
        <f t="shared" si="24"/>
        <v>0</v>
      </c>
      <c r="AL250" s="28">
        <f t="shared" si="25"/>
        <v>0</v>
      </c>
      <c r="AM250" s="23" t="s">
        <v>1707</v>
      </c>
      <c r="AN250" s="37">
        <f>VLOOKUP(C250,'[2]MARÇO-2024'!$B:$M,12,0)</f>
        <v>106</v>
      </c>
      <c r="AO250" s="37">
        <f t="shared" si="26"/>
        <v>0</v>
      </c>
      <c r="AP250" s="37" t="str">
        <f t="shared" si="27"/>
        <v/>
      </c>
    </row>
    <row r="251" spans="1:42" ht="13.5" customHeight="1" x14ac:dyDescent="0.25">
      <c r="A251" s="17">
        <v>9</v>
      </c>
      <c r="B251" s="17">
        <v>19</v>
      </c>
      <c r="C251" s="29">
        <v>9023</v>
      </c>
      <c r="D251" s="38">
        <v>33195137</v>
      </c>
      <c r="E251" s="18">
        <v>46908357000173</v>
      </c>
      <c r="F251" s="68">
        <v>91161</v>
      </c>
      <c r="G251" s="62" t="s">
        <v>291</v>
      </c>
      <c r="H251" s="19" t="s">
        <v>56</v>
      </c>
      <c r="I251" s="19" t="s">
        <v>56</v>
      </c>
      <c r="J251" s="19" t="s">
        <v>1462</v>
      </c>
      <c r="K251" s="20" t="s">
        <v>1624</v>
      </c>
      <c r="L251" s="21">
        <v>70</v>
      </c>
      <c r="M251" s="21"/>
      <c r="N251" s="26" t="str">
        <f>IFERROR(VLOOKUP(O251,Apoio!A:B,2,0),"")</f>
        <v/>
      </c>
      <c r="O251" s="22">
        <f>IFERROR(VLOOKUP(C251,'[1]TB DIN'!$B:$D,3,0),"AGUARDANDO ANEXO")</f>
        <v>0</v>
      </c>
      <c r="P251" s="22">
        <f>IFERROR(VLOOKUP(C251,'[1]TB DIN INCLUIDOS'!$B:$H,3,0),"AGUARDANDO ANEXO")</f>
        <v>0</v>
      </c>
      <c r="Q251" s="26" cm="1">
        <f t="array" ref="Q251">_xlfn.IFS((P251&gt;N251),(N251*2),(P251&lt;=N251),(P251*2))</f>
        <v>0</v>
      </c>
      <c r="R251" s="22"/>
      <c r="S251" s="26">
        <f>IFERROR(VLOOKUP(T251,Apoio!A:B,2,0),"")</f>
        <v>1</v>
      </c>
      <c r="T251" s="22">
        <f>IFERROR(VLOOKUP(C251,'[1]TB DIN'!$B:$H,4,0),"AGUARDANDO ANEXO")</f>
        <v>20</v>
      </c>
      <c r="U251" s="22">
        <f>IFERROR(VLOOKUP(C251,'[1]TB DIN INCLUIDOS'!$B:$H,4,0),"AGUARDANDO ANEXO")</f>
        <v>0</v>
      </c>
      <c r="V251" s="26" cm="1">
        <f t="array" ref="V251">_xlfn.IFS((U251&gt;S251),(S251*2),(U251&lt;=S251),(U251*2))</f>
        <v>0</v>
      </c>
      <c r="W251" s="22"/>
      <c r="X251" s="26">
        <f>IFERROR(VLOOKUP(Y251,Apoio!A:B,2,0),"")</f>
        <v>1</v>
      </c>
      <c r="Y251" s="22">
        <f>IFERROR(VLOOKUP(C251,'[1]TB DIN'!$B:$H,5,0),"AGUARDANDO ANEXO")</f>
        <v>18</v>
      </c>
      <c r="Z251" s="22">
        <f>IFERROR(VLOOKUP(C251,'[1]TB DIN INCLUIDOS'!$B:$H,5,0),"AGUARDANDO ANEXO")</f>
        <v>1</v>
      </c>
      <c r="AA251" s="26" cm="1">
        <f t="array" ref="AA251">_xlfn.IFS((Z251&gt;X251),(X251*2),(Z251&lt;=X251),(Z251*2))</f>
        <v>2</v>
      </c>
      <c r="AB251" s="22"/>
      <c r="AC251" s="26">
        <f>IFERROR(VLOOKUP(AD251,Apoio!A:B,2,0),"")</f>
        <v>2</v>
      </c>
      <c r="AD251" s="22">
        <v>29</v>
      </c>
      <c r="AE251" s="22">
        <f>IFERROR(VLOOKUP(C251,'[1]TB DIN INCLUIDOS'!$B:$H,6,0),"AGUARDANDO ANEXO")</f>
        <v>1</v>
      </c>
      <c r="AF251" s="26" cm="1">
        <f t="array" ref="AF251">_xlfn.IFS((AE251&gt;AC251),(AC251*2),(AE251&lt;=AC251),(AE251*2))</f>
        <v>2</v>
      </c>
      <c r="AG251" s="22"/>
      <c r="AH251" s="28">
        <f t="shared" si="21"/>
        <v>67</v>
      </c>
      <c r="AI251" s="28">
        <f t="shared" si="22"/>
        <v>2</v>
      </c>
      <c r="AJ251" s="28">
        <f t="shared" si="23"/>
        <v>4</v>
      </c>
      <c r="AK251" s="28">
        <f t="shared" si="24"/>
        <v>0</v>
      </c>
      <c r="AL251" s="28">
        <f t="shared" si="25"/>
        <v>-1</v>
      </c>
      <c r="AM251" s="23" t="s">
        <v>1707</v>
      </c>
      <c r="AN251" s="37">
        <f>VLOOKUP(C251,'[2]MARÇO-2024'!$B:$M,12,0)</f>
        <v>70</v>
      </c>
      <c r="AO251" s="37">
        <f t="shared" si="26"/>
        <v>3</v>
      </c>
      <c r="AP251" s="37" t="str">
        <f t="shared" si="27"/>
        <v/>
      </c>
    </row>
    <row r="252" spans="1:42" ht="13.5" customHeight="1" x14ac:dyDescent="0.25">
      <c r="A252" s="17">
        <v>9</v>
      </c>
      <c r="B252" s="17">
        <v>20</v>
      </c>
      <c r="C252" s="29">
        <v>9024</v>
      </c>
      <c r="D252" s="38">
        <v>33195110</v>
      </c>
      <c r="E252" s="18" t="s">
        <v>526</v>
      </c>
      <c r="F252" s="68" t="s">
        <v>789</v>
      </c>
      <c r="G252" s="62" t="s">
        <v>292</v>
      </c>
      <c r="H252" s="19" t="s">
        <v>57</v>
      </c>
      <c r="I252" s="19" t="s">
        <v>57</v>
      </c>
      <c r="J252" s="19" t="s">
        <v>1463</v>
      </c>
      <c r="K252" s="20" t="s">
        <v>1625</v>
      </c>
      <c r="L252" s="21">
        <v>86</v>
      </c>
      <c r="M252" s="21"/>
      <c r="N252" s="26" t="str">
        <f>IFERROR(VLOOKUP(O252,Apoio!A:B,2,0),"")</f>
        <v/>
      </c>
      <c r="O252" s="22">
        <f>IFERROR(VLOOKUP(C252,'[1]TB DIN'!$B:$D,3,0),"AGUARDANDO ANEXO")</f>
        <v>0</v>
      </c>
      <c r="P252" s="22">
        <f>IFERROR(VLOOKUP(C252,'[1]TB DIN INCLUIDOS'!$B:$H,3,0),"AGUARDANDO ANEXO")</f>
        <v>0</v>
      </c>
      <c r="Q252" s="26" cm="1">
        <f t="array" ref="Q252">_xlfn.IFS((P252&gt;N252),(N252*2),(P252&lt;=N252),(P252*2))</f>
        <v>0</v>
      </c>
      <c r="R252" s="22"/>
      <c r="S252" s="26">
        <f>IFERROR(VLOOKUP(T252,Apoio!A:B,2,0),"")</f>
        <v>1</v>
      </c>
      <c r="T252" s="22">
        <f>IFERROR(VLOOKUP(C252,'[1]TB DIN'!$B:$H,4,0),"AGUARDANDO ANEXO")</f>
        <v>24</v>
      </c>
      <c r="U252" s="22">
        <f>IFERROR(VLOOKUP(C252,'[1]TB DIN INCLUIDOS'!$B:$H,4,0),"AGUARDANDO ANEXO")</f>
        <v>0</v>
      </c>
      <c r="V252" s="26" cm="1">
        <f t="array" ref="V252">_xlfn.IFS((U252&gt;S252),(S252*2),(U252&lt;=S252),(U252*2))</f>
        <v>0</v>
      </c>
      <c r="W252" s="22"/>
      <c r="X252" s="26">
        <f>IFERROR(VLOOKUP(Y252,Apoio!A:B,2,0),"")</f>
        <v>1</v>
      </c>
      <c r="Y252" s="22">
        <f>IFERROR(VLOOKUP(C252,'[1]TB DIN'!$B:$H,5,0),"AGUARDANDO ANEXO")</f>
        <v>24</v>
      </c>
      <c r="Z252" s="22">
        <f>IFERROR(VLOOKUP(C252,'[1]TB DIN INCLUIDOS'!$B:$H,5,0),"AGUARDANDO ANEXO")</f>
        <v>0</v>
      </c>
      <c r="AA252" s="26" cm="1">
        <f t="array" ref="AA252">_xlfn.IFS((Z252&gt;X252),(X252*2),(Z252&lt;=X252),(Z252*2))</f>
        <v>0</v>
      </c>
      <c r="AB252" s="22"/>
      <c r="AC252" s="26">
        <f>IFERROR(VLOOKUP(AD252,Apoio!A:B,2,0),"")</f>
        <v>2</v>
      </c>
      <c r="AD252" s="22">
        <v>36</v>
      </c>
      <c r="AE252" s="22">
        <f>IFERROR(VLOOKUP(C252,'[1]TB DIN INCLUIDOS'!$B:$H,6,0),"AGUARDANDO ANEXO")</f>
        <v>1</v>
      </c>
      <c r="AF252" s="26" cm="1">
        <f t="array" ref="AF252">_xlfn.IFS((AE252&gt;AC252),(AC252*2),(AE252&lt;=AC252),(AE252*2))</f>
        <v>2</v>
      </c>
      <c r="AG252" s="22"/>
      <c r="AH252" s="28">
        <f t="shared" si="21"/>
        <v>84</v>
      </c>
      <c r="AI252" s="28">
        <f t="shared" si="22"/>
        <v>1</v>
      </c>
      <c r="AJ252" s="28">
        <f t="shared" si="23"/>
        <v>2</v>
      </c>
      <c r="AK252" s="28">
        <f t="shared" si="24"/>
        <v>0</v>
      </c>
      <c r="AL252" s="28">
        <f t="shared" si="25"/>
        <v>0</v>
      </c>
      <c r="AM252" s="23" t="s">
        <v>1707</v>
      </c>
      <c r="AN252" s="37">
        <f>VLOOKUP(C252,'[2]MARÇO-2024'!$B:$M,12,0)</f>
        <v>82</v>
      </c>
      <c r="AO252" s="37">
        <f t="shared" si="26"/>
        <v>-2</v>
      </c>
      <c r="AP252" s="37" t="str">
        <f t="shared" si="27"/>
        <v/>
      </c>
    </row>
    <row r="253" spans="1:42" ht="13.5" customHeight="1" x14ac:dyDescent="0.25">
      <c r="A253" s="17">
        <v>9</v>
      </c>
      <c r="B253" s="17">
        <v>21</v>
      </c>
      <c r="C253" s="29">
        <v>9025</v>
      </c>
      <c r="D253" s="38">
        <v>33196974</v>
      </c>
      <c r="E253" s="18">
        <v>47276650000128</v>
      </c>
      <c r="F253" s="68">
        <v>91135</v>
      </c>
      <c r="G253" s="62" t="s">
        <v>1649</v>
      </c>
      <c r="H253" s="19" t="s">
        <v>1637</v>
      </c>
      <c r="I253" s="19" t="s">
        <v>1637</v>
      </c>
      <c r="J253" s="19" t="s">
        <v>1640</v>
      </c>
      <c r="K253" s="20" t="s">
        <v>1622</v>
      </c>
      <c r="L253" s="21">
        <v>62</v>
      </c>
      <c r="M253" s="21"/>
      <c r="N253" s="26" t="str">
        <f>IFERROR(VLOOKUP(O253,Apoio!A:B,2,0),"")</f>
        <v/>
      </c>
      <c r="O253" s="22">
        <f>IFERROR(VLOOKUP(C253,'[1]TB DIN'!$B:$D,3,0),"AGUARDANDO ANEXO")</f>
        <v>0</v>
      </c>
      <c r="P253" s="22">
        <f>IFERROR(VLOOKUP(C253,'[1]TB DIN INCLUIDOS'!$B:$H,3,0),"AGUARDANDO ANEXO")</f>
        <v>0</v>
      </c>
      <c r="Q253" s="26" cm="1">
        <f t="array" ref="Q253">_xlfn.IFS((P253&gt;N253),(N253*2),(P253&lt;=N253),(P253*2))</f>
        <v>0</v>
      </c>
      <c r="R253" s="22"/>
      <c r="S253" s="26">
        <f>IFERROR(VLOOKUP(T253,Apoio!A:B,2,0),"")</f>
        <v>1</v>
      </c>
      <c r="T253" s="22">
        <f>IFERROR(VLOOKUP(C253,'[1]TB DIN'!$B:$H,4,0),"AGUARDANDO ANEXO")</f>
        <v>12</v>
      </c>
      <c r="U253" s="22">
        <f>IFERROR(VLOOKUP(C253,'[1]TB DIN INCLUIDOS'!$B:$H,4,0),"AGUARDANDO ANEXO")</f>
        <v>0</v>
      </c>
      <c r="V253" s="26" cm="1">
        <f t="array" ref="V253">_xlfn.IFS((U253&gt;S253),(S253*2),(U253&lt;=S253),(U253*2))</f>
        <v>0</v>
      </c>
      <c r="W253" s="22"/>
      <c r="X253" s="26">
        <f>IFERROR(VLOOKUP(Y253,Apoio!A:B,2,0),"")</f>
        <v>2</v>
      </c>
      <c r="Y253" s="22">
        <f>IFERROR(VLOOKUP(C253,'[1]TB DIN'!$B:$H,5,0),"AGUARDANDO ANEXO")</f>
        <v>27</v>
      </c>
      <c r="Z253" s="22">
        <f>IFERROR(VLOOKUP(C253,'[1]TB DIN INCLUIDOS'!$B:$H,5,0),"AGUARDANDO ANEXO")</f>
        <v>0</v>
      </c>
      <c r="AA253" s="26" cm="1">
        <f t="array" ref="AA253">_xlfn.IFS((Z253&gt;X253),(X253*2),(Z253&lt;=X253),(Z253*2))</f>
        <v>0</v>
      </c>
      <c r="AB253" s="22"/>
      <c r="AC253" s="26">
        <f>IFERROR(VLOOKUP(AD253,Apoio!A:B,2,0),"")</f>
        <v>1</v>
      </c>
      <c r="AD253" s="22">
        <v>22</v>
      </c>
      <c r="AE253" s="22">
        <v>1</v>
      </c>
      <c r="AF253" s="26" cm="1">
        <f t="array" ref="AF253">_xlfn.IFS((AE253&gt;AC253),(AC253*2),(AE253&lt;=AC253),(AE253*2))</f>
        <v>2</v>
      </c>
      <c r="AG253" s="22"/>
      <c r="AH253" s="28">
        <f t="shared" si="21"/>
        <v>61</v>
      </c>
      <c r="AI253" s="28">
        <f t="shared" si="22"/>
        <v>1</v>
      </c>
      <c r="AJ253" s="28">
        <f t="shared" si="23"/>
        <v>2</v>
      </c>
      <c r="AK253" s="28">
        <f t="shared" si="24"/>
        <v>0</v>
      </c>
      <c r="AL253" s="28">
        <f t="shared" si="25"/>
        <v>-1</v>
      </c>
      <c r="AM253" s="23" t="s">
        <v>1849</v>
      </c>
      <c r="AN253" s="37">
        <f>VLOOKUP(C253,'[2]MARÇO-2024'!$B:$M,12,0)</f>
        <v>62</v>
      </c>
      <c r="AO253" s="37">
        <f t="shared" si="26"/>
        <v>1</v>
      </c>
      <c r="AP253" s="37" t="str">
        <f t="shared" si="27"/>
        <v/>
      </c>
    </row>
    <row r="254" spans="1:42" ht="13.5" customHeight="1" x14ac:dyDescent="0.25">
      <c r="A254" s="17">
        <v>9</v>
      </c>
      <c r="B254" s="17">
        <v>22</v>
      </c>
      <c r="C254" s="29">
        <v>9026</v>
      </c>
      <c r="D254" s="38">
        <v>33196958</v>
      </c>
      <c r="E254" s="18">
        <v>47251569000193</v>
      </c>
      <c r="F254" s="68">
        <v>91138</v>
      </c>
      <c r="G254" s="62" t="s">
        <v>1648</v>
      </c>
      <c r="H254" s="19" t="s">
        <v>1636</v>
      </c>
      <c r="I254" s="19" t="s">
        <v>1639</v>
      </c>
      <c r="J254" s="19" t="s">
        <v>1638</v>
      </c>
      <c r="K254" s="20" t="s">
        <v>1624</v>
      </c>
      <c r="L254" s="21">
        <v>127</v>
      </c>
      <c r="M254" s="21"/>
      <c r="N254" s="26" t="str">
        <f>IFERROR(VLOOKUP(O254,Apoio!A:B,2,0),"")</f>
        <v/>
      </c>
      <c r="O254" s="22">
        <f>IFERROR(VLOOKUP(C254,'[1]TB DIN'!$B:$D,3,0),"AGUARDANDO ANEXO")</f>
        <v>0</v>
      </c>
      <c r="P254" s="22">
        <f>IFERROR(VLOOKUP(C254,'[1]TB DIN INCLUIDOS'!$B:$H,3,0),"AGUARDANDO ANEXO")</f>
        <v>0</v>
      </c>
      <c r="Q254" s="26" cm="1">
        <f t="array" ref="Q254">_xlfn.IFS((P254&gt;N254),(N254*2),(P254&lt;=N254),(P254*2))</f>
        <v>0</v>
      </c>
      <c r="R254" s="22"/>
      <c r="S254" s="26">
        <f>IFERROR(VLOOKUP(T254,Apoio!A:B,2,0),"")</f>
        <v>1</v>
      </c>
      <c r="T254" s="22">
        <f>IFERROR(VLOOKUP(C254,'[1]TB DIN'!$B:$H,4,0),"AGUARDANDO ANEXO")</f>
        <v>25</v>
      </c>
      <c r="U254" s="22">
        <f>IFERROR(VLOOKUP(C254,'[1]TB DIN INCLUIDOS'!$B:$H,4,0),"AGUARDANDO ANEXO")</f>
        <v>0</v>
      </c>
      <c r="V254" s="26" cm="1">
        <f t="array" ref="V254">_xlfn.IFS((U254&gt;S254),(S254*2),(U254&lt;=S254),(U254*2))</f>
        <v>0</v>
      </c>
      <c r="W254" s="22"/>
      <c r="X254" s="26">
        <f>IFERROR(VLOOKUP(Y254,Apoio!A:B,2,0),"")</f>
        <v>3</v>
      </c>
      <c r="Y254" s="22">
        <f>IFERROR(VLOOKUP(C254,'[1]TB DIN'!$B:$H,5,0),"AGUARDANDO ANEXO")</f>
        <v>60</v>
      </c>
      <c r="Z254" s="22">
        <f>IFERROR(VLOOKUP(C254,'[1]TB DIN INCLUIDOS'!$B:$H,5,0),"AGUARDANDO ANEXO")</f>
        <v>0</v>
      </c>
      <c r="AA254" s="26" cm="1">
        <f t="array" ref="AA254">_xlfn.IFS((Z254&gt;X254),(X254*2),(Z254&lt;=X254),(Z254*2))</f>
        <v>0</v>
      </c>
      <c r="AB254" s="22"/>
      <c r="AC254" s="26">
        <f>IFERROR(VLOOKUP(AD254,Apoio!A:B,2,0),"")</f>
        <v>2</v>
      </c>
      <c r="AD254" s="22">
        <f>IFERROR(VLOOKUP(C254,'[1]TB DIN'!$B:$H,6,0),"AGUARDANDO ANEXO")</f>
        <v>38</v>
      </c>
      <c r="AE254" s="22">
        <f>IFERROR(VLOOKUP(C254,'[1]TB DIN INCLUIDOS'!$B:$H,6,0),"AGUARDANDO ANEXO")</f>
        <v>3</v>
      </c>
      <c r="AF254" s="26" cm="1">
        <f t="array" ref="AF254">_xlfn.IFS((AE254&gt;AC254),(AC254*2),(AE254&lt;=AC254),(AE254*2))</f>
        <v>4</v>
      </c>
      <c r="AG254" s="22"/>
      <c r="AH254" s="28">
        <f t="shared" si="21"/>
        <v>123</v>
      </c>
      <c r="AI254" s="28">
        <f t="shared" si="22"/>
        <v>3</v>
      </c>
      <c r="AJ254" s="28">
        <f t="shared" si="23"/>
        <v>4</v>
      </c>
      <c r="AK254" s="28">
        <f t="shared" si="24"/>
        <v>0</v>
      </c>
      <c r="AL254" s="28">
        <f t="shared" si="25"/>
        <v>0</v>
      </c>
      <c r="AM254" s="23" t="s">
        <v>1849</v>
      </c>
      <c r="AN254" s="37">
        <f>VLOOKUP(C254,'[2]MARÇO-2024'!$B:$M,12,0)</f>
        <v>121</v>
      </c>
      <c r="AO254" s="37">
        <f t="shared" si="26"/>
        <v>-2</v>
      </c>
      <c r="AP254" s="37" t="str">
        <f t="shared" si="27"/>
        <v/>
      </c>
    </row>
    <row r="255" spans="1:42" ht="13.5" customHeight="1" x14ac:dyDescent="0.25">
      <c r="A255" s="17">
        <v>9</v>
      </c>
      <c r="B255" s="17">
        <v>23</v>
      </c>
      <c r="C255" s="29">
        <v>9027</v>
      </c>
      <c r="D255" s="38">
        <v>33197024</v>
      </c>
      <c r="E255" s="18">
        <v>48903674000122</v>
      </c>
      <c r="F255" s="68">
        <v>91156</v>
      </c>
      <c r="G255" s="62" t="s">
        <v>1647</v>
      </c>
      <c r="H255" s="19" t="s">
        <v>1641</v>
      </c>
      <c r="I255" s="19" t="s">
        <v>1641</v>
      </c>
      <c r="J255" s="19" t="s">
        <v>1643</v>
      </c>
      <c r="K255" s="20" t="s">
        <v>1624</v>
      </c>
      <c r="L255" s="21">
        <v>100</v>
      </c>
      <c r="M255" s="21"/>
      <c r="N255" s="26" t="str">
        <f>IFERROR(VLOOKUP(O255,Apoio!A:B,2,0),"")</f>
        <v/>
      </c>
      <c r="O255" s="22">
        <f>IFERROR(VLOOKUP(C255,'[1]TB DIN'!$B:$D,3,0),"AGUARDANDO ANEXO")</f>
        <v>0</v>
      </c>
      <c r="P255" s="22">
        <f>IFERROR(VLOOKUP(C255,'[1]TB DIN INCLUIDOS'!$B:$H,3,0),"AGUARDANDO ANEXO")</f>
        <v>0</v>
      </c>
      <c r="Q255" s="26" cm="1">
        <f t="array" ref="Q255">_xlfn.IFS((P255&gt;N255),(N255*2),(P255&lt;=N255),(P255*2))</f>
        <v>0</v>
      </c>
      <c r="R255" s="22"/>
      <c r="S255" s="26">
        <f>IFERROR(VLOOKUP(T255,Apoio!A:B,2,0),"")</f>
        <v>1</v>
      </c>
      <c r="T255" s="22">
        <v>14</v>
      </c>
      <c r="U255" s="22">
        <f>IFERROR(VLOOKUP(C255,'[1]TB DIN INCLUIDOS'!$B:$H,4,0),"AGUARDANDO ANEXO")</f>
        <v>0</v>
      </c>
      <c r="V255" s="26" cm="1">
        <f t="array" ref="V255">_xlfn.IFS((U255&gt;S255),(S255*2),(U255&lt;=S255),(U255*2))</f>
        <v>0</v>
      </c>
      <c r="W255" s="22"/>
      <c r="X255" s="26">
        <f>IFERROR(VLOOKUP(Y255,Apoio!A:B,2,0),"")</f>
        <v>3</v>
      </c>
      <c r="Y255" s="22">
        <v>59</v>
      </c>
      <c r="Z255" s="22">
        <f>IFERROR(VLOOKUP(C255,'[1]TB DIN INCLUIDOS'!$B:$H,5,0),"AGUARDANDO ANEXO")</f>
        <v>1</v>
      </c>
      <c r="AA255" s="26" cm="1">
        <f t="array" ref="AA255">_xlfn.IFS((Z255&gt;X255),(X255*2),(Z255&lt;=X255),(Z255*2))</f>
        <v>2</v>
      </c>
      <c r="AB255" s="22"/>
      <c r="AC255" s="26">
        <f>IFERROR(VLOOKUP(AD255,Apoio!A:B,2,0),"")</f>
        <v>1</v>
      </c>
      <c r="AD255" s="22">
        <f>IFERROR(VLOOKUP(C255,'[1]TB DIN'!$B:$H,6,0),"AGUARDANDO ANEXO")</f>
        <v>25</v>
      </c>
      <c r="AE255" s="22">
        <f>IFERROR(VLOOKUP(C255,'[1]TB DIN INCLUIDOS'!$B:$H,6,0),"AGUARDANDO ANEXO")</f>
        <v>0</v>
      </c>
      <c r="AF255" s="26" cm="1">
        <f t="array" ref="AF255">_xlfn.IFS((AE255&gt;AC255),(AC255*2),(AE255&lt;=AC255),(AE255*2))</f>
        <v>0</v>
      </c>
      <c r="AG255" s="22"/>
      <c r="AH255" s="28">
        <f t="shared" si="21"/>
        <v>98</v>
      </c>
      <c r="AI255" s="28">
        <f t="shared" si="22"/>
        <v>1</v>
      </c>
      <c r="AJ255" s="28">
        <f t="shared" si="23"/>
        <v>2</v>
      </c>
      <c r="AK255" s="28">
        <f t="shared" si="24"/>
        <v>0</v>
      </c>
      <c r="AL255" s="28">
        <f t="shared" si="25"/>
        <v>0</v>
      </c>
      <c r="AM255" s="23" t="s">
        <v>1707</v>
      </c>
      <c r="AN255" s="37">
        <f>VLOOKUP(C255,'[2]MARÇO-2024'!$B:$M,12,0)</f>
        <v>100</v>
      </c>
      <c r="AO255" s="37">
        <f t="shared" si="26"/>
        <v>2</v>
      </c>
      <c r="AP255" s="37" t="str">
        <f t="shared" si="27"/>
        <v/>
      </c>
    </row>
    <row r="256" spans="1:42" ht="13.5" customHeight="1" x14ac:dyDescent="0.25">
      <c r="A256" s="17">
        <v>9</v>
      </c>
      <c r="B256" s="17">
        <v>24</v>
      </c>
      <c r="C256" s="29">
        <v>9028</v>
      </c>
      <c r="D256" s="38">
        <v>33197210</v>
      </c>
      <c r="E256" s="18">
        <v>48241173000128</v>
      </c>
      <c r="F256" s="68">
        <v>91145</v>
      </c>
      <c r="G256" s="62" t="s">
        <v>1646</v>
      </c>
      <c r="H256" s="19" t="s">
        <v>1642</v>
      </c>
      <c r="I256" s="19" t="s">
        <v>1642</v>
      </c>
      <c r="J256" s="19" t="s">
        <v>1645</v>
      </c>
      <c r="K256" s="20" t="s">
        <v>1622</v>
      </c>
      <c r="L256" s="21">
        <v>102</v>
      </c>
      <c r="M256" s="21"/>
      <c r="N256" s="26" t="str">
        <f>IFERROR(VLOOKUP(O256,Apoio!A:B,2,0),"")</f>
        <v/>
      </c>
      <c r="O256" s="22">
        <f>IFERROR(VLOOKUP(C256,'[1]TB DIN'!$B:$D,3,0),"AGUARDANDO ANEXO")</f>
        <v>0</v>
      </c>
      <c r="P256" s="22">
        <f>IFERROR(VLOOKUP(C256,'[1]TB DIN INCLUIDOS'!$B:$H,3,0),"AGUARDANDO ANEXO")</f>
        <v>0</v>
      </c>
      <c r="Q256" s="26" cm="1">
        <f t="array" ref="Q256">_xlfn.IFS((P256&gt;N256),(N256*2),(P256&lt;=N256),(P256*2))</f>
        <v>0</v>
      </c>
      <c r="R256" s="22"/>
      <c r="S256" s="26">
        <f>IFERROR(VLOOKUP(T256,Apoio!A:B,2,0),"")</f>
        <v>1</v>
      </c>
      <c r="T256" s="22">
        <f>IFERROR(VLOOKUP(C256,'[1]TB DIN'!$B:$H,4,0),"AGUARDANDO ANEXO")</f>
        <v>11</v>
      </c>
      <c r="U256" s="22">
        <f>IFERROR(VLOOKUP(C256,'[1]TB DIN INCLUIDOS'!$B:$H,4,0),"AGUARDANDO ANEXO")</f>
        <v>0</v>
      </c>
      <c r="V256" s="26" cm="1">
        <f t="array" ref="V256">_xlfn.IFS((U256&gt;S256),(S256*2),(U256&lt;=S256),(U256*2))</f>
        <v>0</v>
      </c>
      <c r="W256" s="22"/>
      <c r="X256" s="26">
        <f>IFERROR(VLOOKUP(Y256,Apoio!A:B,2,0),"")</f>
        <v>2</v>
      </c>
      <c r="Y256" s="22">
        <f>IFERROR(VLOOKUP(C256,'[1]TB DIN'!$B:$H,5,0),"AGUARDANDO ANEXO")</f>
        <v>43</v>
      </c>
      <c r="Z256" s="22">
        <f>IFERROR(VLOOKUP(C256,'[1]TB DIN INCLUIDOS'!$B:$H,5,0),"AGUARDANDO ANEXO")</f>
        <v>2</v>
      </c>
      <c r="AA256" s="26" cm="1">
        <f t="array" ref="AA256">_xlfn.IFS((Z256&gt;X256),(X256*2),(Z256&lt;=X256),(Z256*2))</f>
        <v>4</v>
      </c>
      <c r="AB256" s="22"/>
      <c r="AC256" s="26">
        <f>IFERROR(VLOOKUP(AD256,Apoio!A:B,2,0),"")</f>
        <v>2</v>
      </c>
      <c r="AD256" s="22">
        <f>IFERROR(VLOOKUP(C256,'[1]TB DIN'!$B:$H,6,0),"AGUARDANDO ANEXO")</f>
        <v>42</v>
      </c>
      <c r="AE256" s="22">
        <f>IFERROR(VLOOKUP(C256,'[1]TB DIN INCLUIDOS'!$B:$H,6,0),"AGUARDANDO ANEXO")</f>
        <v>1</v>
      </c>
      <c r="AF256" s="26" cm="1">
        <f t="array" ref="AF256">_xlfn.IFS((AE256&gt;AC256),(AC256*2),(AE256&lt;=AC256),(AE256*2))</f>
        <v>2</v>
      </c>
      <c r="AG256" s="22"/>
      <c r="AH256" s="28">
        <f t="shared" si="21"/>
        <v>96</v>
      </c>
      <c r="AI256" s="28">
        <f t="shared" si="22"/>
        <v>3</v>
      </c>
      <c r="AJ256" s="28">
        <f t="shared" si="23"/>
        <v>6</v>
      </c>
      <c r="AK256" s="28">
        <f t="shared" si="24"/>
        <v>0</v>
      </c>
      <c r="AL256" s="28">
        <f t="shared" si="25"/>
        <v>0</v>
      </c>
      <c r="AM256" s="23" t="s">
        <v>1849</v>
      </c>
      <c r="AN256" s="37">
        <f>VLOOKUP(C256,'[2]MARÇO-2024'!$B:$M,12,0)</f>
        <v>92</v>
      </c>
      <c r="AO256" s="37">
        <f t="shared" si="26"/>
        <v>-4</v>
      </c>
      <c r="AP256" s="37" t="str">
        <f t="shared" si="27"/>
        <v/>
      </c>
    </row>
    <row r="257" spans="1:42" ht="13.5" customHeight="1" x14ac:dyDescent="0.25">
      <c r="A257" s="17">
        <v>9</v>
      </c>
      <c r="B257" s="17">
        <v>25</v>
      </c>
      <c r="C257" s="29">
        <v>9029</v>
      </c>
      <c r="D257" s="43">
        <v>33198446</v>
      </c>
      <c r="E257" s="18"/>
      <c r="F257" s="68"/>
      <c r="G257" s="64" t="s">
        <v>1745</v>
      </c>
      <c r="H257" s="19" t="s">
        <v>1681</v>
      </c>
      <c r="I257" s="19" t="s">
        <v>1681</v>
      </c>
      <c r="J257" s="19" t="s">
        <v>1795</v>
      </c>
      <c r="K257" s="20" t="s">
        <v>1622</v>
      </c>
      <c r="L257" s="21">
        <v>85</v>
      </c>
      <c r="M257" s="21"/>
      <c r="N257" s="26" t="str">
        <f>IFERROR(VLOOKUP(O257,Apoio!A:B,2,0),"")</f>
        <v/>
      </c>
      <c r="O257" s="22">
        <v>0</v>
      </c>
      <c r="P257" s="22">
        <f>IFERROR(VLOOKUP(C257,'[1]TB DIN INCLUIDOS'!$B:$H,3,0),"AGUARDANDO ANEXO")</f>
        <v>0</v>
      </c>
      <c r="Q257" s="26" cm="1">
        <f t="array" ref="Q257">_xlfn.IFS((P257&gt;N257),(N257*2),(P257&lt;=N257),(P257*2))</f>
        <v>0</v>
      </c>
      <c r="R257" s="22"/>
      <c r="S257" s="26">
        <f>IFERROR(VLOOKUP(T257,Apoio!A:B,2,0),"")</f>
        <v>1</v>
      </c>
      <c r="T257" s="22">
        <v>25</v>
      </c>
      <c r="U257" s="22">
        <f>IFERROR(VLOOKUP(C257,'[1]TB DIN INCLUIDOS'!$B:$H,4,0),"AGUARDANDO ANEXO")</f>
        <v>0</v>
      </c>
      <c r="V257" s="26" cm="1">
        <f t="array" ref="V257">_xlfn.IFS((U257&gt;S257),(S257*2),(U257&lt;=S257),(U257*2))</f>
        <v>0</v>
      </c>
      <c r="W257" s="22"/>
      <c r="X257" s="26">
        <f>IFERROR(VLOOKUP(Y257,Apoio!A:B,2,0),"")</f>
        <v>2</v>
      </c>
      <c r="Y257" s="22">
        <v>26</v>
      </c>
      <c r="Z257" s="22">
        <f>IFERROR(VLOOKUP(C257,'[1]TB DIN INCLUIDOS'!$B:$H,5,0),"AGUARDANDO ANEXO")</f>
        <v>0</v>
      </c>
      <c r="AA257" s="26" cm="1">
        <f t="array" ref="AA257">_xlfn.IFS((Z257&gt;X257),(X257*2),(Z257&lt;=X257),(Z257*2))</f>
        <v>0</v>
      </c>
      <c r="AB257" s="22"/>
      <c r="AC257" s="26">
        <f>IFERROR(VLOOKUP(AD257,Apoio!A:B,2,0),"")</f>
        <v>2</v>
      </c>
      <c r="AD257" s="22">
        <v>30</v>
      </c>
      <c r="AE257" s="22">
        <f>IFERROR(VLOOKUP(C257,'[1]TB DIN INCLUIDOS'!$B:$H,6,0),"AGUARDANDO ANEXO")</f>
        <v>1</v>
      </c>
      <c r="AF257" s="26" cm="1">
        <f t="array" ref="AF257">_xlfn.IFS((AE257&gt;AC257),(AC257*2),(AE257&lt;=AC257),(AE257*2))</f>
        <v>2</v>
      </c>
      <c r="AG257" s="22"/>
      <c r="AH257" s="28">
        <f t="shared" si="21"/>
        <v>81</v>
      </c>
      <c r="AI257" s="28">
        <f t="shared" si="22"/>
        <v>1</v>
      </c>
      <c r="AJ257" s="28">
        <f t="shared" si="23"/>
        <v>2</v>
      </c>
      <c r="AK257" s="28">
        <f t="shared" si="24"/>
        <v>2</v>
      </c>
      <c r="AL257" s="28">
        <f t="shared" si="25"/>
        <v>0</v>
      </c>
      <c r="AM257" s="23" t="s">
        <v>1709</v>
      </c>
      <c r="AN257" s="37">
        <f>VLOOKUP(C257,'[2]MARÇO-2024'!$B:$M,12,0)</f>
        <v>57</v>
      </c>
      <c r="AO257" s="37">
        <f t="shared" si="26"/>
        <v>-24</v>
      </c>
      <c r="AP257" s="37" t="str">
        <f t="shared" si="27"/>
        <v/>
      </c>
    </row>
    <row r="258" spans="1:42" ht="13.5" customHeight="1" x14ac:dyDescent="0.25">
      <c r="A258" s="17">
        <v>9</v>
      </c>
      <c r="B258" s="17">
        <v>26</v>
      </c>
      <c r="C258" s="29">
        <v>9030</v>
      </c>
      <c r="D258" s="43">
        <v>33198489</v>
      </c>
      <c r="E258" s="18"/>
      <c r="F258" s="68"/>
      <c r="G258" s="62" t="s">
        <v>1742</v>
      </c>
      <c r="H258" s="19" t="s">
        <v>1682</v>
      </c>
      <c r="I258" s="19" t="s">
        <v>1682</v>
      </c>
      <c r="J258" s="19" t="s">
        <v>1796</v>
      </c>
      <c r="K258" s="20" t="s">
        <v>1622</v>
      </c>
      <c r="L258" s="21">
        <v>120</v>
      </c>
      <c r="M258" s="21"/>
      <c r="N258" s="26" t="str">
        <f>IFERROR(VLOOKUP(O258,Apoio!A:B,2,0),"")</f>
        <v/>
      </c>
      <c r="O258" s="22">
        <f>IFERROR(VLOOKUP(C258,'[1]TB DIN'!$B:$D,3,0),"AGUARDANDO ANEXO")</f>
        <v>0</v>
      </c>
      <c r="P258" s="22">
        <f>IFERROR(VLOOKUP(C258,'[1]TB DIN INCLUIDOS'!$B:$H,3,0),"AGUARDANDO ANEXO")</f>
        <v>0</v>
      </c>
      <c r="Q258" s="26" cm="1">
        <f t="array" ref="Q258">_xlfn.IFS((P258&gt;N258),(N258*2),(P258&lt;=N258),(P258*2))</f>
        <v>0</v>
      </c>
      <c r="R258" s="22"/>
      <c r="S258" s="26">
        <f>IFERROR(VLOOKUP(T258,Apoio!A:B,2,0),"")</f>
        <v>2</v>
      </c>
      <c r="T258" s="22">
        <f>IFERROR(VLOOKUP(C258,'[1]TB DIN'!$B:$H,4,0),"AGUARDANDO ANEXO")</f>
        <v>29</v>
      </c>
      <c r="U258" s="22">
        <f>IFERROR(VLOOKUP(C258,'[1]TB DIN INCLUIDOS'!$B:$H,4,0),"AGUARDANDO ANEXO")</f>
        <v>0</v>
      </c>
      <c r="V258" s="26" cm="1">
        <f t="array" ref="V258">_xlfn.IFS((U258&gt;S258),(S258*2),(U258&lt;=S258),(U258*2))</f>
        <v>0</v>
      </c>
      <c r="W258" s="22"/>
      <c r="X258" s="26">
        <f>IFERROR(VLOOKUP(Y258,Apoio!A:B,2,0),"")</f>
        <v>2</v>
      </c>
      <c r="Y258" s="22">
        <f>IFERROR(VLOOKUP(C258,'[1]TB DIN'!$B:$H,5,0),"AGUARDANDO ANEXO")</f>
        <v>45</v>
      </c>
      <c r="Z258" s="22">
        <f>IFERROR(VLOOKUP(C258,'[1]TB DIN INCLUIDOS'!$B:$H,5,0),"AGUARDANDO ANEXO")</f>
        <v>1</v>
      </c>
      <c r="AA258" s="26" cm="1">
        <f t="array" ref="AA258">_xlfn.IFS((Z258&gt;X258),(X258*2),(Z258&lt;=X258),(Z258*2))</f>
        <v>2</v>
      </c>
      <c r="AB258" s="22"/>
      <c r="AC258" s="26">
        <f>IFERROR(VLOOKUP(AD258,Apoio!A:B,2,0),"")</f>
        <v>2</v>
      </c>
      <c r="AD258" s="22">
        <f>IFERROR(VLOOKUP(C258,'[1]TB DIN'!$B:$H,6,0),"AGUARDANDO ANEXO")</f>
        <v>44</v>
      </c>
      <c r="AE258" s="22">
        <f>IFERROR(VLOOKUP(C258,'[1]TB DIN INCLUIDOS'!$B:$H,6,0),"AGUARDANDO ANEXO")</f>
        <v>1</v>
      </c>
      <c r="AF258" s="26" cm="1">
        <f t="array" ref="AF258">_xlfn.IFS((AE258&gt;AC258),(AC258*2),(AE258&lt;=AC258),(AE258*2))</f>
        <v>2</v>
      </c>
      <c r="AG258" s="22"/>
      <c r="AH258" s="28">
        <f t="shared" si="21"/>
        <v>118</v>
      </c>
      <c r="AI258" s="28">
        <f t="shared" si="22"/>
        <v>2</v>
      </c>
      <c r="AJ258" s="28">
        <f t="shared" si="23"/>
        <v>4</v>
      </c>
      <c r="AK258" s="28">
        <f t="shared" si="24"/>
        <v>0</v>
      </c>
      <c r="AL258" s="28">
        <f t="shared" si="25"/>
        <v>-2</v>
      </c>
      <c r="AM258" s="23" t="s">
        <v>1709</v>
      </c>
      <c r="AN258" s="37">
        <f>VLOOKUP(C258,'[2]MARÇO-2024'!$B:$M,12,0)</f>
        <v>116</v>
      </c>
      <c r="AO258" s="37">
        <f t="shared" si="26"/>
        <v>-2</v>
      </c>
      <c r="AP258" s="37" t="str">
        <f t="shared" si="27"/>
        <v/>
      </c>
    </row>
    <row r="259" spans="1:42" ht="13.5" customHeight="1" x14ac:dyDescent="0.25">
      <c r="A259" s="17">
        <v>9</v>
      </c>
      <c r="B259" s="17">
        <v>27</v>
      </c>
      <c r="C259" s="29">
        <v>9031</v>
      </c>
      <c r="D259" s="43">
        <v>33198624</v>
      </c>
      <c r="E259" s="18"/>
      <c r="F259" s="68"/>
      <c r="G259" s="64" t="s">
        <v>1740</v>
      </c>
      <c r="H259" s="19" t="s">
        <v>1683</v>
      </c>
      <c r="I259" s="19" t="s">
        <v>1683</v>
      </c>
      <c r="J259" s="19" t="s">
        <v>1797</v>
      </c>
      <c r="K259" s="20" t="s">
        <v>1622</v>
      </c>
      <c r="L259" s="21">
        <v>80</v>
      </c>
      <c r="M259" s="21"/>
      <c r="N259" s="26">
        <f>IFERROR(VLOOKUP(O259,Apoio!A:B,2,0),"")</f>
        <v>1</v>
      </c>
      <c r="O259" s="22">
        <v>21</v>
      </c>
      <c r="P259" s="22">
        <f>IFERROR(VLOOKUP(C259,'[1]TB DIN INCLUIDOS'!$B:$H,3,0),"AGUARDANDO ANEXO")</f>
        <v>0</v>
      </c>
      <c r="Q259" s="26" cm="1">
        <f t="array" ref="Q259">_xlfn.IFS((P259&gt;N259),(N259*2),(P259&lt;=N259),(P259*2))</f>
        <v>0</v>
      </c>
      <c r="R259" s="22"/>
      <c r="S259" s="26">
        <f>IFERROR(VLOOKUP(T259,Apoio!A:B,2,0),"")</f>
        <v>1</v>
      </c>
      <c r="T259" s="22">
        <v>24</v>
      </c>
      <c r="U259" s="22">
        <f>IFERROR(VLOOKUP(C259,'[1]TB DIN INCLUIDOS'!$B:$H,4,0),"AGUARDANDO ANEXO")</f>
        <v>0</v>
      </c>
      <c r="V259" s="26" cm="1">
        <f t="array" ref="V259">_xlfn.IFS((U259&gt;S259),(S259*2),(U259&lt;=S259),(U259*2))</f>
        <v>0</v>
      </c>
      <c r="W259" s="22"/>
      <c r="X259" s="26">
        <f>IFERROR(VLOOKUP(Y259,Apoio!A:B,2,0),"")</f>
        <v>1</v>
      </c>
      <c r="Y259" s="22">
        <v>22</v>
      </c>
      <c r="Z259" s="22">
        <f>IFERROR(VLOOKUP(C259,'[1]TB DIN INCLUIDOS'!$B:$H,5,0),"AGUARDANDO ANEXO")</f>
        <v>0</v>
      </c>
      <c r="AA259" s="26" cm="1">
        <f t="array" ref="AA259">_xlfn.IFS((Z259&gt;X259),(X259*2),(Z259&lt;=X259),(Z259*2))</f>
        <v>0</v>
      </c>
      <c r="AB259" s="22"/>
      <c r="AC259" s="26">
        <f>IFERROR(VLOOKUP(AD259,Apoio!A:B,2,0),"")</f>
        <v>1</v>
      </c>
      <c r="AD259" s="22">
        <v>10</v>
      </c>
      <c r="AE259" s="22">
        <f>IFERROR(VLOOKUP(C259,'[1]TB DIN INCLUIDOS'!$B:$H,6,0),"AGUARDANDO ANEXO")</f>
        <v>1</v>
      </c>
      <c r="AF259" s="26" cm="1">
        <f t="array" ref="AF259">_xlfn.IFS((AE259&gt;AC259),(AC259*2),(AE259&lt;=AC259),(AE259*2))</f>
        <v>2</v>
      </c>
      <c r="AG259" s="22"/>
      <c r="AH259" s="28">
        <f t="shared" si="21"/>
        <v>77</v>
      </c>
      <c r="AI259" s="28">
        <f t="shared" si="22"/>
        <v>1</v>
      </c>
      <c r="AJ259" s="28">
        <f t="shared" si="23"/>
        <v>2</v>
      </c>
      <c r="AK259" s="28">
        <f t="shared" si="24"/>
        <v>1</v>
      </c>
      <c r="AL259" s="28">
        <f t="shared" si="25"/>
        <v>0</v>
      </c>
      <c r="AM259" s="23" t="s">
        <v>1709</v>
      </c>
      <c r="AN259" s="37">
        <f>VLOOKUP(C259,'[2]MARÇO-2024'!$B:$M,12,0)</f>
        <v>53</v>
      </c>
      <c r="AO259" s="37">
        <f t="shared" si="26"/>
        <v>-24</v>
      </c>
      <c r="AP259" s="37" t="str">
        <f t="shared" si="27"/>
        <v/>
      </c>
    </row>
    <row r="260" spans="1:42" ht="13.5" customHeight="1" x14ac:dyDescent="0.25">
      <c r="A260" s="17">
        <v>9</v>
      </c>
      <c r="B260" s="17">
        <v>28</v>
      </c>
      <c r="C260" s="29">
        <v>9032</v>
      </c>
      <c r="D260" s="43">
        <v>33198462</v>
      </c>
      <c r="E260" s="18"/>
      <c r="F260" s="68"/>
      <c r="G260" s="62" t="s">
        <v>1863</v>
      </c>
      <c r="H260" s="19" t="s">
        <v>1684</v>
      </c>
      <c r="I260" s="19" t="s">
        <v>1839</v>
      </c>
      <c r="J260" s="19" t="s">
        <v>1798</v>
      </c>
      <c r="K260" s="20" t="s">
        <v>1622</v>
      </c>
      <c r="L260" s="21">
        <v>90</v>
      </c>
      <c r="M260" s="21"/>
      <c r="N260" s="26" t="str">
        <f>IFERROR(VLOOKUP(O260,Apoio!A:B,2,0),"")</f>
        <v/>
      </c>
      <c r="O260" s="22">
        <f>IFERROR(VLOOKUP(C260,'[1]TB DIN'!$B:$D,3,0),"AGUARDANDO ANEXO")</f>
        <v>0</v>
      </c>
      <c r="P260" s="22">
        <f>IFERROR(VLOOKUP(C260,'[1]TB DIN INCLUIDOS'!$B:$H,3,0),"AGUARDANDO ANEXO")</f>
        <v>0</v>
      </c>
      <c r="Q260" s="26" cm="1">
        <f t="array" ref="Q260">_xlfn.IFS((P260&gt;N260),(N260*2),(P260&lt;=N260),(P260*2))</f>
        <v>0</v>
      </c>
      <c r="R260" s="22"/>
      <c r="S260" s="26">
        <f>IFERROR(VLOOKUP(T260,Apoio!A:B,2,0),"")</f>
        <v>2</v>
      </c>
      <c r="T260" s="22">
        <f>IFERROR(VLOOKUP(C260,'[1]TB DIN'!$B:$H,4,0),"AGUARDANDO ANEXO")</f>
        <v>44</v>
      </c>
      <c r="U260" s="22">
        <f>IFERROR(VLOOKUP(C260,'[1]TB DIN INCLUIDOS'!$B:$H,4,0),"AGUARDANDO ANEXO")</f>
        <v>0</v>
      </c>
      <c r="V260" s="26" cm="1">
        <f t="array" ref="V260">_xlfn.IFS((U260&gt;S260),(S260*2),(U260&lt;=S260),(U260*2))</f>
        <v>0</v>
      </c>
      <c r="W260" s="22"/>
      <c r="X260" s="26">
        <f>IFERROR(VLOOKUP(Y260,Apoio!A:B,2,0),"")</f>
        <v>2</v>
      </c>
      <c r="Y260" s="22">
        <v>28</v>
      </c>
      <c r="Z260" s="22">
        <f>IFERROR(VLOOKUP(C260,'[1]TB DIN INCLUIDOS'!$B:$H,5,0),"AGUARDANDO ANEXO")</f>
        <v>0</v>
      </c>
      <c r="AA260" s="26" cm="1">
        <f t="array" ref="AA260">_xlfn.IFS((Z260&gt;X260),(X260*2),(Z260&lt;=X260),(Z260*2))</f>
        <v>0</v>
      </c>
      <c r="AB260" s="22"/>
      <c r="AC260" s="26">
        <f>IFERROR(VLOOKUP(AD260,Apoio!A:B,2,0),"")</f>
        <v>1</v>
      </c>
      <c r="AD260" s="22">
        <v>16</v>
      </c>
      <c r="AE260" s="22">
        <f>IFERROR(VLOOKUP(C260,'[1]TB DIN INCLUIDOS'!$B:$H,6,0),"AGUARDANDO ANEXO")</f>
        <v>1</v>
      </c>
      <c r="AF260" s="26" cm="1">
        <f t="array" ref="AF260">_xlfn.IFS((AE260&gt;AC260),(AC260*2),(AE260&lt;=AC260),(AE260*2))</f>
        <v>2</v>
      </c>
      <c r="AG260" s="22"/>
      <c r="AH260" s="28">
        <f t="shared" si="21"/>
        <v>88</v>
      </c>
      <c r="AI260" s="28">
        <f t="shared" si="22"/>
        <v>1</v>
      </c>
      <c r="AJ260" s="28">
        <f t="shared" si="23"/>
        <v>2</v>
      </c>
      <c r="AK260" s="28">
        <f t="shared" si="24"/>
        <v>0</v>
      </c>
      <c r="AL260" s="28">
        <f t="shared" si="25"/>
        <v>0</v>
      </c>
      <c r="AM260" s="23" t="s">
        <v>1709</v>
      </c>
      <c r="AN260" s="37">
        <f>VLOOKUP(C260,'[2]MARÇO-2024'!$B:$M,12,0)</f>
        <v>87</v>
      </c>
      <c r="AO260" s="37">
        <f t="shared" si="26"/>
        <v>-1</v>
      </c>
      <c r="AP260" s="37" t="str">
        <f t="shared" si="27"/>
        <v/>
      </c>
    </row>
    <row r="261" spans="1:42" ht="13.5" customHeight="1" x14ac:dyDescent="0.25">
      <c r="A261" s="17">
        <v>9</v>
      </c>
      <c r="B261" s="17">
        <v>29</v>
      </c>
      <c r="C261" s="29">
        <v>9033</v>
      </c>
      <c r="D261" s="43">
        <v>33198306</v>
      </c>
      <c r="E261" s="18"/>
      <c r="F261" s="68"/>
      <c r="G261" s="64" t="s">
        <v>1864</v>
      </c>
      <c r="H261" s="19" t="s">
        <v>1685</v>
      </c>
      <c r="I261" s="19" t="s">
        <v>1840</v>
      </c>
      <c r="J261" s="19" t="s">
        <v>1799</v>
      </c>
      <c r="K261" s="20" t="s">
        <v>1622</v>
      </c>
      <c r="L261" s="21">
        <v>50</v>
      </c>
      <c r="M261" s="21"/>
      <c r="N261" s="26">
        <f>IFERROR(VLOOKUP(O261,Apoio!A:B,2,0),"")</f>
        <v>1</v>
      </c>
      <c r="O261" s="22">
        <v>5</v>
      </c>
      <c r="P261" s="22">
        <f>IFERROR(VLOOKUP(C261,'[1]TB DIN INCLUIDOS'!$B:$H,3,0),"AGUARDANDO ANEXO")</f>
        <v>0</v>
      </c>
      <c r="Q261" s="26" cm="1">
        <f t="array" ref="Q261">_xlfn.IFS((P261&gt;N261),(N261*2),(P261&lt;=N261),(P261*2))</f>
        <v>0</v>
      </c>
      <c r="R261" s="22"/>
      <c r="S261" s="26">
        <f>IFERROR(VLOOKUP(T261,Apoio!A:B,2,0),"")</f>
        <v>1</v>
      </c>
      <c r="T261" s="22">
        <f>IFERROR(VLOOKUP(C261,'[1]TB DIN'!$B:$H,4,0),"AGUARDANDO ANEXO")</f>
        <v>6</v>
      </c>
      <c r="U261" s="22">
        <f>IFERROR(VLOOKUP(C261,'[1]TB DIN INCLUIDOS'!$B:$H,4,0),"AGUARDANDO ANEXO")</f>
        <v>0</v>
      </c>
      <c r="V261" s="26" cm="1">
        <f t="array" ref="V261">_xlfn.IFS((U261&gt;S261),(S261*2),(U261&lt;=S261),(U261*2))</f>
        <v>0</v>
      </c>
      <c r="W261" s="22"/>
      <c r="X261" s="26">
        <f>IFERROR(VLOOKUP(Y261,Apoio!A:B,2,0),"")</f>
        <v>1</v>
      </c>
      <c r="Y261" s="22">
        <v>23</v>
      </c>
      <c r="Z261" s="22">
        <v>2</v>
      </c>
      <c r="AA261" s="26" cm="1">
        <f t="array" ref="AA261">_xlfn.IFS((Z261&gt;X261),(X261*2),(Z261&lt;=X261),(Z261*2))</f>
        <v>2</v>
      </c>
      <c r="AB261" s="22"/>
      <c r="AC261" s="26">
        <f>IFERROR(VLOOKUP(AD261,Apoio!A:B,2,0),"")</f>
        <v>1</v>
      </c>
      <c r="AD261" s="22">
        <v>16</v>
      </c>
      <c r="AE261" s="22">
        <f>IFERROR(VLOOKUP(C261,'[1]TB DIN INCLUIDOS'!$B:$H,6,0),"AGUARDANDO ANEXO")</f>
        <v>1</v>
      </c>
      <c r="AF261" s="26" cm="1">
        <f t="array" ref="AF261">_xlfn.IFS((AE261&gt;AC261),(AC261*2),(AE261&lt;=AC261),(AE261*2))</f>
        <v>2</v>
      </c>
      <c r="AG261" s="22"/>
      <c r="AH261" s="28">
        <f t="shared" ref="AH261:AH324" si="28">SUM(O261,T261,Y261,AD261)</f>
        <v>50</v>
      </c>
      <c r="AI261" s="28">
        <f t="shared" ref="AI261:AI324" si="29">SUM(P261,U261,Z261,AE261)</f>
        <v>3</v>
      </c>
      <c r="AJ261" s="28">
        <f t="shared" ref="AJ261:AJ324" si="30">SUM(Q261,V261,AA261,AF261)</f>
        <v>4</v>
      </c>
      <c r="AK261" s="28">
        <f t="shared" ref="AK261:AK324" si="31">IF(L261-AH261-Q261-V261-AA261-AF261&gt;0,L261-AH261-Q261-V261-AA261-AF261,0)</f>
        <v>0</v>
      </c>
      <c r="AL261" s="28">
        <f t="shared" ref="AL261:AL324" si="32">IF(L261-O261-Q261-T261-V261-Y261-AA261-AD261-AF261&lt;0,L261-O261-Q261-T261-V261-Y261-AA261-AD261-AF261,0)</f>
        <v>-4</v>
      </c>
      <c r="AM261" s="23" t="s">
        <v>1709</v>
      </c>
      <c r="AN261" s="37">
        <f>VLOOKUP(C261,'[2]MARÇO-2024'!$B:$M,12,0)</f>
        <v>48</v>
      </c>
      <c r="AO261" s="37">
        <f t="shared" ref="AO261:AO324" si="33">AN261-AH261</f>
        <v>-2</v>
      </c>
      <c r="AP261" s="37" t="str">
        <f t="shared" ref="AP261:AP324" si="34">IF(AH261&gt;L261,"Qt de aluno maior que a meta","")</f>
        <v/>
      </c>
    </row>
    <row r="262" spans="1:42" ht="13.5" customHeight="1" x14ac:dyDescent="0.25">
      <c r="A262" s="17">
        <v>9</v>
      </c>
      <c r="B262" s="17">
        <v>30</v>
      </c>
      <c r="C262" s="29">
        <v>9034</v>
      </c>
      <c r="D262" s="43">
        <v>33198322</v>
      </c>
      <c r="E262" s="18"/>
      <c r="F262" s="68"/>
      <c r="G262" s="62" t="s">
        <v>1724</v>
      </c>
      <c r="H262" s="19" t="s">
        <v>1686</v>
      </c>
      <c r="I262" s="19" t="s">
        <v>1686</v>
      </c>
      <c r="J262" s="19" t="s">
        <v>1800</v>
      </c>
      <c r="K262" s="20" t="s">
        <v>1622</v>
      </c>
      <c r="L262" s="21">
        <v>90</v>
      </c>
      <c r="M262" s="21"/>
      <c r="N262" s="26" t="str">
        <f>IFERROR(VLOOKUP(O262,Apoio!A:B,2,0),"")</f>
        <v/>
      </c>
      <c r="O262" s="22">
        <f>IFERROR(VLOOKUP(C262,'[1]TB DIN'!$B:$D,3,0),"AGUARDANDO ANEXO")</f>
        <v>0</v>
      </c>
      <c r="P262" s="22">
        <f>IFERROR(VLOOKUP(C262,'[1]TB DIN INCLUIDOS'!$B:$H,3,0),"AGUARDANDO ANEXO")</f>
        <v>0</v>
      </c>
      <c r="Q262" s="26" cm="1">
        <f t="array" ref="Q262">_xlfn.IFS((P262&gt;N262),(N262*2),(P262&lt;=N262),(P262*2))</f>
        <v>0</v>
      </c>
      <c r="R262" s="22"/>
      <c r="S262" s="26">
        <f>IFERROR(VLOOKUP(T262,Apoio!A:B,2,0),"")</f>
        <v>2</v>
      </c>
      <c r="T262" s="22">
        <v>34</v>
      </c>
      <c r="U262" s="22">
        <f>IFERROR(VLOOKUP(C262,'[1]TB DIN INCLUIDOS'!$B:$H,4,0),"AGUARDANDO ANEXO")</f>
        <v>1</v>
      </c>
      <c r="V262" s="26" cm="1">
        <f t="array" ref="V262">_xlfn.IFS((U262&gt;S262),(S262*2),(U262&lt;=S262),(U262*2))</f>
        <v>2</v>
      </c>
      <c r="W262" s="22"/>
      <c r="X262" s="26">
        <f>IFERROR(VLOOKUP(Y262,Apoio!A:B,2,0),"")</f>
        <v>2</v>
      </c>
      <c r="Y262" s="22">
        <v>28</v>
      </c>
      <c r="Z262" s="22">
        <f>IFERROR(VLOOKUP(C262,'[1]TB DIN INCLUIDOS'!$B:$H,5,0),"AGUARDANDO ANEXO")</f>
        <v>1</v>
      </c>
      <c r="AA262" s="26" cm="1">
        <f t="array" ref="AA262">_xlfn.IFS((Z262&gt;X262),(X262*2),(Z262&lt;=X262),(Z262*2))</f>
        <v>2</v>
      </c>
      <c r="AB262" s="22"/>
      <c r="AC262" s="26">
        <f>IFERROR(VLOOKUP(AD262,Apoio!A:B,2,0),"")</f>
        <v>1</v>
      </c>
      <c r="AD262" s="22">
        <v>23</v>
      </c>
      <c r="AE262" s="22">
        <f>IFERROR(VLOOKUP(C262,'[1]TB DIN INCLUIDOS'!$B:$H,6,0),"AGUARDANDO ANEXO")</f>
        <v>1</v>
      </c>
      <c r="AF262" s="26" cm="1">
        <f t="array" ref="AF262">_xlfn.IFS((AE262&gt;AC262),(AC262*2),(AE262&lt;=AC262),(AE262*2))</f>
        <v>2</v>
      </c>
      <c r="AG262" s="22"/>
      <c r="AH262" s="28">
        <f t="shared" si="28"/>
        <v>85</v>
      </c>
      <c r="AI262" s="28">
        <f t="shared" si="29"/>
        <v>3</v>
      </c>
      <c r="AJ262" s="28">
        <f t="shared" si="30"/>
        <v>6</v>
      </c>
      <c r="AK262" s="28">
        <f t="shared" si="31"/>
        <v>0</v>
      </c>
      <c r="AL262" s="28">
        <f t="shared" si="32"/>
        <v>-1</v>
      </c>
      <c r="AM262" s="23" t="s">
        <v>1709</v>
      </c>
      <c r="AN262" s="37">
        <f>VLOOKUP(C262,'[2]MARÇO-2024'!$B:$M,12,0)</f>
        <v>83</v>
      </c>
      <c r="AO262" s="37">
        <f t="shared" si="33"/>
        <v>-2</v>
      </c>
      <c r="AP262" s="37" t="str">
        <f t="shared" si="34"/>
        <v/>
      </c>
    </row>
    <row r="263" spans="1:42" ht="13.5" customHeight="1" x14ac:dyDescent="0.25">
      <c r="A263" s="17">
        <v>9</v>
      </c>
      <c r="B263" s="17">
        <v>31</v>
      </c>
      <c r="C263" s="29">
        <v>9035</v>
      </c>
      <c r="D263" s="38">
        <v>33195129</v>
      </c>
      <c r="E263" s="18"/>
      <c r="F263" s="68"/>
      <c r="G263" s="66" t="s">
        <v>1746</v>
      </c>
      <c r="H263" s="19" t="s">
        <v>1687</v>
      </c>
      <c r="I263" s="19" t="s">
        <v>54</v>
      </c>
      <c r="J263" s="19" t="s">
        <v>1801</v>
      </c>
      <c r="K263" s="20" t="s">
        <v>1622</v>
      </c>
      <c r="L263" s="21">
        <v>90</v>
      </c>
      <c r="M263" s="21"/>
      <c r="N263" s="26" t="str">
        <f>IFERROR(VLOOKUP(O263,Apoio!A:B,2,0),"")</f>
        <v/>
      </c>
      <c r="O263" s="22">
        <f>IFERROR(VLOOKUP(C263,'[1]TB DIN'!$B:$D,3,0),"AGUARDANDO ANEXO")</f>
        <v>0</v>
      </c>
      <c r="P263" s="22">
        <f>IFERROR(VLOOKUP(C263,'[1]TB DIN INCLUIDOS'!$B:$H,3,0),"AGUARDANDO ANEXO")</f>
        <v>0</v>
      </c>
      <c r="Q263" s="26" cm="1">
        <f t="array" ref="Q263">_xlfn.IFS((P263&gt;N263),(N263*2),(P263&lt;=N263),(P263*2))</f>
        <v>0</v>
      </c>
      <c r="R263" s="22"/>
      <c r="S263" s="26">
        <f>IFERROR(VLOOKUP(T263,Apoio!A:B,2,0),"")</f>
        <v>2</v>
      </c>
      <c r="T263" s="22">
        <v>38</v>
      </c>
      <c r="U263" s="22">
        <f>IFERROR(VLOOKUP(C263,'[1]TB DIN INCLUIDOS'!$B:$H,4,0),"AGUARDANDO ANEXO")</f>
        <v>0</v>
      </c>
      <c r="V263" s="26" cm="1">
        <f t="array" ref="V263">_xlfn.IFS((U263&gt;S263),(S263*2),(U263&lt;=S263),(U263*2))</f>
        <v>0</v>
      </c>
      <c r="W263" s="22"/>
      <c r="X263" s="26">
        <f>IFERROR(VLOOKUP(Y263,Apoio!A:B,2,0),"")</f>
        <v>1</v>
      </c>
      <c r="Y263" s="22">
        <v>18</v>
      </c>
      <c r="Z263" s="22">
        <v>1</v>
      </c>
      <c r="AA263" s="26" cm="1">
        <f t="array" ref="AA263">_xlfn.IFS((Z263&gt;X263),(X263*2),(Z263&lt;=X263),(Z263*2))</f>
        <v>2</v>
      </c>
      <c r="AB263" s="22"/>
      <c r="AC263" s="26">
        <f>IFERROR(VLOOKUP(AD263,Apoio!A:B,2,0),"")</f>
        <v>1</v>
      </c>
      <c r="AD263" s="22">
        <f>IFERROR(VLOOKUP(C263,'[1]TB DIN'!$B:$H,6,0),"AGUARDANDO ANEXO")</f>
        <v>6</v>
      </c>
      <c r="AE263" s="22">
        <f>IFERROR(VLOOKUP(C263,'[1]TB DIN INCLUIDOS'!$B:$H,6,0),"AGUARDANDO ANEXO")</f>
        <v>0</v>
      </c>
      <c r="AF263" s="26" cm="1">
        <f t="array" ref="AF263">_xlfn.IFS((AE263&gt;AC263),(AC263*2),(AE263&lt;=AC263),(AE263*2))</f>
        <v>0</v>
      </c>
      <c r="AG263" s="22"/>
      <c r="AH263" s="28">
        <f t="shared" si="28"/>
        <v>62</v>
      </c>
      <c r="AI263" s="28">
        <f t="shared" si="29"/>
        <v>1</v>
      </c>
      <c r="AJ263" s="28">
        <f t="shared" si="30"/>
        <v>2</v>
      </c>
      <c r="AK263" s="28">
        <f t="shared" si="31"/>
        <v>26</v>
      </c>
      <c r="AL263" s="28">
        <f t="shared" si="32"/>
        <v>0</v>
      </c>
      <c r="AM263" s="23" t="s">
        <v>1709</v>
      </c>
      <c r="AN263" s="37">
        <f>VLOOKUP(C263,'[2]MARÇO-2024'!$B:$M,12,0)</f>
        <v>50</v>
      </c>
      <c r="AO263" s="37">
        <f t="shared" si="33"/>
        <v>-12</v>
      </c>
      <c r="AP263" s="37" t="str">
        <f t="shared" si="34"/>
        <v/>
      </c>
    </row>
    <row r="264" spans="1:42" ht="13.5" customHeight="1" x14ac:dyDescent="0.25">
      <c r="A264" s="17">
        <v>9</v>
      </c>
      <c r="B264" s="17">
        <v>32</v>
      </c>
      <c r="C264" s="29">
        <v>9036</v>
      </c>
      <c r="D264" s="43">
        <v>33198365</v>
      </c>
      <c r="E264" s="18"/>
      <c r="F264" s="68"/>
      <c r="G264" s="66" t="s">
        <v>1744</v>
      </c>
      <c r="H264" s="19" t="s">
        <v>1688</v>
      </c>
      <c r="I264" s="19" t="s">
        <v>1688</v>
      </c>
      <c r="J264" s="19" t="s">
        <v>1802</v>
      </c>
      <c r="K264" s="20" t="s">
        <v>1803</v>
      </c>
      <c r="L264" s="21">
        <v>160</v>
      </c>
      <c r="M264" s="21"/>
      <c r="N264" s="26">
        <f>IFERROR(VLOOKUP(O264,Apoio!A:B,2,0),"")</f>
        <v>1</v>
      </c>
      <c r="O264" s="22">
        <v>9</v>
      </c>
      <c r="P264" s="22">
        <f>IFERROR(VLOOKUP(C264,'[1]TB DIN INCLUIDOS'!$B:$H,3,0),"AGUARDANDO ANEXO")</f>
        <v>0</v>
      </c>
      <c r="Q264" s="26" cm="1">
        <f t="array" ref="Q264">_xlfn.IFS((P264&gt;N264),(N264*2),(P264&lt;=N264),(P264*2))</f>
        <v>0</v>
      </c>
      <c r="R264" s="22"/>
      <c r="S264" s="26">
        <f>IFERROR(VLOOKUP(T264,Apoio!A:B,2,0),"")</f>
        <v>3</v>
      </c>
      <c r="T264" s="22">
        <v>57</v>
      </c>
      <c r="U264" s="22">
        <f>IFERROR(VLOOKUP(C264,'[1]TB DIN INCLUIDOS'!$B:$H,4,0),"AGUARDANDO ANEXO")</f>
        <v>0</v>
      </c>
      <c r="V264" s="26" cm="1">
        <f t="array" ref="V264">_xlfn.IFS((U264&gt;S264),(S264*2),(U264&lt;=S264),(U264*2))</f>
        <v>0</v>
      </c>
      <c r="W264" s="22"/>
      <c r="X264" s="26">
        <f>IFERROR(VLOOKUP(Y264,Apoio!A:B,2,0),"")</f>
        <v>2</v>
      </c>
      <c r="Y264" s="22">
        <v>36</v>
      </c>
      <c r="Z264" s="22">
        <f>IFERROR(VLOOKUP(C264,'[1]TB DIN INCLUIDOS'!$B:$H,5,0),"AGUARDANDO ANEXO")</f>
        <v>0</v>
      </c>
      <c r="AA264" s="26" cm="1">
        <f t="array" ref="AA264">_xlfn.IFS((Z264&gt;X264),(X264*2),(Z264&lt;=X264),(Z264*2))</f>
        <v>0</v>
      </c>
      <c r="AB264" s="22"/>
      <c r="AC264" s="26">
        <f>IFERROR(VLOOKUP(AD264,Apoio!A:B,2,0),"")</f>
        <v>2</v>
      </c>
      <c r="AD264" s="22">
        <v>39</v>
      </c>
      <c r="AE264" s="22">
        <f>IFERROR(VLOOKUP(C264,'[1]TB DIN INCLUIDOS'!$B:$H,6,0),"AGUARDANDO ANEXO")</f>
        <v>2</v>
      </c>
      <c r="AF264" s="26" cm="1">
        <f t="array" ref="AF264">_xlfn.IFS((AE264&gt;AC264),(AC264*2),(AE264&lt;=AC264),(AE264*2))</f>
        <v>4</v>
      </c>
      <c r="AG264" s="22"/>
      <c r="AH264" s="28">
        <f t="shared" si="28"/>
        <v>141</v>
      </c>
      <c r="AI264" s="28">
        <f t="shared" si="29"/>
        <v>2</v>
      </c>
      <c r="AJ264" s="28">
        <f t="shared" si="30"/>
        <v>4</v>
      </c>
      <c r="AK264" s="28">
        <f t="shared" si="31"/>
        <v>15</v>
      </c>
      <c r="AL264" s="28">
        <f t="shared" si="32"/>
        <v>0</v>
      </c>
      <c r="AM264" s="23" t="s">
        <v>1709</v>
      </c>
      <c r="AN264" s="37">
        <f>VLOOKUP(C264,'[2]MARÇO-2024'!$B:$M,12,0)</f>
        <v>148</v>
      </c>
      <c r="AO264" s="37">
        <f t="shared" si="33"/>
        <v>7</v>
      </c>
      <c r="AP264" s="37" t="str">
        <f t="shared" si="34"/>
        <v/>
      </c>
    </row>
    <row r="265" spans="1:42" ht="13.5" customHeight="1" x14ac:dyDescent="0.25">
      <c r="A265" s="17">
        <v>9</v>
      </c>
      <c r="B265" s="17">
        <v>33</v>
      </c>
      <c r="C265" s="29">
        <v>9037</v>
      </c>
      <c r="D265" s="43">
        <v>33198330</v>
      </c>
      <c r="E265" s="18"/>
      <c r="F265" s="68"/>
      <c r="G265" s="62" t="s">
        <v>1725</v>
      </c>
      <c r="H265" s="19" t="s">
        <v>1689</v>
      </c>
      <c r="I265" s="19" t="s">
        <v>1689</v>
      </c>
      <c r="J265" s="19" t="s">
        <v>1804</v>
      </c>
      <c r="K265" s="20" t="s">
        <v>1622</v>
      </c>
      <c r="L265" s="21">
        <v>40</v>
      </c>
      <c r="M265" s="21"/>
      <c r="N265" s="26" t="str">
        <f>IFERROR(VLOOKUP(O265,Apoio!A:B,2,0),"")</f>
        <v/>
      </c>
      <c r="O265" s="22">
        <f>IFERROR(VLOOKUP(C265,'[1]TB DIN'!$B:$D,3,0),"AGUARDANDO ANEXO")</f>
        <v>0</v>
      </c>
      <c r="P265" s="22">
        <f>IFERROR(VLOOKUP(C265,'[1]TB DIN INCLUIDOS'!$B:$H,3,0),"AGUARDANDO ANEXO")</f>
        <v>0</v>
      </c>
      <c r="Q265" s="26" cm="1">
        <f t="array" ref="Q265">_xlfn.IFS((P265&gt;N265),(N265*2),(P265&lt;=N265),(P265*2))</f>
        <v>0</v>
      </c>
      <c r="R265" s="22"/>
      <c r="S265" s="26" t="str">
        <f>IFERROR(VLOOKUP(T265,Apoio!A:B,2,0),"")</f>
        <v/>
      </c>
      <c r="T265" s="22">
        <f>IFERROR(VLOOKUP(C265,'[1]TB DIN'!$B:$H,4,0),"AGUARDANDO ANEXO")</f>
        <v>0</v>
      </c>
      <c r="U265" s="22">
        <f>IFERROR(VLOOKUP(C265,'[1]TB DIN INCLUIDOS'!$B:$H,4,0),"AGUARDANDO ANEXO")</f>
        <v>0</v>
      </c>
      <c r="V265" s="26" cm="1">
        <f t="array" ref="V265">_xlfn.IFS((U265&gt;S265),(S265*2),(U265&lt;=S265),(U265*2))</f>
        <v>0</v>
      </c>
      <c r="W265" s="22"/>
      <c r="X265" s="26">
        <f>IFERROR(VLOOKUP(Y265,Apoio!A:B,2,0),"")</f>
        <v>1</v>
      </c>
      <c r="Y265" s="22">
        <f>IFERROR(VLOOKUP(C265,'[1]TB DIN'!$B:$H,5,0),"AGUARDANDO ANEXO")</f>
        <v>22</v>
      </c>
      <c r="Z265" s="22">
        <f>IFERROR(VLOOKUP(C265,'[1]TB DIN INCLUIDOS'!$B:$H,5,0),"AGUARDANDO ANEXO")</f>
        <v>0</v>
      </c>
      <c r="AA265" s="26" cm="1">
        <f t="array" ref="AA265">_xlfn.IFS((Z265&gt;X265),(X265*2),(Z265&lt;=X265),(Z265*2))</f>
        <v>0</v>
      </c>
      <c r="AB265" s="22"/>
      <c r="AC265" s="26">
        <f>IFERROR(VLOOKUP(AD265,Apoio!A:B,2,0),"")</f>
        <v>1</v>
      </c>
      <c r="AD265" s="22">
        <f>IFERROR(VLOOKUP(C265,'[1]TB DIN'!$B:$H,6,0),"AGUARDANDO ANEXO")</f>
        <v>18</v>
      </c>
      <c r="AE265" s="22">
        <f>IFERROR(VLOOKUP(C265,'[1]TB DIN INCLUIDOS'!$B:$H,6,0),"AGUARDANDO ANEXO")</f>
        <v>0</v>
      </c>
      <c r="AF265" s="26" cm="1">
        <f t="array" ref="AF265">_xlfn.IFS((AE265&gt;AC265),(AC265*2),(AE265&lt;=AC265),(AE265*2))</f>
        <v>0</v>
      </c>
      <c r="AG265" s="22"/>
      <c r="AH265" s="28">
        <f t="shared" si="28"/>
        <v>40</v>
      </c>
      <c r="AI265" s="28">
        <f t="shared" si="29"/>
        <v>0</v>
      </c>
      <c r="AJ265" s="28">
        <f t="shared" si="30"/>
        <v>0</v>
      </c>
      <c r="AK265" s="28">
        <f t="shared" si="31"/>
        <v>0</v>
      </c>
      <c r="AL265" s="28">
        <f t="shared" si="32"/>
        <v>0</v>
      </c>
      <c r="AM265" s="23" t="s">
        <v>1709</v>
      </c>
      <c r="AN265" s="37">
        <f>VLOOKUP(C265,'[2]MARÇO-2024'!$B:$M,12,0)</f>
        <v>40</v>
      </c>
      <c r="AO265" s="37">
        <f t="shared" si="33"/>
        <v>0</v>
      </c>
      <c r="AP265" s="37" t="str">
        <f t="shared" si="34"/>
        <v/>
      </c>
    </row>
    <row r="266" spans="1:42" ht="13.5" customHeight="1" x14ac:dyDescent="0.25">
      <c r="A266" s="17">
        <v>9</v>
      </c>
      <c r="B266" s="17">
        <v>34</v>
      </c>
      <c r="C266" s="29">
        <v>9038</v>
      </c>
      <c r="D266" s="43">
        <v>33198314</v>
      </c>
      <c r="E266" s="18"/>
      <c r="F266" s="68"/>
      <c r="G266" s="62" t="s">
        <v>1865</v>
      </c>
      <c r="H266" s="19" t="s">
        <v>1690</v>
      </c>
      <c r="I266" s="19" t="s">
        <v>1841</v>
      </c>
      <c r="J266" s="19" t="s">
        <v>1805</v>
      </c>
      <c r="K266" s="20" t="s">
        <v>1624</v>
      </c>
      <c r="L266" s="21">
        <v>200</v>
      </c>
      <c r="M266" s="21"/>
      <c r="N266" s="26" t="str">
        <f>IFERROR(VLOOKUP(O266,Apoio!A:B,2,0),"")</f>
        <v/>
      </c>
      <c r="O266" s="22">
        <f>IFERROR(VLOOKUP(C266,'[1]TB DIN'!$B:$D,3,0),"AGUARDANDO ANEXO")</f>
        <v>0</v>
      </c>
      <c r="P266" s="22">
        <f>IFERROR(VLOOKUP(C266,'[1]TB DIN INCLUIDOS'!$B:$H,3,0),"AGUARDANDO ANEXO")</f>
        <v>0</v>
      </c>
      <c r="Q266" s="26" cm="1">
        <f t="array" ref="Q266">_xlfn.IFS((P266&gt;N266),(N266*2),(P266&lt;=N266),(P266*2))</f>
        <v>0</v>
      </c>
      <c r="R266" s="22"/>
      <c r="S266" s="26">
        <f>IFERROR(VLOOKUP(T266,Apoio!A:B,2,0),"")</f>
        <v>4</v>
      </c>
      <c r="T266" s="22">
        <v>92</v>
      </c>
      <c r="U266" s="22">
        <f>IFERROR(VLOOKUP(C266,'[1]TB DIN INCLUIDOS'!$B:$H,4,0),"AGUARDANDO ANEXO")</f>
        <v>0</v>
      </c>
      <c r="V266" s="26" cm="1">
        <f t="array" ref="V266">_xlfn.IFS((U266&gt;S266),(S266*2),(U266&lt;=S266),(U266*2))</f>
        <v>0</v>
      </c>
      <c r="W266" s="22"/>
      <c r="X266" s="26">
        <f>IFERROR(VLOOKUP(Y266,Apoio!A:B,2,0),"")</f>
        <v>4</v>
      </c>
      <c r="Y266" s="22">
        <v>83</v>
      </c>
      <c r="Z266" s="22">
        <v>1</v>
      </c>
      <c r="AA266" s="26" cm="1">
        <f t="array" ref="AA266">_xlfn.IFS((Z266&gt;X266),(X266*2),(Z266&lt;=X266),(Z266*2))</f>
        <v>2</v>
      </c>
      <c r="AB266" s="22"/>
      <c r="AC266" s="26">
        <f>IFERROR(VLOOKUP(AD266,Apoio!A:B,2,0),"")</f>
        <v>1</v>
      </c>
      <c r="AD266" s="22">
        <f>IFERROR(VLOOKUP(C266,'[1]TB DIN'!$B:$H,6,0),"AGUARDANDO ANEXO")</f>
        <v>20</v>
      </c>
      <c r="AE266" s="22">
        <v>1</v>
      </c>
      <c r="AF266" s="26" cm="1">
        <f t="array" ref="AF266">_xlfn.IFS((AE266&gt;AC266),(AC266*2),(AE266&lt;=AC266),(AE266*2))</f>
        <v>2</v>
      </c>
      <c r="AG266" s="22"/>
      <c r="AH266" s="28">
        <f t="shared" si="28"/>
        <v>195</v>
      </c>
      <c r="AI266" s="28">
        <f t="shared" si="29"/>
        <v>2</v>
      </c>
      <c r="AJ266" s="28">
        <f t="shared" si="30"/>
        <v>4</v>
      </c>
      <c r="AK266" s="28">
        <f t="shared" si="31"/>
        <v>1</v>
      </c>
      <c r="AL266" s="28">
        <f t="shared" si="32"/>
        <v>0</v>
      </c>
      <c r="AM266" s="23" t="s">
        <v>1709</v>
      </c>
      <c r="AN266" s="37">
        <f>VLOOKUP(C266,'[2]MARÇO-2024'!$B:$M,12,0)</f>
        <v>194</v>
      </c>
      <c r="AO266" s="37">
        <f t="shared" si="33"/>
        <v>-1</v>
      </c>
      <c r="AP266" s="37" t="str">
        <f t="shared" si="34"/>
        <v/>
      </c>
    </row>
    <row r="267" spans="1:42" ht="13.5" customHeight="1" x14ac:dyDescent="0.25">
      <c r="A267" s="17">
        <v>9</v>
      </c>
      <c r="B267" s="17">
        <v>35</v>
      </c>
      <c r="C267" s="29">
        <v>9039</v>
      </c>
      <c r="D267" s="42">
        <v>33198349</v>
      </c>
      <c r="E267" s="18"/>
      <c r="F267" s="68"/>
      <c r="G267" s="62" t="s">
        <v>1727</v>
      </c>
      <c r="H267" s="19" t="s">
        <v>1691</v>
      </c>
      <c r="I267" s="19" t="s">
        <v>1691</v>
      </c>
      <c r="J267" s="19" t="s">
        <v>1806</v>
      </c>
      <c r="K267" s="20" t="s">
        <v>1622</v>
      </c>
      <c r="L267" s="21">
        <v>50</v>
      </c>
      <c r="M267" s="21"/>
      <c r="N267" s="26" t="str">
        <f>IFERROR(VLOOKUP(O267,Apoio!A:B,2,0),"")</f>
        <v/>
      </c>
      <c r="O267" s="22">
        <f>IFERROR(VLOOKUP(C267,'[1]TB DIN'!$B:$D,3,0),"AGUARDANDO ANEXO")</f>
        <v>0</v>
      </c>
      <c r="P267" s="22">
        <f>IFERROR(VLOOKUP(C267,'[1]TB DIN INCLUIDOS'!$B:$H,3,0),"AGUARDANDO ANEXO")</f>
        <v>0</v>
      </c>
      <c r="Q267" s="26" cm="1">
        <f t="array" ref="Q267">_xlfn.IFS((P267&gt;N267),(N267*2),(P267&lt;=N267),(P267*2))</f>
        <v>0</v>
      </c>
      <c r="R267" s="22"/>
      <c r="S267" s="26">
        <f>IFERROR(VLOOKUP(T267,Apoio!A:B,2,0),"")</f>
        <v>1</v>
      </c>
      <c r="T267" s="22">
        <f>IFERROR(VLOOKUP(C267,'[1]TB DIN'!$B:$H,4,0),"AGUARDANDO ANEXO")</f>
        <v>24</v>
      </c>
      <c r="U267" s="22">
        <f>IFERROR(VLOOKUP(C267,'[1]TB DIN INCLUIDOS'!$B:$H,4,0),"AGUARDANDO ANEXO")</f>
        <v>0</v>
      </c>
      <c r="V267" s="26" cm="1">
        <f t="array" ref="V267">_xlfn.IFS((U267&gt;S267),(S267*2),(U267&lt;=S267),(U267*2))</f>
        <v>0</v>
      </c>
      <c r="W267" s="22"/>
      <c r="X267" s="26">
        <f>IFERROR(VLOOKUP(Y267,Apoio!A:B,2,0),"")</f>
        <v>1</v>
      </c>
      <c r="Y267" s="22">
        <f>IFERROR(VLOOKUP(C267,'[1]TB DIN'!$B:$H,5,0),"AGUARDANDO ANEXO")</f>
        <v>15</v>
      </c>
      <c r="Z267" s="22">
        <f>IFERROR(VLOOKUP(C267,'[1]TB DIN INCLUIDOS'!$B:$H,5,0),"AGUARDANDO ANEXO")</f>
        <v>0</v>
      </c>
      <c r="AA267" s="26" cm="1">
        <f t="array" ref="AA267">_xlfn.IFS((Z267&gt;X267),(X267*2),(Z267&lt;=X267),(Z267*2))</f>
        <v>0</v>
      </c>
      <c r="AB267" s="22"/>
      <c r="AC267" s="26">
        <f>IFERROR(VLOOKUP(AD267,Apoio!A:B,2,0),"")</f>
        <v>1</v>
      </c>
      <c r="AD267" s="22">
        <f>IFERROR(VLOOKUP(C267,'[1]TB DIN'!$B:$H,6,0),"AGUARDANDO ANEXO")</f>
        <v>11</v>
      </c>
      <c r="AE267" s="22">
        <f>IFERROR(VLOOKUP(C267,'[1]TB DIN INCLUIDOS'!$B:$H,6,0),"AGUARDANDO ANEXO")</f>
        <v>0</v>
      </c>
      <c r="AF267" s="26" cm="1">
        <f t="array" ref="AF267">_xlfn.IFS((AE267&gt;AC267),(AC267*2),(AE267&lt;=AC267),(AE267*2))</f>
        <v>0</v>
      </c>
      <c r="AG267" s="22"/>
      <c r="AH267" s="28">
        <f t="shared" si="28"/>
        <v>50</v>
      </c>
      <c r="AI267" s="28">
        <f t="shared" si="29"/>
        <v>0</v>
      </c>
      <c r="AJ267" s="28">
        <f t="shared" si="30"/>
        <v>0</v>
      </c>
      <c r="AK267" s="28">
        <f t="shared" si="31"/>
        <v>0</v>
      </c>
      <c r="AL267" s="28">
        <f t="shared" si="32"/>
        <v>0</v>
      </c>
      <c r="AM267" s="23" t="s">
        <v>1709</v>
      </c>
      <c r="AN267" s="37">
        <f>VLOOKUP(C267,'[2]MARÇO-2024'!$B:$M,12,0)</f>
        <v>49</v>
      </c>
      <c r="AO267" s="37">
        <f t="shared" si="33"/>
        <v>-1</v>
      </c>
      <c r="AP267" s="37" t="str">
        <f t="shared" si="34"/>
        <v/>
      </c>
    </row>
    <row r="268" spans="1:42" ht="13.5" customHeight="1" x14ac:dyDescent="0.25">
      <c r="A268" s="17">
        <v>9</v>
      </c>
      <c r="B268" s="17">
        <v>36</v>
      </c>
      <c r="C268" s="29">
        <v>9040</v>
      </c>
      <c r="D268" s="39">
        <v>33199442</v>
      </c>
      <c r="E268" s="18"/>
      <c r="F268" s="68"/>
      <c r="G268" s="62" t="s">
        <v>1733</v>
      </c>
      <c r="H268" s="19" t="s">
        <v>1692</v>
      </c>
      <c r="I268" s="19" t="s">
        <v>1842</v>
      </c>
      <c r="J268" s="19" t="s">
        <v>1807</v>
      </c>
      <c r="K268" s="20" t="s">
        <v>1624</v>
      </c>
      <c r="L268" s="21">
        <v>50</v>
      </c>
      <c r="M268" s="21"/>
      <c r="N268" s="26" t="str">
        <f>IFERROR(VLOOKUP(O268,Apoio!A:B,2,0),"")</f>
        <v/>
      </c>
      <c r="O268" s="22">
        <f>IFERROR(VLOOKUP(C268,'[1]TB DIN'!$B:$D,3,0),"AGUARDANDO ANEXO")</f>
        <v>0</v>
      </c>
      <c r="P268" s="22">
        <f>IFERROR(VLOOKUP(C268,'[1]TB DIN INCLUIDOS'!$B:$H,3,0),"AGUARDANDO ANEXO")</f>
        <v>0</v>
      </c>
      <c r="Q268" s="26" cm="1">
        <f t="array" ref="Q268">_xlfn.IFS((P268&gt;N268),(N268*2),(P268&lt;=N268),(P268*2))</f>
        <v>0</v>
      </c>
      <c r="R268" s="22"/>
      <c r="S268" s="26">
        <f>IFERROR(VLOOKUP(T268,Apoio!A:B,2,0),"")</f>
        <v>1</v>
      </c>
      <c r="T268" s="22">
        <v>15</v>
      </c>
      <c r="U268" s="22">
        <f>IFERROR(VLOOKUP(C268,'[1]TB DIN INCLUIDOS'!$B:$H,4,0),"AGUARDANDO ANEXO")</f>
        <v>0</v>
      </c>
      <c r="V268" s="26" cm="1">
        <f t="array" ref="V268">_xlfn.IFS((U268&gt;S268),(S268*2),(U268&lt;=S268),(U268*2))</f>
        <v>0</v>
      </c>
      <c r="W268" s="22"/>
      <c r="X268" s="26">
        <f>IFERROR(VLOOKUP(Y268,Apoio!A:B,2,0),"")</f>
        <v>1</v>
      </c>
      <c r="Y268" s="22">
        <v>20</v>
      </c>
      <c r="Z268" s="22">
        <f>IFERROR(VLOOKUP(C268,'[1]TB DIN INCLUIDOS'!$B:$H,5,0),"AGUARDANDO ANEXO")</f>
        <v>0</v>
      </c>
      <c r="AA268" s="26" cm="1">
        <f t="array" ref="AA268">_xlfn.IFS((Z268&gt;X268),(X268*2),(Z268&lt;=X268),(Z268*2))</f>
        <v>0</v>
      </c>
      <c r="AB268" s="22"/>
      <c r="AC268" s="26">
        <f>IFERROR(VLOOKUP(AD268,Apoio!A:B,2,0),"")</f>
        <v>1</v>
      </c>
      <c r="AD268" s="22">
        <v>15</v>
      </c>
      <c r="AE268" s="22">
        <f>IFERROR(VLOOKUP(C268,'[1]TB DIN INCLUIDOS'!$B:$H,6,0),"AGUARDANDO ANEXO")</f>
        <v>0</v>
      </c>
      <c r="AF268" s="26" cm="1">
        <f t="array" ref="AF268">_xlfn.IFS((AE268&gt;AC268),(AC268*2),(AE268&lt;=AC268),(AE268*2))</f>
        <v>0</v>
      </c>
      <c r="AG268" s="22"/>
      <c r="AH268" s="28">
        <f t="shared" si="28"/>
        <v>50</v>
      </c>
      <c r="AI268" s="28">
        <f t="shared" si="29"/>
        <v>0</v>
      </c>
      <c r="AJ268" s="28">
        <f t="shared" si="30"/>
        <v>0</v>
      </c>
      <c r="AK268" s="28">
        <f t="shared" si="31"/>
        <v>0</v>
      </c>
      <c r="AL268" s="28">
        <f t="shared" si="32"/>
        <v>0</v>
      </c>
      <c r="AM268" s="23" t="s">
        <v>1709</v>
      </c>
      <c r="AN268" s="37">
        <f>VLOOKUP(C268,'[2]MARÇO-2024'!$B:$M,12,0)</f>
        <v>50</v>
      </c>
      <c r="AO268" s="37">
        <f t="shared" si="33"/>
        <v>0</v>
      </c>
      <c r="AP268" s="37" t="str">
        <f t="shared" si="34"/>
        <v/>
      </c>
    </row>
    <row r="269" spans="1:42" ht="13.5" customHeight="1" x14ac:dyDescent="0.25">
      <c r="A269" s="17">
        <v>9</v>
      </c>
      <c r="B269" s="17">
        <v>37</v>
      </c>
      <c r="C269" s="29">
        <v>9041</v>
      </c>
      <c r="D269" s="43">
        <v>33198470</v>
      </c>
      <c r="E269" s="18"/>
      <c r="F269" s="68"/>
      <c r="G269" s="62" t="s">
        <v>1729</v>
      </c>
      <c r="H269" s="19" t="s">
        <v>1693</v>
      </c>
      <c r="I269" s="19" t="s">
        <v>1693</v>
      </c>
      <c r="J269" s="19" t="s">
        <v>1808</v>
      </c>
      <c r="K269" s="20" t="s">
        <v>1622</v>
      </c>
      <c r="L269" s="21">
        <v>60</v>
      </c>
      <c r="M269" s="21"/>
      <c r="N269" s="26" t="str">
        <f>IFERROR(VLOOKUP(O269,Apoio!A:B,2,0),"")</f>
        <v/>
      </c>
      <c r="O269" s="22">
        <f>IFERROR(VLOOKUP(C269,'[1]TB DIN'!$B:$D,3,0),"AGUARDANDO ANEXO")</f>
        <v>0</v>
      </c>
      <c r="P269" s="22">
        <f>IFERROR(VLOOKUP(C269,'[1]TB DIN INCLUIDOS'!$B:$H,3,0),"AGUARDANDO ANEXO")</f>
        <v>0</v>
      </c>
      <c r="Q269" s="26" cm="1">
        <f t="array" ref="Q269">_xlfn.IFS((P269&gt;N269),(N269*2),(P269&lt;=N269),(P269*2))</f>
        <v>0</v>
      </c>
      <c r="R269" s="22"/>
      <c r="S269" s="26">
        <f>IFERROR(VLOOKUP(T269,Apoio!A:B,2,0),"")</f>
        <v>1</v>
      </c>
      <c r="T269" s="22">
        <f>IFERROR(VLOOKUP(C269,'[1]TB DIN'!$B:$H,4,0),"AGUARDANDO ANEXO")</f>
        <v>12</v>
      </c>
      <c r="U269" s="22">
        <f>IFERROR(VLOOKUP(C269,'[1]TB DIN INCLUIDOS'!$B:$H,4,0),"AGUARDANDO ANEXO")</f>
        <v>0</v>
      </c>
      <c r="V269" s="26" cm="1">
        <f t="array" ref="V269">_xlfn.IFS((U269&gt;S269),(S269*2),(U269&lt;=S269),(U269*2))</f>
        <v>0</v>
      </c>
      <c r="W269" s="22"/>
      <c r="X269" s="26">
        <f>IFERROR(VLOOKUP(Y269,Apoio!A:B,2,0),"")</f>
        <v>1</v>
      </c>
      <c r="Y269" s="22">
        <f>IFERROR(VLOOKUP(C269,'[1]TB DIN'!$B:$H,5,0),"AGUARDANDO ANEXO")</f>
        <v>24</v>
      </c>
      <c r="Z269" s="22">
        <f>IFERROR(VLOOKUP(C269,'[1]TB DIN INCLUIDOS'!$B:$H,5,0),"AGUARDANDO ANEXO")</f>
        <v>0</v>
      </c>
      <c r="AA269" s="26" cm="1">
        <f t="array" ref="AA269">_xlfn.IFS((Z269&gt;X269),(X269*2),(Z269&lt;=X269),(Z269*2))</f>
        <v>0</v>
      </c>
      <c r="AB269" s="22"/>
      <c r="AC269" s="26">
        <f>IFERROR(VLOOKUP(AD269,Apoio!A:B,2,0),"")</f>
        <v>1</v>
      </c>
      <c r="AD269" s="22">
        <f>IFERROR(VLOOKUP(C269,'[1]TB DIN'!$B:$H,6,0),"AGUARDANDO ANEXO")</f>
        <v>24</v>
      </c>
      <c r="AE269" s="22">
        <f>IFERROR(VLOOKUP(C269,'[1]TB DIN INCLUIDOS'!$B:$H,6,0),"AGUARDANDO ANEXO")</f>
        <v>0</v>
      </c>
      <c r="AF269" s="26" cm="1">
        <f t="array" ref="AF269">_xlfn.IFS((AE269&gt;AC269),(AC269*2),(AE269&lt;=AC269),(AE269*2))</f>
        <v>0</v>
      </c>
      <c r="AG269" s="22"/>
      <c r="AH269" s="28">
        <f t="shared" si="28"/>
        <v>60</v>
      </c>
      <c r="AI269" s="28">
        <f t="shared" si="29"/>
        <v>0</v>
      </c>
      <c r="AJ269" s="28">
        <f t="shared" si="30"/>
        <v>0</v>
      </c>
      <c r="AK269" s="28">
        <f t="shared" si="31"/>
        <v>0</v>
      </c>
      <c r="AL269" s="28">
        <f t="shared" si="32"/>
        <v>0</v>
      </c>
      <c r="AM269" s="23" t="s">
        <v>1709</v>
      </c>
      <c r="AN269" s="37">
        <f>VLOOKUP(C269,'[2]MARÇO-2024'!$B:$M,12,0)</f>
        <v>60</v>
      </c>
      <c r="AO269" s="37">
        <f t="shared" si="33"/>
        <v>0</v>
      </c>
      <c r="AP269" s="37" t="str">
        <f t="shared" si="34"/>
        <v/>
      </c>
    </row>
    <row r="270" spans="1:42" ht="13.5" customHeight="1" x14ac:dyDescent="0.25">
      <c r="A270" s="17">
        <v>9</v>
      </c>
      <c r="B270" s="17">
        <v>38</v>
      </c>
      <c r="C270" s="29">
        <v>9042</v>
      </c>
      <c r="D270" s="43">
        <v>33198187</v>
      </c>
      <c r="E270" s="18"/>
      <c r="F270" s="68"/>
      <c r="G270" s="66" t="s">
        <v>1737</v>
      </c>
      <c r="H270" s="19" t="s">
        <v>1694</v>
      </c>
      <c r="I270" s="19" t="s">
        <v>1694</v>
      </c>
      <c r="J270" s="19" t="s">
        <v>1809</v>
      </c>
      <c r="K270" s="20" t="s">
        <v>1622</v>
      </c>
      <c r="L270" s="21">
        <v>40</v>
      </c>
      <c r="M270" s="21"/>
      <c r="N270" s="26" t="str">
        <f>IFERROR(VLOOKUP(O270,Apoio!A:B,2,0),"")</f>
        <v/>
      </c>
      <c r="O270" s="22">
        <f>IFERROR(VLOOKUP(C270,'[1]TB DIN'!$B:$D,3,0),"AGUARDANDO ANEXO")</f>
        <v>0</v>
      </c>
      <c r="P270" s="22">
        <f>IFERROR(VLOOKUP(C270,'[1]TB DIN INCLUIDOS'!$B:$H,3,0),"AGUARDANDO ANEXO")</f>
        <v>0</v>
      </c>
      <c r="Q270" s="26" cm="1">
        <f t="array" ref="Q270">_xlfn.IFS((P270&gt;N270),(N270*2),(P270&lt;=N270),(P270*2))</f>
        <v>0</v>
      </c>
      <c r="R270" s="22"/>
      <c r="S270" s="26">
        <f>IFERROR(VLOOKUP(T270,Apoio!A:B,2,0),"")</f>
        <v>1</v>
      </c>
      <c r="T270" s="22">
        <f>IFERROR(VLOOKUP(C270,'[1]TB DIN'!$B:$H,4,0),"AGUARDANDO ANEXO")</f>
        <v>10</v>
      </c>
      <c r="U270" s="22">
        <f>IFERROR(VLOOKUP(C270,'[1]TB DIN INCLUIDOS'!$B:$H,4,0),"AGUARDANDO ANEXO")</f>
        <v>0</v>
      </c>
      <c r="V270" s="26" cm="1">
        <f t="array" ref="V270">_xlfn.IFS((U270&gt;S270),(S270*2),(U270&lt;=S270),(U270*2))</f>
        <v>0</v>
      </c>
      <c r="W270" s="22"/>
      <c r="X270" s="26">
        <f>IFERROR(VLOOKUP(Y270,Apoio!A:B,2,0),"")</f>
        <v>1</v>
      </c>
      <c r="Y270" s="22">
        <f>IFERROR(VLOOKUP(C270,'[1]TB DIN'!$B:$H,5,0),"AGUARDANDO ANEXO")</f>
        <v>12</v>
      </c>
      <c r="Z270" s="22">
        <f>IFERROR(VLOOKUP(C270,'[1]TB DIN INCLUIDOS'!$B:$H,5,0),"AGUARDANDO ANEXO")</f>
        <v>0</v>
      </c>
      <c r="AA270" s="26" cm="1">
        <f t="array" ref="AA270">_xlfn.IFS((Z270&gt;X270),(X270*2),(Z270&lt;=X270),(Z270*2))</f>
        <v>0</v>
      </c>
      <c r="AB270" s="22"/>
      <c r="AC270" s="26">
        <f>IFERROR(VLOOKUP(AD270,Apoio!A:B,2,0),"")</f>
        <v>1</v>
      </c>
      <c r="AD270" s="22">
        <f>IFERROR(VLOOKUP(C270,'[1]TB DIN'!$B:$H,6,0),"AGUARDANDO ANEXO")</f>
        <v>7</v>
      </c>
      <c r="AE270" s="22">
        <f>IFERROR(VLOOKUP(C270,'[1]TB DIN INCLUIDOS'!$B:$H,6,0),"AGUARDANDO ANEXO")</f>
        <v>0</v>
      </c>
      <c r="AF270" s="26" cm="1">
        <f t="array" ref="AF270">_xlfn.IFS((AE270&gt;AC270),(AC270*2),(AE270&lt;=AC270),(AE270*2))</f>
        <v>0</v>
      </c>
      <c r="AG270" s="22"/>
      <c r="AH270" s="28">
        <f t="shared" si="28"/>
        <v>29</v>
      </c>
      <c r="AI270" s="28">
        <f t="shared" si="29"/>
        <v>0</v>
      </c>
      <c r="AJ270" s="28">
        <f t="shared" si="30"/>
        <v>0</v>
      </c>
      <c r="AK270" s="28">
        <f t="shared" si="31"/>
        <v>11</v>
      </c>
      <c r="AL270" s="28">
        <f t="shared" si="32"/>
        <v>0</v>
      </c>
      <c r="AM270" s="23" t="s">
        <v>1709</v>
      </c>
      <c r="AN270" s="37">
        <f>VLOOKUP(C270,'[2]MARÇO-2024'!$B:$M,12,0)</f>
        <v>26</v>
      </c>
      <c r="AO270" s="37">
        <f t="shared" si="33"/>
        <v>-3</v>
      </c>
      <c r="AP270" s="37" t="str">
        <f t="shared" si="34"/>
        <v/>
      </c>
    </row>
    <row r="271" spans="1:42" ht="13.5" customHeight="1" x14ac:dyDescent="0.25">
      <c r="A271" s="17">
        <v>9</v>
      </c>
      <c r="B271" s="17">
        <v>39</v>
      </c>
      <c r="C271" s="29">
        <v>9043</v>
      </c>
      <c r="D271" s="42">
        <v>33198195</v>
      </c>
      <c r="E271" s="18"/>
      <c r="F271" s="68"/>
      <c r="G271" s="62" t="s">
        <v>1730</v>
      </c>
      <c r="H271" s="19" t="s">
        <v>1695</v>
      </c>
      <c r="I271" s="19" t="s">
        <v>1843</v>
      </c>
      <c r="J271" s="19" t="s">
        <v>1810</v>
      </c>
      <c r="K271" s="20" t="s">
        <v>1803</v>
      </c>
      <c r="L271" s="21">
        <v>50</v>
      </c>
      <c r="M271" s="21"/>
      <c r="N271" s="26" t="str">
        <f>IFERROR(VLOOKUP(O271,Apoio!A:B,2,0),"")</f>
        <v/>
      </c>
      <c r="O271" s="22">
        <f>IFERROR(VLOOKUP(C271,'[1]TB DIN'!$B:$D,3,0),"AGUARDANDO ANEXO")</f>
        <v>0</v>
      </c>
      <c r="P271" s="22">
        <f>IFERROR(VLOOKUP(C271,'[1]TB DIN INCLUIDOS'!$B:$H,3,0),"AGUARDANDO ANEXO")</f>
        <v>0</v>
      </c>
      <c r="Q271" s="26" cm="1">
        <f t="array" ref="Q271">_xlfn.IFS((P271&gt;N271),(N271*2),(P271&lt;=N271),(P271*2))</f>
        <v>0</v>
      </c>
      <c r="R271" s="22"/>
      <c r="S271" s="26" t="str">
        <f>IFERROR(VLOOKUP(T271,Apoio!A:B,2,0),"")</f>
        <v/>
      </c>
      <c r="T271" s="22">
        <f>IFERROR(VLOOKUP(C271,'[1]TB DIN'!$B:$H,4,0),"AGUARDANDO ANEXO")</f>
        <v>0</v>
      </c>
      <c r="U271" s="22">
        <f>IFERROR(VLOOKUP(C271,'[1]TB DIN INCLUIDOS'!$B:$H,4,0),"AGUARDANDO ANEXO")</f>
        <v>0</v>
      </c>
      <c r="V271" s="26" cm="1">
        <f t="array" ref="V271">_xlfn.IFS((U271&gt;S271),(S271*2),(U271&lt;=S271),(U271*2))</f>
        <v>0</v>
      </c>
      <c r="W271" s="22"/>
      <c r="X271" s="26">
        <f>IFERROR(VLOOKUP(Y271,Apoio!A:B,2,0),"")</f>
        <v>1</v>
      </c>
      <c r="Y271" s="22">
        <f>IFERROR(VLOOKUP(C271,'[1]TB DIN'!$B:$H,5,0),"AGUARDANDO ANEXO")</f>
        <v>25</v>
      </c>
      <c r="Z271" s="22">
        <f>IFERROR(VLOOKUP(C271,'[1]TB DIN INCLUIDOS'!$B:$H,5,0),"AGUARDANDO ANEXO")</f>
        <v>0</v>
      </c>
      <c r="AA271" s="26" cm="1">
        <f t="array" ref="AA271">_xlfn.IFS((Z271&gt;X271),(X271*2),(Z271&lt;=X271),(Z271*2))</f>
        <v>0</v>
      </c>
      <c r="AB271" s="22"/>
      <c r="AC271" s="26">
        <f>IFERROR(VLOOKUP(AD271,Apoio!A:B,2,0),"")</f>
        <v>1</v>
      </c>
      <c r="AD271" s="22">
        <f>IFERROR(VLOOKUP(C271,'[1]TB DIN'!$B:$H,6,0),"AGUARDANDO ANEXO")</f>
        <v>25</v>
      </c>
      <c r="AE271" s="22">
        <f>IFERROR(VLOOKUP(C271,'[1]TB DIN INCLUIDOS'!$B:$H,6,0),"AGUARDANDO ANEXO")</f>
        <v>0</v>
      </c>
      <c r="AF271" s="26" cm="1">
        <f t="array" ref="AF271">_xlfn.IFS((AE271&gt;AC271),(AC271*2),(AE271&lt;=AC271),(AE271*2))</f>
        <v>0</v>
      </c>
      <c r="AG271" s="22"/>
      <c r="AH271" s="28">
        <f t="shared" si="28"/>
        <v>50</v>
      </c>
      <c r="AI271" s="28">
        <f t="shared" si="29"/>
        <v>0</v>
      </c>
      <c r="AJ271" s="28">
        <f t="shared" si="30"/>
        <v>0</v>
      </c>
      <c r="AK271" s="28">
        <f t="shared" si="31"/>
        <v>0</v>
      </c>
      <c r="AL271" s="28">
        <f t="shared" si="32"/>
        <v>0</v>
      </c>
      <c r="AM271" s="23" t="s">
        <v>1709</v>
      </c>
      <c r="AN271" s="37">
        <f>VLOOKUP(C271,'[2]MARÇO-2024'!$B:$M,12,0)</f>
        <v>50</v>
      </c>
      <c r="AO271" s="37">
        <f t="shared" si="33"/>
        <v>0</v>
      </c>
      <c r="AP271" s="37" t="str">
        <f t="shared" si="34"/>
        <v/>
      </c>
    </row>
    <row r="272" spans="1:42" ht="13.5" customHeight="1" x14ac:dyDescent="0.25">
      <c r="A272" s="17">
        <v>9</v>
      </c>
      <c r="B272" s="17">
        <v>40</v>
      </c>
      <c r="C272" s="29">
        <v>9044</v>
      </c>
      <c r="D272" s="39">
        <v>33199477</v>
      </c>
      <c r="E272" s="18"/>
      <c r="F272" s="68"/>
      <c r="G272" s="62" t="s">
        <v>1728</v>
      </c>
      <c r="H272" s="19" t="s">
        <v>1696</v>
      </c>
      <c r="I272" s="19" t="s">
        <v>1696</v>
      </c>
      <c r="J272" s="19" t="s">
        <v>1811</v>
      </c>
      <c r="K272" s="20" t="s">
        <v>1803</v>
      </c>
      <c r="L272" s="21">
        <v>110</v>
      </c>
      <c r="M272" s="21"/>
      <c r="N272" s="26" t="str">
        <f>IFERROR(VLOOKUP(O272,Apoio!A:B,2,0),"")</f>
        <v/>
      </c>
      <c r="O272" s="22">
        <f>IFERROR(VLOOKUP(C272,'[1]TB DIN'!$B:$D,3,0),"AGUARDANDO ANEXO")</f>
        <v>0</v>
      </c>
      <c r="P272" s="22">
        <f>IFERROR(VLOOKUP(C272,'[1]TB DIN INCLUIDOS'!$B:$H,3,0),"AGUARDANDO ANEXO")</f>
        <v>0</v>
      </c>
      <c r="Q272" s="26" cm="1">
        <f t="array" ref="Q272">_xlfn.IFS((P272&gt;N272),(N272*2),(P272&lt;=N272),(P272*2))</f>
        <v>0</v>
      </c>
      <c r="R272" s="22"/>
      <c r="S272" s="26">
        <f>IFERROR(VLOOKUP(T272,Apoio!A:B,2,0),"")</f>
        <v>2</v>
      </c>
      <c r="T272" s="22">
        <v>36</v>
      </c>
      <c r="U272" s="22">
        <f>IFERROR(VLOOKUP(C272,'[1]TB DIN INCLUIDOS'!$B:$H,4,0),"AGUARDANDO ANEXO")</f>
        <v>0</v>
      </c>
      <c r="V272" s="26" cm="1">
        <f t="array" ref="V272">_xlfn.IFS((U272&gt;S272),(S272*2),(U272&lt;=S272),(U272*2))</f>
        <v>0</v>
      </c>
      <c r="W272" s="22"/>
      <c r="X272" s="26">
        <f>IFERROR(VLOOKUP(Y272,Apoio!A:B,2,0),"")</f>
        <v>2</v>
      </c>
      <c r="Y272" s="22">
        <v>43</v>
      </c>
      <c r="Z272" s="22">
        <f>IFERROR(VLOOKUP(C272,'[1]TB DIN INCLUIDOS'!$B:$H,5,0),"AGUARDANDO ANEXO")</f>
        <v>0</v>
      </c>
      <c r="AA272" s="26" cm="1">
        <f t="array" ref="AA272">_xlfn.IFS((Z272&gt;X272),(X272*2),(Z272&lt;=X272),(Z272*2))</f>
        <v>0</v>
      </c>
      <c r="AB272" s="22"/>
      <c r="AC272" s="26">
        <f>IFERROR(VLOOKUP(AD272,Apoio!A:B,2,0),"")</f>
        <v>2</v>
      </c>
      <c r="AD272" s="22">
        <v>30</v>
      </c>
      <c r="AE272" s="22">
        <f>IFERROR(VLOOKUP(C272,'[1]TB DIN INCLUIDOS'!$B:$H,6,0),"AGUARDANDO ANEXO")</f>
        <v>2</v>
      </c>
      <c r="AF272" s="26" cm="1">
        <f t="array" ref="AF272">_xlfn.IFS((AE272&gt;AC272),(AC272*2),(AE272&lt;=AC272),(AE272*2))</f>
        <v>4</v>
      </c>
      <c r="AG272" s="22"/>
      <c r="AH272" s="28">
        <f t="shared" si="28"/>
        <v>109</v>
      </c>
      <c r="AI272" s="28">
        <f t="shared" si="29"/>
        <v>2</v>
      </c>
      <c r="AJ272" s="28">
        <f t="shared" si="30"/>
        <v>4</v>
      </c>
      <c r="AK272" s="28">
        <f t="shared" si="31"/>
        <v>0</v>
      </c>
      <c r="AL272" s="28">
        <f t="shared" si="32"/>
        <v>-3</v>
      </c>
      <c r="AM272" s="23" t="s">
        <v>1709</v>
      </c>
      <c r="AN272" s="37">
        <f>VLOOKUP(C272,'[2]MARÇO-2024'!$B:$M,12,0)</f>
        <v>106</v>
      </c>
      <c r="AO272" s="37">
        <f t="shared" si="33"/>
        <v>-3</v>
      </c>
      <c r="AP272" s="37" t="str">
        <f t="shared" si="34"/>
        <v/>
      </c>
    </row>
    <row r="273" spans="1:42" ht="13.5" customHeight="1" x14ac:dyDescent="0.25">
      <c r="A273" s="17">
        <v>9</v>
      </c>
      <c r="B273" s="17">
        <v>41</v>
      </c>
      <c r="C273" s="29">
        <v>9045</v>
      </c>
      <c r="D273" s="43">
        <v>33198357</v>
      </c>
      <c r="E273" s="18"/>
      <c r="F273" s="68"/>
      <c r="G273" s="62" t="s">
        <v>1866</v>
      </c>
      <c r="H273" s="19" t="s">
        <v>1697</v>
      </c>
      <c r="I273" s="19" t="s">
        <v>1697</v>
      </c>
      <c r="J273" s="19" t="s">
        <v>1812</v>
      </c>
      <c r="K273" s="20" t="s">
        <v>1622</v>
      </c>
      <c r="L273" s="21">
        <v>40</v>
      </c>
      <c r="M273" s="21"/>
      <c r="N273" s="26" t="str">
        <f>IFERROR(VLOOKUP(O273,Apoio!A:B,2,0),"")</f>
        <v/>
      </c>
      <c r="O273" s="22">
        <f>IFERROR(VLOOKUP(C273,'[1]TB DIN'!$B:$D,3,0),"AGUARDANDO ANEXO")</f>
        <v>0</v>
      </c>
      <c r="P273" s="22">
        <f>IFERROR(VLOOKUP(C273,'[1]TB DIN INCLUIDOS'!$B:$H,3,0),"AGUARDANDO ANEXO")</f>
        <v>0</v>
      </c>
      <c r="Q273" s="26" cm="1">
        <f t="array" ref="Q273">_xlfn.IFS((P273&gt;N273),(N273*2),(P273&lt;=N273),(P273*2))</f>
        <v>0</v>
      </c>
      <c r="R273" s="22"/>
      <c r="S273" s="26">
        <f>IFERROR(VLOOKUP(T273,Apoio!A:B,2,0),"")</f>
        <v>1</v>
      </c>
      <c r="T273" s="22">
        <v>18</v>
      </c>
      <c r="U273" s="22">
        <f>IFERROR(VLOOKUP(C273,'[1]TB DIN INCLUIDOS'!$B:$H,4,0),"AGUARDANDO ANEXO")</f>
        <v>0</v>
      </c>
      <c r="V273" s="26" cm="1">
        <f t="array" ref="V273">_xlfn.IFS((U273&gt;S273),(S273*2),(U273&lt;=S273),(U273*2))</f>
        <v>0</v>
      </c>
      <c r="W273" s="22"/>
      <c r="X273" s="26">
        <f>IFERROR(VLOOKUP(Y273,Apoio!A:B,2,0),"")</f>
        <v>1</v>
      </c>
      <c r="Y273" s="22">
        <v>20</v>
      </c>
      <c r="Z273" s="22">
        <f>IFERROR(VLOOKUP(C273,'[1]TB DIN INCLUIDOS'!$B:$H,5,0),"AGUARDANDO ANEXO")</f>
        <v>2</v>
      </c>
      <c r="AA273" s="26" cm="1">
        <f t="array" ref="AA273">_xlfn.IFS((Z273&gt;X273),(X273*2),(Z273&lt;=X273),(Z273*2))</f>
        <v>2</v>
      </c>
      <c r="AB273" s="22"/>
      <c r="AC273" s="26" t="str">
        <f>IFERROR(VLOOKUP(AD273,Apoio!A:B,2,0),"")</f>
        <v/>
      </c>
      <c r="AD273" s="22">
        <f>IFERROR(VLOOKUP(C273,'[1]TB DIN'!$B:$H,6,0),"AGUARDANDO ANEXO")</f>
        <v>0</v>
      </c>
      <c r="AE273" s="22">
        <f>IFERROR(VLOOKUP(C273,'[1]TB DIN INCLUIDOS'!$B:$H,6,0),"AGUARDANDO ANEXO")</f>
        <v>0</v>
      </c>
      <c r="AF273" s="26" cm="1">
        <f t="array" ref="AF273">_xlfn.IFS((AE273&gt;AC273),(AC273*2),(AE273&lt;=AC273),(AE273*2))</f>
        <v>0</v>
      </c>
      <c r="AG273" s="22"/>
      <c r="AH273" s="28">
        <f t="shared" si="28"/>
        <v>38</v>
      </c>
      <c r="AI273" s="28">
        <f t="shared" si="29"/>
        <v>2</v>
      </c>
      <c r="AJ273" s="28">
        <f t="shared" si="30"/>
        <v>2</v>
      </c>
      <c r="AK273" s="28">
        <f t="shared" si="31"/>
        <v>0</v>
      </c>
      <c r="AL273" s="28">
        <f t="shared" si="32"/>
        <v>0</v>
      </c>
      <c r="AM273" s="23" t="s">
        <v>1709</v>
      </c>
      <c r="AN273" s="37">
        <f>VLOOKUP(C273,'[2]MARÇO-2024'!$B:$M,12,0)</f>
        <v>37</v>
      </c>
      <c r="AO273" s="37">
        <f t="shared" si="33"/>
        <v>-1</v>
      </c>
      <c r="AP273" s="37" t="str">
        <f t="shared" si="34"/>
        <v/>
      </c>
    </row>
    <row r="274" spans="1:42" ht="13.5" customHeight="1" x14ac:dyDescent="0.25">
      <c r="A274" s="17">
        <v>9</v>
      </c>
      <c r="B274" s="17">
        <v>42</v>
      </c>
      <c r="C274" s="29">
        <v>9046</v>
      </c>
      <c r="D274" s="43">
        <v>33198454</v>
      </c>
      <c r="E274" s="18"/>
      <c r="F274" s="68"/>
      <c r="G274" s="62" t="s">
        <v>1732</v>
      </c>
      <c r="H274" s="19" t="s">
        <v>1698</v>
      </c>
      <c r="I274" s="19" t="s">
        <v>1844</v>
      </c>
      <c r="J274" s="19" t="s">
        <v>1813</v>
      </c>
      <c r="K274" s="20" t="s">
        <v>1623</v>
      </c>
      <c r="L274" s="21">
        <v>75</v>
      </c>
      <c r="M274" s="21"/>
      <c r="N274" s="26" t="str">
        <f>IFERROR(VLOOKUP(O274,Apoio!A:B,2,0),"")</f>
        <v/>
      </c>
      <c r="O274" s="22">
        <f>IFERROR(VLOOKUP(C274,'[1]TB DIN'!$B:$D,3,0),"AGUARDANDO ANEXO")</f>
        <v>0</v>
      </c>
      <c r="P274" s="22">
        <f>IFERROR(VLOOKUP(C274,'[1]TB DIN INCLUIDOS'!$B:$H,3,0),"AGUARDANDO ANEXO")</f>
        <v>0</v>
      </c>
      <c r="Q274" s="26" cm="1">
        <f t="array" ref="Q274">_xlfn.IFS((P274&gt;N274),(N274*2),(P274&lt;=N274),(P274*2))</f>
        <v>0</v>
      </c>
      <c r="R274" s="22"/>
      <c r="S274" s="26">
        <f>IFERROR(VLOOKUP(T274,Apoio!A:B,2,0),"")</f>
        <v>1</v>
      </c>
      <c r="T274" s="22">
        <v>16</v>
      </c>
      <c r="U274" s="22">
        <f>IFERROR(VLOOKUP(C274,'[1]TB DIN INCLUIDOS'!$B:$H,4,0),"AGUARDANDO ANEXO")</f>
        <v>0</v>
      </c>
      <c r="V274" s="26" cm="1">
        <f t="array" ref="V274">_xlfn.IFS((U274&gt;S274),(S274*2),(U274&lt;=S274),(U274*2))</f>
        <v>0</v>
      </c>
      <c r="W274" s="22"/>
      <c r="X274" s="26">
        <f>IFERROR(VLOOKUP(Y274,Apoio!A:B,2,0),"")</f>
        <v>2</v>
      </c>
      <c r="Y274" s="22">
        <f>IFERROR(VLOOKUP(C274,'[1]TB DIN'!$B:$H,5,0),"AGUARDANDO ANEXO")</f>
        <v>43</v>
      </c>
      <c r="Z274" s="22">
        <f>IFERROR(VLOOKUP(C274,'[1]TB DIN INCLUIDOS'!$B:$H,5,0),"AGUARDANDO ANEXO")</f>
        <v>1</v>
      </c>
      <c r="AA274" s="26" cm="1">
        <f t="array" ref="AA274">_xlfn.IFS((Z274&gt;X274),(X274*2),(Z274&lt;=X274),(Z274*2))</f>
        <v>2</v>
      </c>
      <c r="AB274" s="22"/>
      <c r="AC274" s="26">
        <f>IFERROR(VLOOKUP(AD274,Apoio!A:B,2,0),"")</f>
        <v>1</v>
      </c>
      <c r="AD274" s="22">
        <f>IFERROR(VLOOKUP(C274,'[1]TB DIN'!$B:$H,6,0),"AGUARDANDO ANEXO")</f>
        <v>14</v>
      </c>
      <c r="AE274" s="22">
        <f>IFERROR(VLOOKUP(C274,'[1]TB DIN INCLUIDOS'!$B:$H,6,0),"AGUARDANDO ANEXO")</f>
        <v>1</v>
      </c>
      <c r="AF274" s="26" cm="1">
        <f t="array" ref="AF274">_xlfn.IFS((AE274&gt;AC274),(AC274*2),(AE274&lt;=AC274),(AE274*2))</f>
        <v>2</v>
      </c>
      <c r="AG274" s="22"/>
      <c r="AH274" s="28">
        <f t="shared" si="28"/>
        <v>73</v>
      </c>
      <c r="AI274" s="28">
        <f t="shared" si="29"/>
        <v>2</v>
      </c>
      <c r="AJ274" s="28">
        <f t="shared" si="30"/>
        <v>4</v>
      </c>
      <c r="AK274" s="28">
        <f t="shared" si="31"/>
        <v>0</v>
      </c>
      <c r="AL274" s="28">
        <f t="shared" si="32"/>
        <v>-2</v>
      </c>
      <c r="AM274" s="23" t="s">
        <v>1709</v>
      </c>
      <c r="AN274" s="37">
        <f>VLOOKUP(C274,'[2]MARÇO-2024'!$B:$M,12,0)</f>
        <v>73</v>
      </c>
      <c r="AO274" s="37">
        <f t="shared" si="33"/>
        <v>0</v>
      </c>
      <c r="AP274" s="37" t="str">
        <f t="shared" si="34"/>
        <v/>
      </c>
    </row>
    <row r="275" spans="1:42" ht="13.5" customHeight="1" x14ac:dyDescent="0.25">
      <c r="A275" s="17">
        <v>10</v>
      </c>
      <c r="B275" s="17">
        <v>1</v>
      </c>
      <c r="C275" s="29">
        <v>10001</v>
      </c>
      <c r="D275" s="38">
        <v>33084513</v>
      </c>
      <c r="E275" s="18" t="s">
        <v>556</v>
      </c>
      <c r="F275" s="68" t="s">
        <v>837</v>
      </c>
      <c r="G275" s="62" t="s">
        <v>339</v>
      </c>
      <c r="H275" s="19" t="s">
        <v>1105</v>
      </c>
      <c r="I275" s="19" t="s">
        <v>1105</v>
      </c>
      <c r="J275" s="19" t="s">
        <v>1511</v>
      </c>
      <c r="K275" s="20" t="s">
        <v>1626</v>
      </c>
      <c r="L275" s="21">
        <v>137</v>
      </c>
      <c r="M275" s="21"/>
      <c r="N275" s="26" t="str">
        <f>IFERROR(VLOOKUP(O275,Apoio!A:B,2,0),"")</f>
        <v/>
      </c>
      <c r="O275" s="22">
        <f>IFERROR(VLOOKUP(C275,'[1]TB DIN'!$B:$D,3,0),"AGUARDANDO ANEXO")</f>
        <v>0</v>
      </c>
      <c r="P275" s="22">
        <f>IFERROR(VLOOKUP(C275,'[1]TB DIN INCLUIDOS'!$B:$H,3,0),"AGUARDANDO ANEXO")</f>
        <v>0</v>
      </c>
      <c r="Q275" s="26" cm="1">
        <f t="array" ref="Q275">_xlfn.IFS((P275&gt;N275),(N275*2),(P275&lt;=N275),(P275*2))</f>
        <v>0</v>
      </c>
      <c r="R275" s="22"/>
      <c r="S275" s="26">
        <f>IFERROR(VLOOKUP(T275,Apoio!A:B,2,0),"")</f>
        <v>2</v>
      </c>
      <c r="T275" s="22">
        <f>IFERROR(VLOOKUP(C275,'[1]TB DIN'!$B:$H,4,0),"AGUARDANDO ANEXO")</f>
        <v>37</v>
      </c>
      <c r="U275" s="22">
        <f>IFERROR(VLOOKUP(C275,'[1]TB DIN INCLUIDOS'!$B:$H,4,0),"AGUARDANDO ANEXO")</f>
        <v>0</v>
      </c>
      <c r="V275" s="26" cm="1">
        <f t="array" ref="V275">_xlfn.IFS((U275&gt;S275),(S275*2),(U275&lt;=S275),(U275*2))</f>
        <v>0</v>
      </c>
      <c r="W275" s="22"/>
      <c r="X275" s="26">
        <f>IFERROR(VLOOKUP(Y275,Apoio!A:B,2,0),"")</f>
        <v>2</v>
      </c>
      <c r="Y275" s="22">
        <v>49</v>
      </c>
      <c r="Z275" s="22">
        <f>IFERROR(VLOOKUP(C275,'[1]TB DIN INCLUIDOS'!$B:$H,5,0),"AGUARDANDO ANEXO")</f>
        <v>0</v>
      </c>
      <c r="AA275" s="26" cm="1">
        <f t="array" ref="AA275">_xlfn.IFS((Z275&gt;X275),(X275*2),(Z275&lt;=X275),(Z275*2))</f>
        <v>0</v>
      </c>
      <c r="AB275" s="22"/>
      <c r="AC275" s="26">
        <f>IFERROR(VLOOKUP(AD275,Apoio!A:B,2,0),"")</f>
        <v>3</v>
      </c>
      <c r="AD275" s="22">
        <v>51</v>
      </c>
      <c r="AE275" s="22">
        <f>IFERROR(VLOOKUP(C275,'[1]TB DIN INCLUIDOS'!$B:$H,6,0),"AGUARDANDO ANEXO")</f>
        <v>1</v>
      </c>
      <c r="AF275" s="26" cm="1">
        <f t="array" ref="AF275">_xlfn.IFS((AE275&gt;AC275),(AC275*2),(AE275&lt;=AC275),(AE275*2))</f>
        <v>2</v>
      </c>
      <c r="AG275" s="22"/>
      <c r="AH275" s="28">
        <f t="shared" si="28"/>
        <v>137</v>
      </c>
      <c r="AI275" s="28">
        <f t="shared" si="29"/>
        <v>1</v>
      </c>
      <c r="AJ275" s="28">
        <f t="shared" si="30"/>
        <v>2</v>
      </c>
      <c r="AK275" s="28">
        <f t="shared" si="31"/>
        <v>0</v>
      </c>
      <c r="AL275" s="28">
        <f t="shared" si="32"/>
        <v>-2</v>
      </c>
      <c r="AM275" s="23" t="s">
        <v>1707</v>
      </c>
      <c r="AN275" s="37">
        <f>VLOOKUP(C275,'[2]MARÇO-2024'!$B:$M,12,0)</f>
        <v>135</v>
      </c>
      <c r="AO275" s="37">
        <f t="shared" si="33"/>
        <v>-2</v>
      </c>
      <c r="AP275" s="37" t="str">
        <f t="shared" si="34"/>
        <v/>
      </c>
    </row>
    <row r="276" spans="1:42" ht="13.5" customHeight="1" x14ac:dyDescent="0.25">
      <c r="A276" s="17">
        <v>10</v>
      </c>
      <c r="B276" s="17">
        <v>2</v>
      </c>
      <c r="C276" s="29">
        <v>10004</v>
      </c>
      <c r="D276" s="38">
        <v>33084556</v>
      </c>
      <c r="E276" s="18" t="s">
        <v>554</v>
      </c>
      <c r="F276" s="68" t="s">
        <v>835</v>
      </c>
      <c r="G276" s="62" t="s">
        <v>337</v>
      </c>
      <c r="H276" s="19" t="s">
        <v>1103</v>
      </c>
      <c r="I276" s="19" t="s">
        <v>1103</v>
      </c>
      <c r="J276" s="19" t="s">
        <v>1509</v>
      </c>
      <c r="K276" s="20" t="s">
        <v>1626</v>
      </c>
      <c r="L276" s="21">
        <v>90</v>
      </c>
      <c r="M276" s="21"/>
      <c r="N276" s="26" t="str">
        <f>IFERROR(VLOOKUP(O276,Apoio!A:B,2,0),"")</f>
        <v/>
      </c>
      <c r="O276" s="22">
        <f>IFERROR(VLOOKUP(C276,'[1]TB DIN'!$B:$D,3,0),"AGUARDANDO ANEXO")</f>
        <v>0</v>
      </c>
      <c r="P276" s="22">
        <f>IFERROR(VLOOKUP(C276,'[1]TB DIN INCLUIDOS'!$B:$H,3,0),"AGUARDANDO ANEXO")</f>
        <v>0</v>
      </c>
      <c r="Q276" s="26" cm="1">
        <f t="array" ref="Q276">_xlfn.IFS((P276&gt;N276),(N276*2),(P276&lt;=N276),(P276*2))</f>
        <v>0</v>
      </c>
      <c r="R276" s="22"/>
      <c r="S276" s="26">
        <f>IFERROR(VLOOKUP(T276,Apoio!A:B,2,0),"")</f>
        <v>2</v>
      </c>
      <c r="T276" s="22">
        <v>42</v>
      </c>
      <c r="U276" s="22">
        <f>IFERROR(VLOOKUP(C276,'[1]TB DIN INCLUIDOS'!$B:$H,4,0),"AGUARDANDO ANEXO")</f>
        <v>0</v>
      </c>
      <c r="V276" s="26" cm="1">
        <f t="array" ref="V276">_xlfn.IFS((U276&gt;S276),(S276*2),(U276&lt;=S276),(U276*2))</f>
        <v>0</v>
      </c>
      <c r="W276" s="22"/>
      <c r="X276" s="26">
        <f>IFERROR(VLOOKUP(Y276,Apoio!A:B,2,0),"")</f>
        <v>2</v>
      </c>
      <c r="Y276" s="22">
        <v>28</v>
      </c>
      <c r="Z276" s="22">
        <f>IFERROR(VLOOKUP(C276,'[1]TB DIN INCLUIDOS'!$B:$H,5,0),"AGUARDANDO ANEXO")</f>
        <v>0</v>
      </c>
      <c r="AA276" s="26" cm="1">
        <f t="array" ref="AA276">_xlfn.IFS((Z276&gt;X276),(X276*2),(Z276&lt;=X276),(Z276*2))</f>
        <v>0</v>
      </c>
      <c r="AB276" s="22"/>
      <c r="AC276" s="26">
        <f>IFERROR(VLOOKUP(AD276,Apoio!A:B,2,0),"")</f>
        <v>1</v>
      </c>
      <c r="AD276" s="22">
        <f>IFERROR(VLOOKUP(C276,'[1]TB DIN'!$B:$H,6,0),"AGUARDANDO ANEXO")</f>
        <v>20</v>
      </c>
      <c r="AE276" s="22">
        <f>IFERROR(VLOOKUP(C276,'[1]TB DIN INCLUIDOS'!$B:$H,6,0),"AGUARDANDO ANEXO")</f>
        <v>0</v>
      </c>
      <c r="AF276" s="26" cm="1">
        <f t="array" ref="AF276">_xlfn.IFS((AE276&gt;AC276),(AC276*2),(AE276&lt;=AC276),(AE276*2))</f>
        <v>0</v>
      </c>
      <c r="AG276" s="22"/>
      <c r="AH276" s="28">
        <f t="shared" si="28"/>
        <v>90</v>
      </c>
      <c r="AI276" s="28">
        <f t="shared" si="29"/>
        <v>0</v>
      </c>
      <c r="AJ276" s="28">
        <f t="shared" si="30"/>
        <v>0</v>
      </c>
      <c r="AK276" s="28">
        <f t="shared" si="31"/>
        <v>0</v>
      </c>
      <c r="AL276" s="28">
        <f t="shared" si="32"/>
        <v>0</v>
      </c>
      <c r="AM276" s="23" t="s">
        <v>1707</v>
      </c>
      <c r="AN276" s="37">
        <f>VLOOKUP(C276,'[2]MARÇO-2024'!$B:$M,12,0)</f>
        <v>88</v>
      </c>
      <c r="AO276" s="37">
        <f t="shared" si="33"/>
        <v>-2</v>
      </c>
      <c r="AP276" s="37" t="str">
        <f t="shared" si="34"/>
        <v/>
      </c>
    </row>
    <row r="277" spans="1:42" ht="13.5" customHeight="1" x14ac:dyDescent="0.25">
      <c r="A277" s="17">
        <v>10</v>
      </c>
      <c r="B277" s="17">
        <v>3</v>
      </c>
      <c r="C277" s="29">
        <v>10005</v>
      </c>
      <c r="D277" s="38">
        <v>33088403</v>
      </c>
      <c r="E277" s="18" t="s">
        <v>465</v>
      </c>
      <c r="F277" s="68" t="s">
        <v>816</v>
      </c>
      <c r="G277" s="62" t="s">
        <v>318</v>
      </c>
      <c r="H277" s="19" t="s">
        <v>1084</v>
      </c>
      <c r="I277" s="19" t="s">
        <v>1136</v>
      </c>
      <c r="J277" s="19" t="s">
        <v>1490</v>
      </c>
      <c r="K277" s="20" t="s">
        <v>1630</v>
      </c>
      <c r="L277" s="21">
        <v>45</v>
      </c>
      <c r="M277" s="21"/>
      <c r="N277" s="26" t="str">
        <f>IFERROR(VLOOKUP(O277,Apoio!A:B,2,0),"")</f>
        <v/>
      </c>
      <c r="O277" s="22">
        <f>IFERROR(VLOOKUP(C277,'[1]TB DIN'!$B:$D,3,0),"AGUARDANDO ANEXO")</f>
        <v>0</v>
      </c>
      <c r="P277" s="22">
        <f>IFERROR(VLOOKUP(C277,'[1]TB DIN INCLUIDOS'!$B:$H,3,0),"AGUARDANDO ANEXO")</f>
        <v>0</v>
      </c>
      <c r="Q277" s="26" cm="1">
        <f t="array" ref="Q277">_xlfn.IFS((P277&gt;N277),(N277*2),(P277&lt;=N277),(P277*2))</f>
        <v>0</v>
      </c>
      <c r="R277" s="22"/>
      <c r="S277" s="26" t="str">
        <f>IFERROR(VLOOKUP(T277,Apoio!A:B,2,0),"")</f>
        <v/>
      </c>
      <c r="T277" s="22">
        <f>IFERROR(VLOOKUP(C277,'[1]TB DIN'!$B:$H,4,0),"AGUARDANDO ANEXO")</f>
        <v>0</v>
      </c>
      <c r="U277" s="22">
        <f>IFERROR(VLOOKUP(C277,'[1]TB DIN INCLUIDOS'!$B:$H,4,0),"AGUARDANDO ANEXO")</f>
        <v>0</v>
      </c>
      <c r="V277" s="26" cm="1">
        <f t="array" ref="V277">_xlfn.IFS((U277&gt;S277),(S277*2),(U277&lt;=S277),(U277*2))</f>
        <v>0</v>
      </c>
      <c r="W277" s="22"/>
      <c r="X277" s="26">
        <f>IFERROR(VLOOKUP(Y277,Apoio!A:B,2,0),"")</f>
        <v>1</v>
      </c>
      <c r="Y277" s="22">
        <v>17</v>
      </c>
      <c r="Z277" s="22">
        <f>IFERROR(VLOOKUP(C277,'[1]TB DIN INCLUIDOS'!$B:$H,5,0),"AGUARDANDO ANEXO")</f>
        <v>1</v>
      </c>
      <c r="AA277" s="26" cm="1">
        <f t="array" ref="AA277">_xlfn.IFS((Z277&gt;X277),(X277*2),(Z277&lt;=X277),(Z277*2))</f>
        <v>2</v>
      </c>
      <c r="AB277" s="22"/>
      <c r="AC277" s="26">
        <f>IFERROR(VLOOKUP(AD277,Apoio!A:B,2,0),"")</f>
        <v>2</v>
      </c>
      <c r="AD277" s="22">
        <f>IFERROR(VLOOKUP(C277,'[1]TB DIN'!$B:$H,6,0),"AGUARDANDO ANEXO")</f>
        <v>27</v>
      </c>
      <c r="AE277" s="22">
        <f>IFERROR(VLOOKUP(C277,'[1]TB DIN INCLUIDOS'!$B:$H,6,0),"AGUARDANDO ANEXO")</f>
        <v>0</v>
      </c>
      <c r="AF277" s="26" cm="1">
        <f t="array" ref="AF277">_xlfn.IFS((AE277&gt;AC277),(AC277*2),(AE277&lt;=AC277),(AE277*2))</f>
        <v>0</v>
      </c>
      <c r="AG277" s="22"/>
      <c r="AH277" s="28">
        <f t="shared" si="28"/>
        <v>44</v>
      </c>
      <c r="AI277" s="28">
        <f t="shared" si="29"/>
        <v>1</v>
      </c>
      <c r="AJ277" s="28">
        <f t="shared" si="30"/>
        <v>2</v>
      </c>
      <c r="AK277" s="28">
        <f t="shared" si="31"/>
        <v>0</v>
      </c>
      <c r="AL277" s="28">
        <f t="shared" si="32"/>
        <v>-1</v>
      </c>
      <c r="AM277" s="23" t="s">
        <v>1707</v>
      </c>
      <c r="AN277" s="37">
        <f>VLOOKUP(C277,'[2]MARÇO-2024'!$B:$M,12,0)</f>
        <v>42</v>
      </c>
      <c r="AO277" s="37">
        <f t="shared" si="33"/>
        <v>-2</v>
      </c>
      <c r="AP277" s="37" t="str">
        <f t="shared" si="34"/>
        <v/>
      </c>
    </row>
    <row r="278" spans="1:42" ht="13.5" customHeight="1" x14ac:dyDescent="0.25">
      <c r="A278" s="17">
        <v>10</v>
      </c>
      <c r="B278" s="17">
        <v>4</v>
      </c>
      <c r="C278" s="29">
        <v>10006</v>
      </c>
      <c r="D278" s="38">
        <v>33094586</v>
      </c>
      <c r="E278" s="18" t="s">
        <v>547</v>
      </c>
      <c r="F278" s="68" t="s">
        <v>826</v>
      </c>
      <c r="G278" s="62" t="s">
        <v>328</v>
      </c>
      <c r="H278" s="19" t="s">
        <v>1094</v>
      </c>
      <c r="I278" s="19" t="s">
        <v>1230</v>
      </c>
      <c r="J278" s="19" t="s">
        <v>1500</v>
      </c>
      <c r="K278" s="20" t="s">
        <v>1626</v>
      </c>
      <c r="L278" s="21">
        <v>115</v>
      </c>
      <c r="M278" s="21"/>
      <c r="N278" s="26" t="str">
        <f>IFERROR(VLOOKUP(O278,Apoio!A:B,2,0),"")</f>
        <v/>
      </c>
      <c r="O278" s="22">
        <f>IFERROR(VLOOKUP(C278,'[1]TB DIN'!$B:$D,3,0),"AGUARDANDO ANEXO")</f>
        <v>0</v>
      </c>
      <c r="P278" s="22">
        <f>IFERROR(VLOOKUP(C278,'[1]TB DIN INCLUIDOS'!$B:$H,3,0),"AGUARDANDO ANEXO")</f>
        <v>0</v>
      </c>
      <c r="Q278" s="26" cm="1">
        <f t="array" ref="Q278">_xlfn.IFS((P278&gt;N278),(N278*2),(P278&lt;=N278),(P278*2))</f>
        <v>0</v>
      </c>
      <c r="R278" s="22"/>
      <c r="S278" s="26">
        <f>IFERROR(VLOOKUP(T278,Apoio!A:B,2,0),"")</f>
        <v>1</v>
      </c>
      <c r="T278" s="22">
        <f>IFERROR(VLOOKUP(C278,'[1]TB DIN'!$B:$H,4,0),"AGUARDANDO ANEXO")</f>
        <v>14</v>
      </c>
      <c r="U278" s="22">
        <f>IFERROR(VLOOKUP(C278,'[1]TB DIN INCLUIDOS'!$B:$H,4,0),"AGUARDANDO ANEXO")</f>
        <v>0</v>
      </c>
      <c r="V278" s="26" cm="1">
        <f t="array" ref="V278">_xlfn.IFS((U278&gt;S278),(S278*2),(U278&lt;=S278),(U278*2))</f>
        <v>0</v>
      </c>
      <c r="W278" s="22"/>
      <c r="X278" s="26">
        <f>IFERROR(VLOOKUP(Y278,Apoio!A:B,2,0),"")</f>
        <v>2</v>
      </c>
      <c r="Y278" s="22">
        <v>50</v>
      </c>
      <c r="Z278" s="22">
        <f>IFERROR(VLOOKUP(C278,'[1]TB DIN INCLUIDOS'!$B:$H,5,0),"AGUARDANDO ANEXO")</f>
        <v>2</v>
      </c>
      <c r="AA278" s="26" cm="1">
        <f t="array" ref="AA278">_xlfn.IFS((Z278&gt;X278),(X278*2),(Z278&lt;=X278),(Z278*2))</f>
        <v>4</v>
      </c>
      <c r="AB278" s="22"/>
      <c r="AC278" s="26">
        <f>IFERROR(VLOOKUP(AD278,Apoio!A:B,2,0),"")</f>
        <v>2</v>
      </c>
      <c r="AD278" s="22">
        <v>45</v>
      </c>
      <c r="AE278" s="22">
        <v>3</v>
      </c>
      <c r="AF278" s="26" cm="1">
        <f t="array" ref="AF278">_xlfn.IFS((AE278&gt;AC278),(AC278*2),(AE278&lt;=AC278),(AE278*2))</f>
        <v>4</v>
      </c>
      <c r="AG278" s="22"/>
      <c r="AH278" s="28">
        <f t="shared" si="28"/>
        <v>109</v>
      </c>
      <c r="AI278" s="28">
        <f t="shared" si="29"/>
        <v>5</v>
      </c>
      <c r="AJ278" s="28">
        <f t="shared" si="30"/>
        <v>8</v>
      </c>
      <c r="AK278" s="28">
        <f t="shared" si="31"/>
        <v>0</v>
      </c>
      <c r="AL278" s="28">
        <f t="shared" si="32"/>
        <v>-2</v>
      </c>
      <c r="AM278" s="23" t="s">
        <v>1707</v>
      </c>
      <c r="AN278" s="37">
        <f>VLOOKUP(C278,'[2]MARÇO-2024'!$B:$M,12,0)</f>
        <v>108</v>
      </c>
      <c r="AO278" s="37">
        <f t="shared" si="33"/>
        <v>-1</v>
      </c>
      <c r="AP278" s="37" t="str">
        <f t="shared" si="34"/>
        <v/>
      </c>
    </row>
    <row r="279" spans="1:42" ht="13.5" customHeight="1" x14ac:dyDescent="0.25">
      <c r="A279" s="17">
        <v>10</v>
      </c>
      <c r="B279" s="17">
        <v>5</v>
      </c>
      <c r="C279" s="29">
        <v>10008</v>
      </c>
      <c r="D279" s="38">
        <v>33095221</v>
      </c>
      <c r="E279" s="18" t="s">
        <v>523</v>
      </c>
      <c r="F279" s="68" t="s">
        <v>815</v>
      </c>
      <c r="G279" s="62" t="s">
        <v>317</v>
      </c>
      <c r="H279" s="19" t="s">
        <v>1083</v>
      </c>
      <c r="I279" s="19" t="s">
        <v>1227</v>
      </c>
      <c r="J279" s="19" t="s">
        <v>1489</v>
      </c>
      <c r="K279" s="20" t="s">
        <v>1626</v>
      </c>
      <c r="L279" s="21">
        <v>115</v>
      </c>
      <c r="M279" s="21"/>
      <c r="N279" s="26" t="str">
        <f>IFERROR(VLOOKUP(O279,Apoio!A:B,2,0),"")</f>
        <v/>
      </c>
      <c r="O279" s="22">
        <f>IFERROR(VLOOKUP(C279,'[1]TB DIN'!$B:$D,3,0),"AGUARDANDO ANEXO")</f>
        <v>0</v>
      </c>
      <c r="P279" s="22">
        <f>IFERROR(VLOOKUP(C279,'[1]TB DIN INCLUIDOS'!$B:$H,3,0),"AGUARDANDO ANEXO")</f>
        <v>0</v>
      </c>
      <c r="Q279" s="26" cm="1">
        <f t="array" ref="Q279">_xlfn.IFS((P279&gt;N279),(N279*2),(P279&lt;=N279),(P279*2))</f>
        <v>0</v>
      </c>
      <c r="R279" s="22"/>
      <c r="S279" s="26">
        <f>IFERROR(VLOOKUP(T279,Apoio!A:B,2,0),"")</f>
        <v>1</v>
      </c>
      <c r="T279" s="22">
        <v>25</v>
      </c>
      <c r="U279" s="22">
        <f>IFERROR(VLOOKUP(C279,'[1]TB DIN INCLUIDOS'!$B:$H,4,0),"AGUARDANDO ANEXO")</f>
        <v>0</v>
      </c>
      <c r="V279" s="26" cm="1">
        <f t="array" ref="V279">_xlfn.IFS((U279&gt;S279),(S279*2),(U279&lt;=S279),(U279*2))</f>
        <v>0</v>
      </c>
      <c r="W279" s="22"/>
      <c r="X279" s="26">
        <f>IFERROR(VLOOKUP(Y279,Apoio!A:B,2,0),"")</f>
        <v>2</v>
      </c>
      <c r="Y279" s="22">
        <f>IFERROR(VLOOKUP(C279,'[1]TB DIN'!$B:$H,5,0),"AGUARDANDO ANEXO")</f>
        <v>31</v>
      </c>
      <c r="Z279" s="22">
        <f>IFERROR(VLOOKUP(C279,'[1]TB DIN INCLUIDOS'!$B:$H,5,0),"AGUARDANDO ANEXO")</f>
        <v>0</v>
      </c>
      <c r="AA279" s="26" cm="1">
        <f t="array" ref="AA279">_xlfn.IFS((Z279&gt;X279),(X279*2),(Z279&lt;=X279),(Z279*2))</f>
        <v>0</v>
      </c>
      <c r="AB279" s="22"/>
      <c r="AC279" s="26">
        <f>IFERROR(VLOOKUP(AD279,Apoio!A:B,2,0),"")</f>
        <v>3</v>
      </c>
      <c r="AD279" s="22">
        <v>59</v>
      </c>
      <c r="AE279" s="22">
        <v>1</v>
      </c>
      <c r="AF279" s="26" cm="1">
        <f t="array" ref="AF279">_xlfn.IFS((AE279&gt;AC279),(AC279*2),(AE279&lt;=AC279),(AE279*2))</f>
        <v>2</v>
      </c>
      <c r="AG279" s="22"/>
      <c r="AH279" s="28">
        <f t="shared" si="28"/>
        <v>115</v>
      </c>
      <c r="AI279" s="28">
        <f t="shared" si="29"/>
        <v>1</v>
      </c>
      <c r="AJ279" s="28">
        <f t="shared" si="30"/>
        <v>2</v>
      </c>
      <c r="AK279" s="28">
        <f t="shared" si="31"/>
        <v>0</v>
      </c>
      <c r="AL279" s="28">
        <f t="shared" si="32"/>
        <v>-2</v>
      </c>
      <c r="AM279" s="23" t="s">
        <v>1707</v>
      </c>
      <c r="AN279" s="37">
        <f>VLOOKUP(C279,'[2]MARÇO-2024'!$B:$M,12,0)</f>
        <v>112</v>
      </c>
      <c r="AO279" s="37">
        <f t="shared" si="33"/>
        <v>-3</v>
      </c>
      <c r="AP279" s="37" t="str">
        <f t="shared" si="34"/>
        <v/>
      </c>
    </row>
    <row r="280" spans="1:42" ht="13.5" customHeight="1" x14ac:dyDescent="0.25">
      <c r="A280" s="17">
        <v>10</v>
      </c>
      <c r="B280" s="17">
        <v>6</v>
      </c>
      <c r="C280" s="29">
        <v>10009</v>
      </c>
      <c r="D280" s="38">
        <v>33095248</v>
      </c>
      <c r="E280" s="18" t="s">
        <v>560</v>
      </c>
      <c r="F280" s="68" t="s">
        <v>842</v>
      </c>
      <c r="G280" s="62" t="s">
        <v>344</v>
      </c>
      <c r="H280" s="19" t="s">
        <v>1110</v>
      </c>
      <c r="I280" s="19" t="s">
        <v>1110</v>
      </c>
      <c r="J280" s="19" t="s">
        <v>1516</v>
      </c>
      <c r="K280" s="20" t="s">
        <v>1629</v>
      </c>
      <c r="L280" s="21">
        <v>70</v>
      </c>
      <c r="M280" s="21"/>
      <c r="N280" s="26" t="str">
        <f>IFERROR(VLOOKUP(O280,Apoio!A:B,2,0),"")</f>
        <v/>
      </c>
      <c r="O280" s="22">
        <f>IFERROR(VLOOKUP(C280,'[1]TB DIN'!$B:$D,3,0),"AGUARDANDO ANEXO")</f>
        <v>0</v>
      </c>
      <c r="P280" s="22">
        <f>IFERROR(VLOOKUP(C280,'[1]TB DIN INCLUIDOS'!$B:$H,3,0),"AGUARDANDO ANEXO")</f>
        <v>0</v>
      </c>
      <c r="Q280" s="26" cm="1">
        <f t="array" ref="Q280">_xlfn.IFS((P280&gt;N280),(N280*2),(P280&lt;=N280),(P280*2))</f>
        <v>0</v>
      </c>
      <c r="R280" s="22"/>
      <c r="S280" s="26">
        <f>IFERROR(VLOOKUP(T280,Apoio!A:B,2,0),"")</f>
        <v>1</v>
      </c>
      <c r="T280" s="22">
        <f>IFERROR(VLOOKUP(C280,'[1]TB DIN'!$B:$H,4,0),"AGUARDANDO ANEXO")</f>
        <v>21</v>
      </c>
      <c r="U280" s="22">
        <f>IFERROR(VLOOKUP(C280,'[1]TB DIN INCLUIDOS'!$B:$H,4,0),"AGUARDANDO ANEXO")</f>
        <v>0</v>
      </c>
      <c r="V280" s="26" cm="1">
        <f t="array" ref="V280">_xlfn.IFS((U280&gt;S280),(S280*2),(U280&lt;=S280),(U280*2))</f>
        <v>0</v>
      </c>
      <c r="W280" s="22"/>
      <c r="X280" s="26">
        <f>IFERROR(VLOOKUP(Y280,Apoio!A:B,2,0),"")</f>
        <v>2</v>
      </c>
      <c r="Y280" s="22">
        <v>28</v>
      </c>
      <c r="Z280" s="22">
        <f>IFERROR(VLOOKUP(C280,'[1]TB DIN INCLUIDOS'!$B:$H,5,0),"AGUARDANDO ANEXO")</f>
        <v>2</v>
      </c>
      <c r="AA280" s="26" cm="1">
        <f t="array" ref="AA280">_xlfn.IFS((Z280&gt;X280),(X280*2),(Z280&lt;=X280),(Z280*2))</f>
        <v>4</v>
      </c>
      <c r="AB280" s="22"/>
      <c r="AC280" s="26">
        <f>IFERROR(VLOOKUP(AD280,Apoio!A:B,2,0),"")</f>
        <v>1</v>
      </c>
      <c r="AD280" s="22">
        <v>18</v>
      </c>
      <c r="AE280" s="22">
        <f>IFERROR(VLOOKUP(C280,'[1]TB DIN INCLUIDOS'!$B:$H,6,0),"AGUARDANDO ANEXO")</f>
        <v>0</v>
      </c>
      <c r="AF280" s="26" cm="1">
        <f t="array" ref="AF280">_xlfn.IFS((AE280&gt;AC280),(AC280*2),(AE280&lt;=AC280),(AE280*2))</f>
        <v>0</v>
      </c>
      <c r="AG280" s="22"/>
      <c r="AH280" s="28">
        <f t="shared" si="28"/>
        <v>67</v>
      </c>
      <c r="AI280" s="28">
        <f t="shared" si="29"/>
        <v>2</v>
      </c>
      <c r="AJ280" s="28">
        <f t="shared" si="30"/>
        <v>4</v>
      </c>
      <c r="AK280" s="28">
        <f t="shared" si="31"/>
        <v>0</v>
      </c>
      <c r="AL280" s="28">
        <f t="shared" si="32"/>
        <v>-1</v>
      </c>
      <c r="AM280" s="23" t="s">
        <v>1707</v>
      </c>
      <c r="AN280" s="37">
        <f>VLOOKUP(C280,'[2]MARÇO-2024'!$B:$M,12,0)</f>
        <v>67</v>
      </c>
      <c r="AO280" s="37">
        <f t="shared" si="33"/>
        <v>0</v>
      </c>
      <c r="AP280" s="37" t="str">
        <f t="shared" si="34"/>
        <v/>
      </c>
    </row>
    <row r="281" spans="1:42" ht="13.5" customHeight="1" x14ac:dyDescent="0.25">
      <c r="A281" s="17">
        <v>10</v>
      </c>
      <c r="B281" s="17">
        <v>7</v>
      </c>
      <c r="C281" s="29">
        <v>10010</v>
      </c>
      <c r="D281" s="38">
        <v>33095680</v>
      </c>
      <c r="E281" s="18" t="s">
        <v>426</v>
      </c>
      <c r="F281" s="68" t="s">
        <v>834</v>
      </c>
      <c r="G281" s="62" t="s">
        <v>336</v>
      </c>
      <c r="H281" s="19" t="s">
        <v>1102</v>
      </c>
      <c r="I281" s="19" t="s">
        <v>1102</v>
      </c>
      <c r="J281" s="19" t="s">
        <v>1508</v>
      </c>
      <c r="K281" s="20" t="s">
        <v>1626</v>
      </c>
      <c r="L281" s="21">
        <v>118</v>
      </c>
      <c r="M281" s="21"/>
      <c r="N281" s="26" t="str">
        <f>IFERROR(VLOOKUP(O281,Apoio!A:B,2,0),"")</f>
        <v/>
      </c>
      <c r="O281" s="22">
        <f>IFERROR(VLOOKUP(C281,'[1]TB DIN'!$B:$D,3,0),"AGUARDANDO ANEXO")</f>
        <v>0</v>
      </c>
      <c r="P281" s="22">
        <f>IFERROR(VLOOKUP(C281,'[1]TB DIN INCLUIDOS'!$B:$H,3,0),"AGUARDANDO ANEXO")</f>
        <v>0</v>
      </c>
      <c r="Q281" s="26" cm="1">
        <f t="array" ref="Q281">_xlfn.IFS((P281&gt;N281),(N281*2),(P281&lt;=N281),(P281*2))</f>
        <v>0</v>
      </c>
      <c r="R281" s="22"/>
      <c r="S281" s="26" t="str">
        <f>IFERROR(VLOOKUP(T281,Apoio!A:B,2,0),"")</f>
        <v/>
      </c>
      <c r="T281" s="22">
        <f>IFERROR(VLOOKUP(C281,'[1]TB DIN'!$B:$H,4,0),"AGUARDANDO ANEXO")</f>
        <v>0</v>
      </c>
      <c r="U281" s="22">
        <f>IFERROR(VLOOKUP(C281,'[1]TB DIN INCLUIDOS'!$B:$H,4,0),"AGUARDANDO ANEXO")</f>
        <v>0</v>
      </c>
      <c r="V281" s="26" cm="1">
        <f t="array" ref="V281">_xlfn.IFS((U281&gt;S281),(S281*2),(U281&lt;=S281),(U281*2))</f>
        <v>0</v>
      </c>
      <c r="W281" s="22"/>
      <c r="X281" s="26">
        <f>IFERROR(VLOOKUP(Y281,Apoio!A:B,2,0),"")</f>
        <v>3</v>
      </c>
      <c r="Y281" s="22">
        <v>67</v>
      </c>
      <c r="Z281" s="22">
        <f>IFERROR(VLOOKUP(C281,'[1]TB DIN INCLUIDOS'!$B:$H,5,0),"AGUARDANDO ANEXO")</f>
        <v>0</v>
      </c>
      <c r="AA281" s="26" cm="1">
        <f t="array" ref="AA281">_xlfn.IFS((Z281&gt;X281),(X281*2),(Z281&lt;=X281),(Z281*2))</f>
        <v>0</v>
      </c>
      <c r="AB281" s="22"/>
      <c r="AC281" s="26">
        <f>IFERROR(VLOOKUP(AD281,Apoio!A:B,2,0),"")</f>
        <v>2</v>
      </c>
      <c r="AD281" s="22">
        <v>47</v>
      </c>
      <c r="AE281" s="22">
        <f>IFERROR(VLOOKUP(C281,'[1]TB DIN INCLUIDOS'!$B:$H,6,0),"AGUARDANDO ANEXO")</f>
        <v>2</v>
      </c>
      <c r="AF281" s="26" cm="1">
        <f t="array" ref="AF281">_xlfn.IFS((AE281&gt;AC281),(AC281*2),(AE281&lt;=AC281),(AE281*2))</f>
        <v>4</v>
      </c>
      <c r="AG281" s="22"/>
      <c r="AH281" s="28">
        <f t="shared" si="28"/>
        <v>114</v>
      </c>
      <c r="AI281" s="28">
        <f t="shared" si="29"/>
        <v>2</v>
      </c>
      <c r="AJ281" s="28">
        <f t="shared" si="30"/>
        <v>4</v>
      </c>
      <c r="AK281" s="28">
        <f t="shared" si="31"/>
        <v>0</v>
      </c>
      <c r="AL281" s="28">
        <f t="shared" si="32"/>
        <v>0</v>
      </c>
      <c r="AM281" s="23" t="s">
        <v>1707</v>
      </c>
      <c r="AN281" s="37">
        <f>VLOOKUP(C281,'[2]MARÇO-2024'!$B:$M,12,0)</f>
        <v>109</v>
      </c>
      <c r="AO281" s="37">
        <f t="shared" si="33"/>
        <v>-5</v>
      </c>
      <c r="AP281" s="37" t="str">
        <f t="shared" si="34"/>
        <v/>
      </c>
    </row>
    <row r="282" spans="1:42" ht="13.5" customHeight="1" x14ac:dyDescent="0.25">
      <c r="A282" s="17">
        <v>10</v>
      </c>
      <c r="B282" s="17">
        <v>8</v>
      </c>
      <c r="C282" s="29">
        <v>10011</v>
      </c>
      <c r="D282" s="38">
        <v>33095779</v>
      </c>
      <c r="E282" s="18" t="s">
        <v>564</v>
      </c>
      <c r="F282" s="68" t="s">
        <v>846</v>
      </c>
      <c r="G282" s="62" t="s">
        <v>348</v>
      </c>
      <c r="H282" s="19" t="s">
        <v>1114</v>
      </c>
      <c r="I282" s="19" t="s">
        <v>1236</v>
      </c>
      <c r="J282" s="19" t="s">
        <v>1520</v>
      </c>
      <c r="K282" s="20" t="s">
        <v>1626</v>
      </c>
      <c r="L282" s="21">
        <v>118</v>
      </c>
      <c r="M282" s="21"/>
      <c r="N282" s="26" t="str">
        <f>IFERROR(VLOOKUP(O282,Apoio!A:B,2,0),"")</f>
        <v/>
      </c>
      <c r="O282" s="22">
        <f>IFERROR(VLOOKUP(C282,'[1]TB DIN'!$B:$D,3,0),"AGUARDANDO ANEXO")</f>
        <v>0</v>
      </c>
      <c r="P282" s="22">
        <f>IFERROR(VLOOKUP(C282,'[1]TB DIN INCLUIDOS'!$B:$H,3,0),"AGUARDANDO ANEXO")</f>
        <v>0</v>
      </c>
      <c r="Q282" s="26" cm="1">
        <f t="array" ref="Q282">_xlfn.IFS((P282&gt;N282),(N282*2),(P282&lt;=N282),(P282*2))</f>
        <v>0</v>
      </c>
      <c r="R282" s="22"/>
      <c r="S282" s="26">
        <f>IFERROR(VLOOKUP(T282,Apoio!A:B,2,0),"")</f>
        <v>2</v>
      </c>
      <c r="T282" s="22">
        <f>IFERROR(VLOOKUP(C282,'[1]TB DIN'!$B:$H,4,0),"AGUARDANDO ANEXO")</f>
        <v>28</v>
      </c>
      <c r="U282" s="22">
        <f>IFERROR(VLOOKUP(C282,'[1]TB DIN INCLUIDOS'!$B:$H,4,0),"AGUARDANDO ANEXO")</f>
        <v>0</v>
      </c>
      <c r="V282" s="26" cm="1">
        <f t="array" ref="V282">_xlfn.IFS((U282&gt;S282),(S282*2),(U282&lt;=S282),(U282*2))</f>
        <v>0</v>
      </c>
      <c r="W282" s="22"/>
      <c r="X282" s="26">
        <f>IFERROR(VLOOKUP(Y282,Apoio!A:B,2,0),"")</f>
        <v>2</v>
      </c>
      <c r="Y282" s="22">
        <f>IFERROR(VLOOKUP(C282,'[1]TB DIN'!$B:$H,5,0),"AGUARDANDO ANEXO")</f>
        <v>44</v>
      </c>
      <c r="Z282" s="22">
        <f>IFERROR(VLOOKUP(C282,'[1]TB DIN INCLUIDOS'!$B:$H,5,0),"AGUARDANDO ANEXO")</f>
        <v>0</v>
      </c>
      <c r="AA282" s="26" cm="1">
        <f t="array" ref="AA282">_xlfn.IFS((Z282&gt;X282),(X282*2),(Z282&lt;=X282),(Z282*2))</f>
        <v>0</v>
      </c>
      <c r="AB282" s="22"/>
      <c r="AC282" s="26">
        <f>IFERROR(VLOOKUP(AD282,Apoio!A:B,2,0),"")</f>
        <v>2</v>
      </c>
      <c r="AD282" s="22">
        <f>IFERROR(VLOOKUP(C282,'[1]TB DIN'!$B:$H,6,0),"AGUARDANDO ANEXO")</f>
        <v>44</v>
      </c>
      <c r="AE282" s="22">
        <f>IFERROR(VLOOKUP(C282,'[1]TB DIN INCLUIDOS'!$B:$H,6,0),"AGUARDANDO ANEXO")</f>
        <v>1</v>
      </c>
      <c r="AF282" s="26" cm="1">
        <f t="array" ref="AF282">_xlfn.IFS((AE282&gt;AC282),(AC282*2),(AE282&lt;=AC282),(AE282*2))</f>
        <v>2</v>
      </c>
      <c r="AG282" s="22"/>
      <c r="AH282" s="28">
        <f t="shared" si="28"/>
        <v>116</v>
      </c>
      <c r="AI282" s="28">
        <f t="shared" si="29"/>
        <v>1</v>
      </c>
      <c r="AJ282" s="28">
        <f t="shared" si="30"/>
        <v>2</v>
      </c>
      <c r="AK282" s="28">
        <f t="shared" si="31"/>
        <v>0</v>
      </c>
      <c r="AL282" s="28">
        <f t="shared" si="32"/>
        <v>0</v>
      </c>
      <c r="AM282" s="23" t="s">
        <v>1707</v>
      </c>
      <c r="AN282" s="37">
        <f>VLOOKUP(C282,'[2]MARÇO-2024'!$B:$M,12,0)</f>
        <v>116</v>
      </c>
      <c r="AO282" s="37">
        <f t="shared" si="33"/>
        <v>0</v>
      </c>
      <c r="AP282" s="37" t="str">
        <f t="shared" si="34"/>
        <v/>
      </c>
    </row>
    <row r="283" spans="1:42" ht="13.5" customHeight="1" x14ac:dyDescent="0.25">
      <c r="A283" s="17">
        <v>10</v>
      </c>
      <c r="B283" s="17">
        <v>9</v>
      </c>
      <c r="C283" s="29">
        <v>10013</v>
      </c>
      <c r="D283" s="38">
        <v>33096562</v>
      </c>
      <c r="E283" s="18" t="s">
        <v>552</v>
      </c>
      <c r="F283" s="68" t="s">
        <v>832</v>
      </c>
      <c r="G283" s="66" t="s">
        <v>334</v>
      </c>
      <c r="H283" s="19" t="s">
        <v>1100</v>
      </c>
      <c r="I283" s="19" t="s">
        <v>1100</v>
      </c>
      <c r="J283" s="19" t="s">
        <v>1506</v>
      </c>
      <c r="K283" s="20" t="s">
        <v>1626</v>
      </c>
      <c r="L283" s="21">
        <v>90</v>
      </c>
      <c r="M283" s="21"/>
      <c r="N283" s="26" t="str">
        <f>IFERROR(VLOOKUP(O283,Apoio!A:B,2,0),"")</f>
        <v/>
      </c>
      <c r="O283" s="22">
        <f>IFERROR(VLOOKUP(C283,'[1]TB DIN'!$B:$D,3,0),"AGUARDANDO ANEXO")</f>
        <v>0</v>
      </c>
      <c r="P283" s="22">
        <f>IFERROR(VLOOKUP(C283,'[1]TB DIN INCLUIDOS'!$B:$H,3,0),"AGUARDANDO ANEXO")</f>
        <v>0</v>
      </c>
      <c r="Q283" s="26" cm="1">
        <f t="array" ref="Q283">_xlfn.IFS((P283&gt;N283),(N283*2),(P283&lt;=N283),(P283*2))</f>
        <v>0</v>
      </c>
      <c r="R283" s="22"/>
      <c r="S283" s="26">
        <f>IFERROR(VLOOKUP(T283,Apoio!A:B,2,0),"")</f>
        <v>2</v>
      </c>
      <c r="T283" s="22">
        <v>26</v>
      </c>
      <c r="U283" s="22">
        <f>IFERROR(VLOOKUP(C283,'[1]TB DIN INCLUIDOS'!$B:$H,4,0),"AGUARDANDO ANEXO")</f>
        <v>0</v>
      </c>
      <c r="V283" s="26" cm="1">
        <f t="array" ref="V283">_xlfn.IFS((U283&gt;S283),(S283*2),(U283&lt;=S283),(U283*2))</f>
        <v>0</v>
      </c>
      <c r="W283" s="22"/>
      <c r="X283" s="26">
        <f>IFERROR(VLOOKUP(Y283,Apoio!A:B,2,0),"")</f>
        <v>1</v>
      </c>
      <c r="Y283" s="22">
        <v>25</v>
      </c>
      <c r="Z283" s="22">
        <v>2</v>
      </c>
      <c r="AA283" s="26" cm="1">
        <f t="array" ref="AA283">_xlfn.IFS((Z283&gt;X283),(X283*2),(Z283&lt;=X283),(Z283*2))</f>
        <v>2</v>
      </c>
      <c r="AB283" s="22"/>
      <c r="AC283" s="26">
        <f>IFERROR(VLOOKUP(AD283,Apoio!A:B,2,0),"")</f>
        <v>1</v>
      </c>
      <c r="AD283" s="22">
        <v>25</v>
      </c>
      <c r="AE283" s="22">
        <f>IFERROR(VLOOKUP(C283,'[1]TB DIN INCLUIDOS'!$B:$H,6,0),"AGUARDANDO ANEXO")</f>
        <v>0</v>
      </c>
      <c r="AF283" s="26" cm="1">
        <f t="array" ref="AF283">_xlfn.IFS((AE283&gt;AC283),(AC283*2),(AE283&lt;=AC283),(AE283*2))</f>
        <v>0</v>
      </c>
      <c r="AG283" s="22"/>
      <c r="AH283" s="28">
        <f t="shared" si="28"/>
        <v>76</v>
      </c>
      <c r="AI283" s="28">
        <f t="shared" si="29"/>
        <v>2</v>
      </c>
      <c r="AJ283" s="28">
        <f t="shared" si="30"/>
        <v>2</v>
      </c>
      <c r="AK283" s="28">
        <f t="shared" si="31"/>
        <v>12</v>
      </c>
      <c r="AL283" s="28">
        <f t="shared" si="32"/>
        <v>0</v>
      </c>
      <c r="AM283" s="23" t="s">
        <v>1707</v>
      </c>
      <c r="AN283" s="37">
        <f>VLOOKUP(C283,'[2]MARÇO-2024'!$B:$M,12,0)</f>
        <v>73</v>
      </c>
      <c r="AO283" s="37">
        <f t="shared" si="33"/>
        <v>-3</v>
      </c>
      <c r="AP283" s="37" t="str">
        <f t="shared" si="34"/>
        <v/>
      </c>
    </row>
    <row r="284" spans="1:42" ht="13.5" customHeight="1" x14ac:dyDescent="0.25">
      <c r="A284" s="17">
        <v>10</v>
      </c>
      <c r="B284" s="17">
        <v>10</v>
      </c>
      <c r="C284" s="29">
        <v>10014</v>
      </c>
      <c r="D284" s="38">
        <v>33096724</v>
      </c>
      <c r="E284" s="18" t="s">
        <v>465</v>
      </c>
      <c r="F284" s="68" t="s">
        <v>821</v>
      </c>
      <c r="G284" s="62" t="s">
        <v>323</v>
      </c>
      <c r="H284" s="19" t="s">
        <v>1089</v>
      </c>
      <c r="I284" s="19" t="s">
        <v>1136</v>
      </c>
      <c r="J284" s="19" t="s">
        <v>1495</v>
      </c>
      <c r="K284" s="20" t="s">
        <v>1630</v>
      </c>
      <c r="L284" s="21">
        <v>30</v>
      </c>
      <c r="M284" s="21"/>
      <c r="N284" s="26" t="str">
        <f>IFERROR(VLOOKUP(O284,Apoio!A:B,2,0),"")</f>
        <v/>
      </c>
      <c r="O284" s="22">
        <f>IFERROR(VLOOKUP(C284,'[1]TB DIN'!$B:$D,3,0),"AGUARDANDO ANEXO")</f>
        <v>0</v>
      </c>
      <c r="P284" s="22">
        <f>IFERROR(VLOOKUP(C284,'[1]TB DIN INCLUIDOS'!$B:$H,3,0),"AGUARDANDO ANEXO")</f>
        <v>0</v>
      </c>
      <c r="Q284" s="26" cm="1">
        <f t="array" ref="Q284">_xlfn.IFS((P284&gt;N284),(N284*2),(P284&lt;=N284),(P284*2))</f>
        <v>0</v>
      </c>
      <c r="R284" s="22"/>
      <c r="S284" s="26" t="str">
        <f>IFERROR(VLOOKUP(T284,Apoio!A:B,2,0),"")</f>
        <v/>
      </c>
      <c r="T284" s="22">
        <f>IFERROR(VLOOKUP(C284,'[1]TB DIN'!$B:$H,4,0),"AGUARDANDO ANEXO")</f>
        <v>0</v>
      </c>
      <c r="U284" s="22">
        <f>IFERROR(VLOOKUP(C284,'[1]TB DIN INCLUIDOS'!$B:$H,4,0),"AGUARDANDO ANEXO")</f>
        <v>0</v>
      </c>
      <c r="V284" s="26" cm="1">
        <f t="array" ref="V284">_xlfn.IFS((U284&gt;S284),(S284*2),(U284&lt;=S284),(U284*2))</f>
        <v>0</v>
      </c>
      <c r="W284" s="22"/>
      <c r="X284" s="26">
        <f>IFERROR(VLOOKUP(Y284,Apoio!A:B,2,0),"")</f>
        <v>1</v>
      </c>
      <c r="Y284" s="22">
        <f>IFERROR(VLOOKUP(C284,'[1]TB DIN'!$B:$H,5,0),"AGUARDANDO ANEXO")</f>
        <v>15</v>
      </c>
      <c r="Z284" s="22">
        <f>IFERROR(VLOOKUP(C284,'[1]TB DIN INCLUIDOS'!$B:$H,5,0),"AGUARDANDO ANEXO")</f>
        <v>0</v>
      </c>
      <c r="AA284" s="26" cm="1">
        <f t="array" ref="AA284">_xlfn.IFS((Z284&gt;X284),(X284*2),(Z284&lt;=X284),(Z284*2))</f>
        <v>0</v>
      </c>
      <c r="AB284" s="22"/>
      <c r="AC284" s="26">
        <f>IFERROR(VLOOKUP(AD284,Apoio!A:B,2,0),"")</f>
        <v>1</v>
      </c>
      <c r="AD284" s="22">
        <f>IFERROR(VLOOKUP(C284,'[1]TB DIN'!$B:$H,6,0),"AGUARDANDO ANEXO")</f>
        <v>15</v>
      </c>
      <c r="AE284" s="22">
        <f>IFERROR(VLOOKUP(C284,'[1]TB DIN INCLUIDOS'!$B:$H,6,0),"AGUARDANDO ANEXO")</f>
        <v>0</v>
      </c>
      <c r="AF284" s="26" cm="1">
        <f t="array" ref="AF284">_xlfn.IFS((AE284&gt;AC284),(AC284*2),(AE284&lt;=AC284),(AE284*2))</f>
        <v>0</v>
      </c>
      <c r="AG284" s="22"/>
      <c r="AH284" s="28">
        <f t="shared" si="28"/>
        <v>30</v>
      </c>
      <c r="AI284" s="28">
        <f t="shared" si="29"/>
        <v>0</v>
      </c>
      <c r="AJ284" s="28">
        <f t="shared" si="30"/>
        <v>0</v>
      </c>
      <c r="AK284" s="28">
        <f t="shared" si="31"/>
        <v>0</v>
      </c>
      <c r="AL284" s="28">
        <f t="shared" si="32"/>
        <v>0</v>
      </c>
      <c r="AM284" s="23" t="s">
        <v>1707</v>
      </c>
      <c r="AN284" s="37">
        <f>VLOOKUP(C284,'[2]MARÇO-2024'!$B:$M,12,0)</f>
        <v>30</v>
      </c>
      <c r="AO284" s="37">
        <f t="shared" si="33"/>
        <v>0</v>
      </c>
      <c r="AP284" s="37" t="str">
        <f t="shared" si="34"/>
        <v/>
      </c>
    </row>
    <row r="285" spans="1:42" ht="13.5" customHeight="1" x14ac:dyDescent="0.25">
      <c r="A285" s="17">
        <v>10</v>
      </c>
      <c r="B285" s="17">
        <v>11</v>
      </c>
      <c r="C285" s="29">
        <v>10018</v>
      </c>
      <c r="D285" s="38">
        <v>33114897</v>
      </c>
      <c r="E285" s="18" t="s">
        <v>549</v>
      </c>
      <c r="F285" s="68" t="s">
        <v>828</v>
      </c>
      <c r="G285" s="65" t="s">
        <v>330</v>
      </c>
      <c r="H285" s="19" t="s">
        <v>1096</v>
      </c>
      <c r="I285" s="19" t="s">
        <v>1096</v>
      </c>
      <c r="J285" s="19" t="s">
        <v>1502</v>
      </c>
      <c r="K285" s="20" t="s">
        <v>1629</v>
      </c>
      <c r="L285" s="21">
        <v>220</v>
      </c>
      <c r="M285" s="21"/>
      <c r="N285" s="26">
        <f>IFERROR(VLOOKUP(O285,Apoio!A:B,2,0),"")</f>
        <v>2</v>
      </c>
      <c r="O285" s="22">
        <v>33</v>
      </c>
      <c r="P285" s="22">
        <f>IFERROR(VLOOKUP(C285,'[1]TB DIN INCLUIDOS'!$B:$H,3,0),"AGUARDANDO ANEXO")</f>
        <v>0</v>
      </c>
      <c r="Q285" s="26" cm="1">
        <f t="array" ref="Q285">_xlfn.IFS((P285&gt;N285),(N285*2),(P285&lt;=N285),(P285*2))</f>
        <v>0</v>
      </c>
      <c r="R285" s="22"/>
      <c r="S285" s="26">
        <f>IFERROR(VLOOKUP(T285,Apoio!A:B,2,0),"")</f>
        <v>3</v>
      </c>
      <c r="T285" s="22">
        <f>IFERROR(VLOOKUP(C285,'[1]TB DIN'!$B:$H,4,0),"AGUARDANDO ANEXO")</f>
        <v>59</v>
      </c>
      <c r="U285" s="22">
        <f>IFERROR(VLOOKUP(C285,'[1]TB DIN INCLUIDOS'!$B:$H,4,0),"AGUARDANDO ANEXO")</f>
        <v>0</v>
      </c>
      <c r="V285" s="26" cm="1">
        <f t="array" ref="V285">_xlfn.IFS((U285&gt;S285),(S285*2),(U285&lt;=S285),(U285*2))</f>
        <v>0</v>
      </c>
      <c r="W285" s="22"/>
      <c r="X285" s="26">
        <f>IFERROR(VLOOKUP(Y285,Apoio!A:B,2,0),"")</f>
        <v>3</v>
      </c>
      <c r="Y285" s="22">
        <f>IFERROR(VLOOKUP(C285,'[1]TB DIN'!$B:$H,5,0),"AGUARDANDO ANEXO")</f>
        <v>51</v>
      </c>
      <c r="Z285" s="22">
        <f>IFERROR(VLOOKUP(C285,'[1]TB DIN INCLUIDOS'!$B:$H,5,0),"AGUARDANDO ANEXO")</f>
        <v>0</v>
      </c>
      <c r="AA285" s="26" cm="1">
        <f t="array" ref="AA285">_xlfn.IFS((Z285&gt;X285),(X285*2),(Z285&lt;=X285),(Z285*2))</f>
        <v>0</v>
      </c>
      <c r="AB285" s="22"/>
      <c r="AC285" s="26">
        <f>IFERROR(VLOOKUP(AD285,Apoio!A:B,2,0),"")</f>
        <v>3</v>
      </c>
      <c r="AD285" s="22">
        <v>75</v>
      </c>
      <c r="AE285" s="22">
        <f>IFERROR(VLOOKUP(C285,'[1]TB DIN INCLUIDOS'!$B:$H,6,0),"AGUARDANDO ANEXO")</f>
        <v>2</v>
      </c>
      <c r="AF285" s="26" cm="1">
        <f t="array" ref="AF285">_xlfn.IFS((AE285&gt;AC285),(AC285*2),(AE285&lt;=AC285),(AE285*2))</f>
        <v>4</v>
      </c>
      <c r="AG285" s="22"/>
      <c r="AH285" s="28">
        <f t="shared" si="28"/>
        <v>218</v>
      </c>
      <c r="AI285" s="28">
        <f t="shared" si="29"/>
        <v>2</v>
      </c>
      <c r="AJ285" s="28">
        <f t="shared" si="30"/>
        <v>4</v>
      </c>
      <c r="AK285" s="28">
        <f t="shared" si="31"/>
        <v>0</v>
      </c>
      <c r="AL285" s="28">
        <f t="shared" si="32"/>
        <v>-2</v>
      </c>
      <c r="AM285" s="23" t="s">
        <v>1707</v>
      </c>
      <c r="AN285" s="37">
        <f>VLOOKUP(C285,'[2]MARÇO-2024'!$B:$M,12,0)</f>
        <v>218</v>
      </c>
      <c r="AO285" s="37">
        <f t="shared" si="33"/>
        <v>0</v>
      </c>
      <c r="AP285" s="37" t="str">
        <f t="shared" si="34"/>
        <v/>
      </c>
    </row>
    <row r="286" spans="1:42" ht="13.5" customHeight="1" x14ac:dyDescent="0.25">
      <c r="A286" s="17">
        <v>10</v>
      </c>
      <c r="B286" s="17">
        <v>12</v>
      </c>
      <c r="C286" s="29">
        <v>10019</v>
      </c>
      <c r="D286" s="38">
        <v>33114900</v>
      </c>
      <c r="E286" s="18" t="s">
        <v>553</v>
      </c>
      <c r="F286" s="68" t="s">
        <v>833</v>
      </c>
      <c r="G286" s="62" t="s">
        <v>335</v>
      </c>
      <c r="H286" s="19" t="s">
        <v>1101</v>
      </c>
      <c r="I286" s="19" t="s">
        <v>1101</v>
      </c>
      <c r="J286" s="19" t="s">
        <v>1507</v>
      </c>
      <c r="K286" s="20" t="s">
        <v>1626</v>
      </c>
      <c r="L286" s="21">
        <v>175</v>
      </c>
      <c r="M286" s="21"/>
      <c r="N286" s="26" t="str">
        <f>IFERROR(VLOOKUP(O286,Apoio!A:B,2,0),"")</f>
        <v/>
      </c>
      <c r="O286" s="22">
        <f>IFERROR(VLOOKUP(C286,'[1]TB DIN'!$B:$D,3,0),"AGUARDANDO ANEXO")</f>
        <v>0</v>
      </c>
      <c r="P286" s="22">
        <f>IFERROR(VLOOKUP(C286,'[1]TB DIN INCLUIDOS'!$B:$H,3,0),"AGUARDANDO ANEXO")</f>
        <v>0</v>
      </c>
      <c r="Q286" s="26" cm="1">
        <f t="array" ref="Q286">_xlfn.IFS((P286&gt;N286),(N286*2),(P286&lt;=N286),(P286*2))</f>
        <v>0</v>
      </c>
      <c r="R286" s="22"/>
      <c r="S286" s="26">
        <f>IFERROR(VLOOKUP(T286,Apoio!A:B,2,0),"")</f>
        <v>2</v>
      </c>
      <c r="T286" s="22">
        <f>IFERROR(VLOOKUP(C286,'[1]TB DIN'!$B:$H,4,0),"AGUARDANDO ANEXO")</f>
        <v>50</v>
      </c>
      <c r="U286" s="22">
        <f>IFERROR(VLOOKUP(C286,'[1]TB DIN INCLUIDOS'!$B:$H,4,0),"AGUARDANDO ANEXO")</f>
        <v>0</v>
      </c>
      <c r="V286" s="26" cm="1">
        <f t="array" ref="V286">_xlfn.IFS((U286&gt;S286),(S286*2),(U286&lt;=S286),(U286*2))</f>
        <v>0</v>
      </c>
      <c r="W286" s="22"/>
      <c r="X286" s="26">
        <f>IFERROR(VLOOKUP(Y286,Apoio!A:B,2,0),"")</f>
        <v>2</v>
      </c>
      <c r="Y286" s="22">
        <f>IFERROR(VLOOKUP(C286,'[1]TB DIN'!$B:$H,5,0),"AGUARDANDO ANEXO")</f>
        <v>50</v>
      </c>
      <c r="Z286" s="22">
        <f>IFERROR(VLOOKUP(C286,'[1]TB DIN INCLUIDOS'!$B:$H,5,0),"AGUARDANDO ANEXO")</f>
        <v>1</v>
      </c>
      <c r="AA286" s="26" cm="1">
        <f t="array" ref="AA286">_xlfn.IFS((Z286&gt;X286),(X286*2),(Z286&lt;=X286),(Z286*2))</f>
        <v>2</v>
      </c>
      <c r="AB286" s="22"/>
      <c r="AC286" s="26">
        <f>IFERROR(VLOOKUP(AD286,Apoio!A:B,2,0),"")</f>
        <v>3</v>
      </c>
      <c r="AD286" s="22">
        <f>IFERROR(VLOOKUP(C286,'[1]TB DIN'!$B:$H,6,0),"AGUARDANDO ANEXO")</f>
        <v>69</v>
      </c>
      <c r="AE286" s="22">
        <f>IFERROR(VLOOKUP(C286,'[1]TB DIN INCLUIDOS'!$B:$H,6,0),"AGUARDANDO ANEXO")</f>
        <v>3</v>
      </c>
      <c r="AF286" s="26" cm="1">
        <f t="array" ref="AF286">_xlfn.IFS((AE286&gt;AC286),(AC286*2),(AE286&lt;=AC286),(AE286*2))</f>
        <v>6</v>
      </c>
      <c r="AG286" s="22"/>
      <c r="AH286" s="28">
        <f t="shared" si="28"/>
        <v>169</v>
      </c>
      <c r="AI286" s="28">
        <f t="shared" si="29"/>
        <v>4</v>
      </c>
      <c r="AJ286" s="28">
        <f t="shared" si="30"/>
        <v>8</v>
      </c>
      <c r="AK286" s="28">
        <f t="shared" si="31"/>
        <v>0</v>
      </c>
      <c r="AL286" s="28">
        <f t="shared" si="32"/>
        <v>-2</v>
      </c>
      <c r="AM286" s="23" t="s">
        <v>1707</v>
      </c>
      <c r="AN286" s="37">
        <f>VLOOKUP(C286,'[2]MARÇO-2024'!$B:$M,12,0)</f>
        <v>170</v>
      </c>
      <c r="AO286" s="37">
        <f t="shared" si="33"/>
        <v>1</v>
      </c>
      <c r="AP286" s="37" t="str">
        <f t="shared" si="34"/>
        <v/>
      </c>
    </row>
    <row r="287" spans="1:42" ht="13.5" customHeight="1" x14ac:dyDescent="0.25">
      <c r="A287" s="17">
        <v>10</v>
      </c>
      <c r="B287" s="17">
        <v>13</v>
      </c>
      <c r="C287" s="29">
        <v>10020</v>
      </c>
      <c r="D287" s="38">
        <v>33114927</v>
      </c>
      <c r="E287" s="18" t="s">
        <v>357</v>
      </c>
      <c r="F287" s="68" t="s">
        <v>794</v>
      </c>
      <c r="G287" s="62" t="s">
        <v>296</v>
      </c>
      <c r="H287" s="19" t="s">
        <v>1062</v>
      </c>
      <c r="I287" s="19" t="s">
        <v>1124</v>
      </c>
      <c r="J287" s="19" t="s">
        <v>1468</v>
      </c>
      <c r="K287" s="20" t="s">
        <v>1626</v>
      </c>
      <c r="L287" s="21">
        <v>175</v>
      </c>
      <c r="M287" s="21"/>
      <c r="N287" s="26" t="str">
        <f>IFERROR(VLOOKUP(O287,Apoio!A:B,2,0),"")</f>
        <v/>
      </c>
      <c r="O287" s="22">
        <f>IFERROR(VLOOKUP(C287,'[1]TB DIN'!$B:$D,3,0),"AGUARDANDO ANEXO")</f>
        <v>0</v>
      </c>
      <c r="P287" s="22">
        <f>IFERROR(VLOOKUP(C287,'[1]TB DIN INCLUIDOS'!$B:$H,3,0),"AGUARDANDO ANEXO")</f>
        <v>0</v>
      </c>
      <c r="Q287" s="26" cm="1">
        <f t="array" ref="Q287">_xlfn.IFS((P287&gt;N287),(N287*2),(P287&lt;=N287),(P287*2))</f>
        <v>0</v>
      </c>
      <c r="R287" s="22"/>
      <c r="S287" s="26" t="str">
        <f>IFERROR(VLOOKUP(T287,Apoio!A:B,2,0),"")</f>
        <v/>
      </c>
      <c r="T287" s="22">
        <f>IFERROR(VLOOKUP(C287,'[1]TB DIN'!$B:$H,4,0),"AGUARDANDO ANEXO")</f>
        <v>0</v>
      </c>
      <c r="U287" s="22">
        <f>IFERROR(VLOOKUP(C287,'[1]TB DIN INCLUIDOS'!$B:$H,4,0),"AGUARDANDO ANEXO")</f>
        <v>0</v>
      </c>
      <c r="V287" s="26" cm="1">
        <f t="array" ref="V287">_xlfn.IFS((U287&gt;S287),(S287*2),(U287&lt;=S287),(U287*2))</f>
        <v>0</v>
      </c>
      <c r="W287" s="22"/>
      <c r="X287" s="26">
        <f>IFERROR(VLOOKUP(Y287,Apoio!A:B,2,0),"")</f>
        <v>4</v>
      </c>
      <c r="Y287" s="22">
        <v>80</v>
      </c>
      <c r="Z287" s="22">
        <f>IFERROR(VLOOKUP(C287,'[1]TB DIN INCLUIDOS'!$B:$H,5,0),"AGUARDANDO ANEXO")</f>
        <v>1</v>
      </c>
      <c r="AA287" s="26" cm="1">
        <f t="array" ref="AA287">_xlfn.IFS((Z287&gt;X287),(X287*2),(Z287&lt;=X287),(Z287*2))</f>
        <v>2</v>
      </c>
      <c r="AB287" s="22"/>
      <c r="AC287" s="26">
        <f>IFERROR(VLOOKUP(AD287,Apoio!A:B,2,0),"")</f>
        <v>4</v>
      </c>
      <c r="AD287" s="22">
        <v>91</v>
      </c>
      <c r="AE287" s="22">
        <f>IFERROR(VLOOKUP(C287,'[1]TB DIN INCLUIDOS'!$B:$H,6,0),"AGUARDANDO ANEXO")</f>
        <v>2</v>
      </c>
      <c r="AF287" s="26" cm="1">
        <f t="array" ref="AF287">_xlfn.IFS((AE287&gt;AC287),(AC287*2),(AE287&lt;=AC287),(AE287*2))</f>
        <v>4</v>
      </c>
      <c r="AG287" s="22"/>
      <c r="AH287" s="28">
        <f t="shared" si="28"/>
        <v>171</v>
      </c>
      <c r="AI287" s="28">
        <f t="shared" si="29"/>
        <v>3</v>
      </c>
      <c r="AJ287" s="28">
        <f t="shared" si="30"/>
        <v>6</v>
      </c>
      <c r="AK287" s="28">
        <f t="shared" si="31"/>
        <v>0</v>
      </c>
      <c r="AL287" s="28">
        <f t="shared" si="32"/>
        <v>-2</v>
      </c>
      <c r="AM287" s="23" t="s">
        <v>1707</v>
      </c>
      <c r="AN287" s="37">
        <f>VLOOKUP(C287,'[2]MARÇO-2024'!$B:$M,12,0)</f>
        <v>171</v>
      </c>
      <c r="AO287" s="37">
        <f t="shared" si="33"/>
        <v>0</v>
      </c>
      <c r="AP287" s="37" t="str">
        <f t="shared" si="34"/>
        <v/>
      </c>
    </row>
    <row r="288" spans="1:42" ht="13.5" customHeight="1" x14ac:dyDescent="0.25">
      <c r="A288" s="17">
        <v>10</v>
      </c>
      <c r="B288" s="17">
        <v>14</v>
      </c>
      <c r="C288" s="29">
        <v>10022</v>
      </c>
      <c r="D288" s="38">
        <v>33114943</v>
      </c>
      <c r="E288" s="18" t="s">
        <v>528</v>
      </c>
      <c r="F288" s="68" t="s">
        <v>791</v>
      </c>
      <c r="G288" s="62" t="s">
        <v>294</v>
      </c>
      <c r="H288" s="19" t="s">
        <v>1059</v>
      </c>
      <c r="I288" s="19" t="s">
        <v>1059</v>
      </c>
      <c r="J288" s="19" t="s">
        <v>1465</v>
      </c>
      <c r="K288" s="20" t="s">
        <v>1627</v>
      </c>
      <c r="L288" s="21">
        <v>220</v>
      </c>
      <c r="M288" s="21"/>
      <c r="N288" s="26" t="str">
        <f>IFERROR(VLOOKUP(O288,Apoio!A:B,2,0),"")</f>
        <v/>
      </c>
      <c r="O288" s="22">
        <f>IFERROR(VLOOKUP(C288,'[1]TB DIN'!$B:$D,3,0),"AGUARDANDO ANEXO")</f>
        <v>0</v>
      </c>
      <c r="P288" s="22">
        <f>IFERROR(VLOOKUP(C288,'[1]TB DIN INCLUIDOS'!$B:$H,3,0),"AGUARDANDO ANEXO")</f>
        <v>0</v>
      </c>
      <c r="Q288" s="26" cm="1">
        <f t="array" ref="Q288">_xlfn.IFS((P288&gt;N288),(N288*2),(P288&lt;=N288),(P288*2))</f>
        <v>0</v>
      </c>
      <c r="R288" s="22"/>
      <c r="S288" s="26" t="str">
        <f>IFERROR(VLOOKUP(T288,Apoio!A:B,2,0),"")</f>
        <v/>
      </c>
      <c r="T288" s="22">
        <f>IFERROR(VLOOKUP(C288,'[1]TB DIN'!$B:$H,4,0),"AGUARDANDO ANEXO")</f>
        <v>0</v>
      </c>
      <c r="U288" s="22">
        <f>IFERROR(VLOOKUP(C288,'[1]TB DIN INCLUIDOS'!$B:$H,4,0),"AGUARDANDO ANEXO")</f>
        <v>0</v>
      </c>
      <c r="V288" s="26" cm="1">
        <f t="array" ref="V288">_xlfn.IFS((U288&gt;S288),(S288*2),(U288&lt;=S288),(U288*2))</f>
        <v>0</v>
      </c>
      <c r="W288" s="22"/>
      <c r="X288" s="26">
        <f>IFERROR(VLOOKUP(Y288,Apoio!A:B,2,0),"")</f>
        <v>5</v>
      </c>
      <c r="Y288" s="22">
        <v>103</v>
      </c>
      <c r="Z288" s="22">
        <v>1</v>
      </c>
      <c r="AA288" s="26" cm="1">
        <f t="array" ref="AA288">_xlfn.IFS((Z288&gt;X288),(X288*2),(Z288&lt;=X288),(Z288*2))</f>
        <v>2</v>
      </c>
      <c r="AB288" s="22"/>
      <c r="AC288" s="26">
        <f>IFERROR(VLOOKUP(AD288,Apoio!A:B,2,0),"")</f>
        <v>5</v>
      </c>
      <c r="AD288" s="22">
        <v>113</v>
      </c>
      <c r="AE288" s="22">
        <v>2</v>
      </c>
      <c r="AF288" s="26" cm="1">
        <f t="array" ref="AF288">_xlfn.IFS((AE288&gt;AC288),(AC288*2),(AE288&lt;=AC288),(AE288*2))</f>
        <v>4</v>
      </c>
      <c r="AG288" s="22"/>
      <c r="AH288" s="28">
        <f t="shared" si="28"/>
        <v>216</v>
      </c>
      <c r="AI288" s="28">
        <f t="shared" si="29"/>
        <v>3</v>
      </c>
      <c r="AJ288" s="28">
        <f t="shared" si="30"/>
        <v>6</v>
      </c>
      <c r="AK288" s="28">
        <f t="shared" si="31"/>
        <v>0</v>
      </c>
      <c r="AL288" s="28">
        <f t="shared" si="32"/>
        <v>-2</v>
      </c>
      <c r="AM288" s="23" t="s">
        <v>1707</v>
      </c>
      <c r="AN288" s="37">
        <f>VLOOKUP(C288,'[2]MARÇO-2024'!$B:$M,12,0)</f>
        <v>216</v>
      </c>
      <c r="AO288" s="37">
        <f t="shared" si="33"/>
        <v>0</v>
      </c>
      <c r="AP288" s="37" t="str">
        <f t="shared" si="34"/>
        <v/>
      </c>
    </row>
    <row r="289" spans="1:42" ht="13.5" customHeight="1" x14ac:dyDescent="0.25">
      <c r="A289" s="17">
        <v>10</v>
      </c>
      <c r="B289" s="17">
        <v>15</v>
      </c>
      <c r="C289" s="29">
        <v>10023</v>
      </c>
      <c r="D289" s="38">
        <v>33121567</v>
      </c>
      <c r="E289" s="18" t="s">
        <v>550</v>
      </c>
      <c r="F289" s="68" t="s">
        <v>829</v>
      </c>
      <c r="G289" s="62" t="s">
        <v>331</v>
      </c>
      <c r="H289" s="19" t="s">
        <v>1097</v>
      </c>
      <c r="I289" s="19" t="s">
        <v>1097</v>
      </c>
      <c r="J289" s="19" t="s">
        <v>1503</v>
      </c>
      <c r="K289" s="20" t="s">
        <v>1626</v>
      </c>
      <c r="L289" s="21">
        <v>100</v>
      </c>
      <c r="M289" s="21"/>
      <c r="N289" s="26" t="str">
        <f>IFERROR(VLOOKUP(O289,Apoio!A:B,2,0),"")</f>
        <v/>
      </c>
      <c r="O289" s="22">
        <f>IFERROR(VLOOKUP(C289,'[1]TB DIN'!$B:$D,3,0),"AGUARDANDO ANEXO")</f>
        <v>0</v>
      </c>
      <c r="P289" s="22">
        <f>IFERROR(VLOOKUP(C289,'[1]TB DIN INCLUIDOS'!$B:$H,3,0),"AGUARDANDO ANEXO")</f>
        <v>0</v>
      </c>
      <c r="Q289" s="26" cm="1">
        <f t="array" ref="Q289">_xlfn.IFS((P289&gt;N289),(N289*2),(P289&lt;=N289),(P289*2))</f>
        <v>0</v>
      </c>
      <c r="R289" s="22"/>
      <c r="S289" s="26">
        <f>IFERROR(VLOOKUP(T289,Apoio!A:B,2,0),"")</f>
        <v>1</v>
      </c>
      <c r="T289" s="22">
        <f>IFERROR(VLOOKUP(C289,'[1]TB DIN'!$B:$H,4,0),"AGUARDANDO ANEXO")</f>
        <v>22</v>
      </c>
      <c r="U289" s="22">
        <f>IFERROR(VLOOKUP(C289,'[1]TB DIN INCLUIDOS'!$B:$H,4,0),"AGUARDANDO ANEXO")</f>
        <v>0</v>
      </c>
      <c r="V289" s="26" cm="1">
        <f t="array" ref="V289">_xlfn.IFS((U289&gt;S289),(S289*2),(U289&lt;=S289),(U289*2))</f>
        <v>0</v>
      </c>
      <c r="W289" s="22"/>
      <c r="X289" s="26">
        <f>IFERROR(VLOOKUP(Y289,Apoio!A:B,2,0),"")</f>
        <v>2</v>
      </c>
      <c r="Y289" s="22">
        <v>30</v>
      </c>
      <c r="Z289" s="22">
        <f>IFERROR(VLOOKUP(C289,'[1]TB DIN INCLUIDOS'!$B:$H,5,0),"AGUARDANDO ANEXO")</f>
        <v>0</v>
      </c>
      <c r="AA289" s="26" cm="1">
        <f t="array" ref="AA289">_xlfn.IFS((Z289&gt;X289),(X289*2),(Z289&lt;=X289),(Z289*2))</f>
        <v>0</v>
      </c>
      <c r="AB289" s="22"/>
      <c r="AC289" s="26">
        <f>IFERROR(VLOOKUP(AD289,Apoio!A:B,2,0),"")</f>
        <v>2</v>
      </c>
      <c r="AD289" s="22">
        <v>46</v>
      </c>
      <c r="AE289" s="22">
        <f>IFERROR(VLOOKUP(C289,'[1]TB DIN INCLUIDOS'!$B:$H,6,0),"AGUARDANDO ANEXO")</f>
        <v>2</v>
      </c>
      <c r="AF289" s="26" cm="1">
        <f t="array" ref="AF289">_xlfn.IFS((AE289&gt;AC289),(AC289*2),(AE289&lt;=AC289),(AE289*2))</f>
        <v>4</v>
      </c>
      <c r="AG289" s="22"/>
      <c r="AH289" s="28">
        <f t="shared" si="28"/>
        <v>98</v>
      </c>
      <c r="AI289" s="28">
        <f t="shared" si="29"/>
        <v>2</v>
      </c>
      <c r="AJ289" s="28">
        <f t="shared" si="30"/>
        <v>4</v>
      </c>
      <c r="AK289" s="28">
        <f t="shared" si="31"/>
        <v>0</v>
      </c>
      <c r="AL289" s="28">
        <f t="shared" si="32"/>
        <v>-2</v>
      </c>
      <c r="AM289" s="23" t="s">
        <v>1707</v>
      </c>
      <c r="AN289" s="37">
        <f>VLOOKUP(C289,'[2]MARÇO-2024'!$B:$M,12,0)</f>
        <v>98</v>
      </c>
      <c r="AO289" s="37">
        <f t="shared" si="33"/>
        <v>0</v>
      </c>
      <c r="AP289" s="37" t="str">
        <f t="shared" si="34"/>
        <v/>
      </c>
    </row>
    <row r="290" spans="1:42" ht="13.5" customHeight="1" x14ac:dyDescent="0.25">
      <c r="A290" s="17">
        <v>10</v>
      </c>
      <c r="B290" s="17">
        <v>16</v>
      </c>
      <c r="C290" s="29">
        <v>10024</v>
      </c>
      <c r="D290" s="38">
        <v>33121575</v>
      </c>
      <c r="E290" s="18" t="s">
        <v>543</v>
      </c>
      <c r="F290" s="68" t="s">
        <v>818</v>
      </c>
      <c r="G290" s="62" t="s">
        <v>320</v>
      </c>
      <c r="H290" s="19" t="s">
        <v>1086</v>
      </c>
      <c r="I290" s="19" t="s">
        <v>1086</v>
      </c>
      <c r="J290" s="19" t="s">
        <v>1492</v>
      </c>
      <c r="K290" s="20" t="s">
        <v>1626</v>
      </c>
      <c r="L290" s="21">
        <v>140</v>
      </c>
      <c r="M290" s="21"/>
      <c r="N290" s="26" t="str">
        <f>IFERROR(VLOOKUP(O290,Apoio!A:B,2,0),"")</f>
        <v/>
      </c>
      <c r="O290" s="22">
        <f>IFERROR(VLOOKUP(C290,'[1]TB DIN'!$B:$D,3,0),"AGUARDANDO ANEXO")</f>
        <v>0</v>
      </c>
      <c r="P290" s="22">
        <f>IFERROR(VLOOKUP(C290,'[1]TB DIN INCLUIDOS'!$B:$H,3,0),"AGUARDANDO ANEXO")</f>
        <v>0</v>
      </c>
      <c r="Q290" s="26" cm="1">
        <f t="array" ref="Q290">_xlfn.IFS((P290&gt;N290),(N290*2),(P290&lt;=N290),(P290*2))</f>
        <v>0</v>
      </c>
      <c r="R290" s="22"/>
      <c r="S290" s="26">
        <f>IFERROR(VLOOKUP(T290,Apoio!A:B,2,0),"")</f>
        <v>1</v>
      </c>
      <c r="T290" s="22">
        <v>25</v>
      </c>
      <c r="U290" s="22">
        <f>IFERROR(VLOOKUP(C290,'[1]TB DIN INCLUIDOS'!$B:$H,4,0),"AGUARDANDO ANEXO")</f>
        <v>0</v>
      </c>
      <c r="V290" s="26" cm="1">
        <f t="array" ref="V290">_xlfn.IFS((U290&gt;S290),(S290*2),(U290&lt;=S290),(U290*2))</f>
        <v>0</v>
      </c>
      <c r="W290" s="22"/>
      <c r="X290" s="26">
        <f>IFERROR(VLOOKUP(Y290,Apoio!A:B,2,0),"")</f>
        <v>3</v>
      </c>
      <c r="Y290" s="22">
        <v>57</v>
      </c>
      <c r="Z290" s="22">
        <f>IFERROR(VLOOKUP(C290,'[1]TB DIN INCLUIDOS'!$B:$H,5,0),"AGUARDANDO ANEXO")</f>
        <v>1</v>
      </c>
      <c r="AA290" s="26" cm="1">
        <f t="array" ref="AA290">_xlfn.IFS((Z290&gt;X290),(X290*2),(Z290&lt;=X290),(Z290*2))</f>
        <v>2</v>
      </c>
      <c r="AB290" s="22"/>
      <c r="AC290" s="26">
        <f>IFERROR(VLOOKUP(AD290,Apoio!A:B,2,0),"")</f>
        <v>3</v>
      </c>
      <c r="AD290" s="22">
        <v>57</v>
      </c>
      <c r="AE290" s="22">
        <v>1</v>
      </c>
      <c r="AF290" s="26" cm="1">
        <f t="array" ref="AF290">_xlfn.IFS((AE290&gt;AC290),(AC290*2),(AE290&lt;=AC290),(AE290*2))</f>
        <v>2</v>
      </c>
      <c r="AG290" s="22"/>
      <c r="AH290" s="28">
        <f t="shared" si="28"/>
        <v>139</v>
      </c>
      <c r="AI290" s="28">
        <f t="shared" si="29"/>
        <v>2</v>
      </c>
      <c r="AJ290" s="28">
        <f t="shared" si="30"/>
        <v>4</v>
      </c>
      <c r="AK290" s="28">
        <f t="shared" si="31"/>
        <v>0</v>
      </c>
      <c r="AL290" s="28">
        <f t="shared" si="32"/>
        <v>-3</v>
      </c>
      <c r="AM290" s="23" t="s">
        <v>1707</v>
      </c>
      <c r="AN290" s="37">
        <f>VLOOKUP(C290,'[2]MARÇO-2024'!$B:$M,12,0)</f>
        <v>141</v>
      </c>
      <c r="AO290" s="37">
        <f t="shared" si="33"/>
        <v>2</v>
      </c>
      <c r="AP290" s="37" t="str">
        <f t="shared" si="34"/>
        <v/>
      </c>
    </row>
    <row r="291" spans="1:42" ht="13.5" customHeight="1" x14ac:dyDescent="0.25">
      <c r="A291" s="17">
        <v>10</v>
      </c>
      <c r="B291" s="17">
        <v>17</v>
      </c>
      <c r="C291" s="29">
        <v>10026</v>
      </c>
      <c r="D291" s="38">
        <v>33121931</v>
      </c>
      <c r="E291" s="18" t="s">
        <v>546</v>
      </c>
      <c r="F291" s="68" t="s">
        <v>824</v>
      </c>
      <c r="G291" s="62" t="s">
        <v>326</v>
      </c>
      <c r="H291" s="19" t="s">
        <v>1092</v>
      </c>
      <c r="I291" s="19" t="s">
        <v>1092</v>
      </c>
      <c r="J291" s="19" t="s">
        <v>1498</v>
      </c>
      <c r="K291" s="20" t="s">
        <v>1627</v>
      </c>
      <c r="L291" s="21">
        <v>145</v>
      </c>
      <c r="M291" s="21"/>
      <c r="N291" s="26" t="str">
        <f>IFERROR(VLOOKUP(O291,Apoio!A:B,2,0),"")</f>
        <v/>
      </c>
      <c r="O291" s="22">
        <f>IFERROR(VLOOKUP(C291,'[1]TB DIN'!$B:$D,3,0),"AGUARDANDO ANEXO")</f>
        <v>0</v>
      </c>
      <c r="P291" s="22">
        <f>IFERROR(VLOOKUP(C291,'[1]TB DIN INCLUIDOS'!$B:$H,3,0),"AGUARDANDO ANEXO")</f>
        <v>0</v>
      </c>
      <c r="Q291" s="26" cm="1">
        <f t="array" ref="Q291">_xlfn.IFS((P291&gt;N291),(N291*2),(P291&lt;=N291),(P291*2))</f>
        <v>0</v>
      </c>
      <c r="R291" s="22"/>
      <c r="S291" s="26" t="str">
        <f>IFERROR(VLOOKUP(T291,Apoio!A:B,2,0),"")</f>
        <v/>
      </c>
      <c r="T291" s="22">
        <f>IFERROR(VLOOKUP(C291,'[1]TB DIN'!$B:$H,4,0),"AGUARDANDO ANEXO")</f>
        <v>0</v>
      </c>
      <c r="U291" s="22">
        <f>IFERROR(VLOOKUP(C291,'[1]TB DIN INCLUIDOS'!$B:$H,4,0),"AGUARDANDO ANEXO")</f>
        <v>0</v>
      </c>
      <c r="V291" s="26" cm="1">
        <f t="array" ref="V291">_xlfn.IFS((U291&gt;S291),(S291*2),(U291&lt;=S291),(U291*2))</f>
        <v>0</v>
      </c>
      <c r="W291" s="22"/>
      <c r="X291" s="26">
        <f>IFERROR(VLOOKUP(Y291,Apoio!A:B,2,0),"")</f>
        <v>3</v>
      </c>
      <c r="Y291" s="22">
        <f>IFERROR(VLOOKUP(C291,'[1]TB DIN'!$B:$H,5,0),"AGUARDANDO ANEXO")</f>
        <v>73</v>
      </c>
      <c r="Z291" s="22">
        <f>IFERROR(VLOOKUP(C291,'[1]TB DIN INCLUIDOS'!$B:$H,5,0),"AGUARDANDO ANEXO")</f>
        <v>2</v>
      </c>
      <c r="AA291" s="26" cm="1">
        <f t="array" ref="AA291">_xlfn.IFS((Z291&gt;X291),(X291*2),(Z291&lt;=X291),(Z291*2))</f>
        <v>4</v>
      </c>
      <c r="AB291" s="22"/>
      <c r="AC291" s="26">
        <f>IFERROR(VLOOKUP(AD291,Apoio!A:B,2,0),"")</f>
        <v>3</v>
      </c>
      <c r="AD291" s="22">
        <v>71</v>
      </c>
      <c r="AE291" s="22">
        <f>IFERROR(VLOOKUP(C291,'[1]TB DIN INCLUIDOS'!$B:$H,6,0),"AGUARDANDO ANEXO")</f>
        <v>6</v>
      </c>
      <c r="AF291" s="26" cm="1">
        <f t="array" ref="AF291">_xlfn.IFS((AE291&gt;AC291),(AC291*2),(AE291&lt;=AC291),(AE291*2))</f>
        <v>6</v>
      </c>
      <c r="AG291" s="22"/>
      <c r="AH291" s="28">
        <f t="shared" si="28"/>
        <v>144</v>
      </c>
      <c r="AI291" s="28">
        <f t="shared" si="29"/>
        <v>8</v>
      </c>
      <c r="AJ291" s="28">
        <f t="shared" si="30"/>
        <v>10</v>
      </c>
      <c r="AK291" s="28">
        <f t="shared" si="31"/>
        <v>0</v>
      </c>
      <c r="AL291" s="28">
        <f t="shared" si="32"/>
        <v>-9</v>
      </c>
      <c r="AM291" s="23" t="s">
        <v>1707</v>
      </c>
      <c r="AN291" s="37">
        <f>VLOOKUP(C291,'[2]MARÇO-2024'!$B:$M,12,0)</f>
        <v>145</v>
      </c>
      <c r="AO291" s="37">
        <f t="shared" si="33"/>
        <v>1</v>
      </c>
      <c r="AP291" s="37" t="str">
        <f t="shared" si="34"/>
        <v/>
      </c>
    </row>
    <row r="292" spans="1:42" ht="13.5" customHeight="1" x14ac:dyDescent="0.25">
      <c r="A292" s="17">
        <v>10</v>
      </c>
      <c r="B292" s="17">
        <v>18</v>
      </c>
      <c r="C292" s="29">
        <v>10027</v>
      </c>
      <c r="D292" s="38">
        <v>33123160</v>
      </c>
      <c r="E292" s="18" t="s">
        <v>532</v>
      </c>
      <c r="F292" s="68" t="s">
        <v>803</v>
      </c>
      <c r="G292" s="62" t="s">
        <v>305</v>
      </c>
      <c r="H292" s="19" t="s">
        <v>1071</v>
      </c>
      <c r="I292" s="19" t="s">
        <v>1226</v>
      </c>
      <c r="J292" s="19" t="s">
        <v>1477</v>
      </c>
      <c r="K292" s="20" t="s">
        <v>1626</v>
      </c>
      <c r="L292" s="21">
        <v>160</v>
      </c>
      <c r="M292" s="21"/>
      <c r="N292" s="26" t="str">
        <f>IFERROR(VLOOKUP(O292,Apoio!A:B,2,0),"")</f>
        <v/>
      </c>
      <c r="O292" s="22">
        <f>IFERROR(VLOOKUP(C292,'[1]TB DIN'!$B:$D,3,0),"AGUARDANDO ANEXO")</f>
        <v>0</v>
      </c>
      <c r="P292" s="22">
        <f>IFERROR(VLOOKUP(C292,'[1]TB DIN INCLUIDOS'!$B:$H,3,0),"AGUARDANDO ANEXO")</f>
        <v>0</v>
      </c>
      <c r="Q292" s="26" cm="1">
        <f t="array" ref="Q292">_xlfn.IFS((P292&gt;N292),(N292*2),(P292&lt;=N292),(P292*2))</f>
        <v>0</v>
      </c>
      <c r="R292" s="22"/>
      <c r="S292" s="26">
        <f>IFERROR(VLOOKUP(T292,Apoio!A:B,2,0),"")</f>
        <v>2</v>
      </c>
      <c r="T292" s="22">
        <f>IFERROR(VLOOKUP(C292,'[1]TB DIN'!$B:$H,4,0),"AGUARDANDO ANEXO")</f>
        <v>49</v>
      </c>
      <c r="U292" s="22">
        <f>IFERROR(VLOOKUP(C292,'[1]TB DIN INCLUIDOS'!$B:$H,4,0),"AGUARDANDO ANEXO")</f>
        <v>0</v>
      </c>
      <c r="V292" s="26" cm="1">
        <f t="array" ref="V292">_xlfn.IFS((U292&gt;S292),(S292*2),(U292&lt;=S292),(U292*2))</f>
        <v>0</v>
      </c>
      <c r="W292" s="22"/>
      <c r="X292" s="26">
        <f>IFERROR(VLOOKUP(Y292,Apoio!A:B,2,0),"")</f>
        <v>3</v>
      </c>
      <c r="Y292" s="22">
        <f>IFERROR(VLOOKUP(C292,'[1]TB DIN'!$B:$H,5,0),"AGUARDANDO ANEXO")</f>
        <v>63</v>
      </c>
      <c r="Z292" s="22">
        <f>IFERROR(VLOOKUP(C292,'[1]TB DIN INCLUIDOS'!$B:$H,5,0),"AGUARDANDO ANEXO")</f>
        <v>0</v>
      </c>
      <c r="AA292" s="26" cm="1">
        <f t="array" ref="AA292">_xlfn.IFS((Z292&gt;X292),(X292*2),(Z292&lt;=X292),(Z292*2))</f>
        <v>0</v>
      </c>
      <c r="AB292" s="22"/>
      <c r="AC292" s="26">
        <f>IFERROR(VLOOKUP(AD292,Apoio!A:B,2,0),"")</f>
        <v>2</v>
      </c>
      <c r="AD292" s="22">
        <f>IFERROR(VLOOKUP(C292,'[1]TB DIN'!$B:$H,6,0),"AGUARDANDO ANEXO")</f>
        <v>48</v>
      </c>
      <c r="AE292" s="22">
        <f>IFERROR(VLOOKUP(C292,'[1]TB DIN INCLUIDOS'!$B:$H,6,0),"AGUARDANDO ANEXO")</f>
        <v>3</v>
      </c>
      <c r="AF292" s="26" cm="1">
        <f t="array" ref="AF292">_xlfn.IFS((AE292&gt;AC292),(AC292*2),(AE292&lt;=AC292),(AE292*2))</f>
        <v>4</v>
      </c>
      <c r="AG292" s="22"/>
      <c r="AH292" s="28">
        <f t="shared" si="28"/>
        <v>160</v>
      </c>
      <c r="AI292" s="28">
        <f t="shared" si="29"/>
        <v>3</v>
      </c>
      <c r="AJ292" s="28">
        <f t="shared" si="30"/>
        <v>4</v>
      </c>
      <c r="AK292" s="28">
        <f t="shared" si="31"/>
        <v>0</v>
      </c>
      <c r="AL292" s="28">
        <f t="shared" si="32"/>
        <v>-4</v>
      </c>
      <c r="AM292" s="23" t="s">
        <v>1707</v>
      </c>
      <c r="AN292" s="37">
        <f>VLOOKUP(C292,'[2]MARÇO-2024'!$B:$M,12,0)</f>
        <v>160</v>
      </c>
      <c r="AO292" s="37">
        <f t="shared" si="33"/>
        <v>0</v>
      </c>
      <c r="AP292" s="37" t="str">
        <f t="shared" si="34"/>
        <v/>
      </c>
    </row>
    <row r="293" spans="1:42" ht="13.5" customHeight="1" x14ac:dyDescent="0.25">
      <c r="A293" s="17">
        <v>10</v>
      </c>
      <c r="B293" s="17">
        <v>19</v>
      </c>
      <c r="C293" s="29">
        <v>10028</v>
      </c>
      <c r="D293" s="38">
        <v>33143544</v>
      </c>
      <c r="E293" s="18" t="s">
        <v>532</v>
      </c>
      <c r="F293" s="68" t="s">
        <v>802</v>
      </c>
      <c r="G293" s="62" t="s">
        <v>304</v>
      </c>
      <c r="H293" s="19" t="s">
        <v>1070</v>
      </c>
      <c r="I293" s="19" t="s">
        <v>1226</v>
      </c>
      <c r="J293" s="19" t="s">
        <v>1476</v>
      </c>
      <c r="K293" s="20" t="s">
        <v>1626</v>
      </c>
      <c r="L293" s="21">
        <v>141</v>
      </c>
      <c r="M293" s="21"/>
      <c r="N293" s="26">
        <f>IFERROR(VLOOKUP(O293,Apoio!A:B,2,0),"")</f>
        <v>1</v>
      </c>
      <c r="O293" s="22">
        <v>17</v>
      </c>
      <c r="P293" s="22">
        <f>IFERROR(VLOOKUP(C293,'[1]TB DIN INCLUIDOS'!$B:$H,3,0),"AGUARDANDO ANEXO")</f>
        <v>0</v>
      </c>
      <c r="Q293" s="26" cm="1">
        <f t="array" ref="Q293">_xlfn.IFS((P293&gt;N293),(N293*2),(P293&lt;=N293),(P293*2))</f>
        <v>0</v>
      </c>
      <c r="R293" s="22"/>
      <c r="S293" s="26">
        <f>IFERROR(VLOOKUP(T293,Apoio!A:B,2,0),"")</f>
        <v>2</v>
      </c>
      <c r="T293" s="22">
        <v>34</v>
      </c>
      <c r="U293" s="22">
        <f>IFERROR(VLOOKUP(C293,'[1]TB DIN INCLUIDOS'!$B:$H,4,0),"AGUARDANDO ANEXO")</f>
        <v>0</v>
      </c>
      <c r="V293" s="26" cm="1">
        <f t="array" ref="V293">_xlfn.IFS((U293&gt;S293),(S293*2),(U293&lt;=S293),(U293*2))</f>
        <v>0</v>
      </c>
      <c r="W293" s="22"/>
      <c r="X293" s="26">
        <f>IFERROR(VLOOKUP(Y293,Apoio!A:B,2,0),"")</f>
        <v>2</v>
      </c>
      <c r="Y293" s="22">
        <v>39</v>
      </c>
      <c r="Z293" s="22">
        <f>IFERROR(VLOOKUP(C293,'[1]TB DIN INCLUIDOS'!$B:$H,5,0),"AGUARDANDO ANEXO")</f>
        <v>0</v>
      </c>
      <c r="AA293" s="26" cm="1">
        <f t="array" ref="AA293">_xlfn.IFS((Z293&gt;X293),(X293*2),(Z293&lt;=X293),(Z293*2))</f>
        <v>0</v>
      </c>
      <c r="AB293" s="22"/>
      <c r="AC293" s="26">
        <f>IFERROR(VLOOKUP(AD293,Apoio!A:B,2,0),"")</f>
        <v>2</v>
      </c>
      <c r="AD293" s="22">
        <v>50</v>
      </c>
      <c r="AE293" s="22">
        <f>IFERROR(VLOOKUP(C293,'[1]TB DIN INCLUIDOS'!$B:$H,6,0),"AGUARDANDO ANEXO")</f>
        <v>1</v>
      </c>
      <c r="AF293" s="26" cm="1">
        <f t="array" ref="AF293">_xlfn.IFS((AE293&gt;AC293),(AC293*2),(AE293&lt;=AC293),(AE293*2))</f>
        <v>2</v>
      </c>
      <c r="AG293" s="22"/>
      <c r="AH293" s="28">
        <f t="shared" si="28"/>
        <v>140</v>
      </c>
      <c r="AI293" s="28">
        <f t="shared" si="29"/>
        <v>1</v>
      </c>
      <c r="AJ293" s="28">
        <f t="shared" si="30"/>
        <v>2</v>
      </c>
      <c r="AK293" s="28">
        <f t="shared" si="31"/>
        <v>0</v>
      </c>
      <c r="AL293" s="28">
        <f t="shared" si="32"/>
        <v>-1</v>
      </c>
      <c r="AM293" s="23" t="s">
        <v>1707</v>
      </c>
      <c r="AN293" s="37">
        <f>VLOOKUP(C293,'[2]MARÇO-2024'!$B:$M,12,0)</f>
        <v>140</v>
      </c>
      <c r="AO293" s="37">
        <f t="shared" si="33"/>
        <v>0</v>
      </c>
      <c r="AP293" s="37" t="str">
        <f t="shared" si="34"/>
        <v/>
      </c>
    </row>
    <row r="294" spans="1:42" ht="13.5" customHeight="1" x14ac:dyDescent="0.25">
      <c r="A294" s="17">
        <v>10</v>
      </c>
      <c r="B294" s="17">
        <v>20</v>
      </c>
      <c r="C294" s="29">
        <v>10029</v>
      </c>
      <c r="D294" s="38">
        <v>33147230</v>
      </c>
      <c r="E294" s="18" t="s">
        <v>527</v>
      </c>
      <c r="F294" s="68" t="s">
        <v>790</v>
      </c>
      <c r="G294" s="62" t="s">
        <v>293</v>
      </c>
      <c r="H294" s="19" t="s">
        <v>1058</v>
      </c>
      <c r="I294" s="19" t="s">
        <v>1058</v>
      </c>
      <c r="J294" s="19" t="s">
        <v>1464</v>
      </c>
      <c r="K294" s="20" t="s">
        <v>1626</v>
      </c>
      <c r="L294" s="21">
        <v>75</v>
      </c>
      <c r="M294" s="21"/>
      <c r="N294" s="26" t="str">
        <f>IFERROR(VLOOKUP(O294,Apoio!A:B,2,0),"")</f>
        <v/>
      </c>
      <c r="O294" s="22">
        <f>IFERROR(VLOOKUP(C294,'[1]TB DIN'!$B:$D,3,0),"AGUARDANDO ANEXO")</f>
        <v>0</v>
      </c>
      <c r="P294" s="22">
        <f>IFERROR(VLOOKUP(C294,'[1]TB DIN INCLUIDOS'!$B:$H,3,0),"AGUARDANDO ANEXO")</f>
        <v>0</v>
      </c>
      <c r="Q294" s="26" cm="1">
        <f t="array" ref="Q294">_xlfn.IFS((P294&gt;N294),(N294*2),(P294&lt;=N294),(P294*2))</f>
        <v>0</v>
      </c>
      <c r="R294" s="22"/>
      <c r="S294" s="26" t="str">
        <f>IFERROR(VLOOKUP(T294,Apoio!A:B,2,0),"")</f>
        <v/>
      </c>
      <c r="T294" s="22">
        <f>IFERROR(VLOOKUP(C294,'[1]TB DIN'!$B:$H,4,0),"AGUARDANDO ANEXO")</f>
        <v>0</v>
      </c>
      <c r="U294" s="22">
        <f>IFERROR(VLOOKUP(C294,'[1]TB DIN INCLUIDOS'!$B:$H,4,0),"AGUARDANDO ANEXO")</f>
        <v>0</v>
      </c>
      <c r="V294" s="26" cm="1">
        <f t="array" ref="V294">_xlfn.IFS((U294&gt;S294),(S294*2),(U294&lt;=S294),(U294*2))</f>
        <v>0</v>
      </c>
      <c r="W294" s="22"/>
      <c r="X294" s="26">
        <f>IFERROR(VLOOKUP(Y294,Apoio!A:B,2,0),"")</f>
        <v>2</v>
      </c>
      <c r="Y294" s="22">
        <f>IFERROR(VLOOKUP(C294,'[1]TB DIN'!$B:$H,5,0),"AGUARDANDO ANEXO")</f>
        <v>37</v>
      </c>
      <c r="Z294" s="22">
        <f>IFERROR(VLOOKUP(C294,'[1]TB DIN INCLUIDOS'!$B:$H,5,0),"AGUARDANDO ANEXO")</f>
        <v>0</v>
      </c>
      <c r="AA294" s="26" cm="1">
        <f t="array" ref="AA294">_xlfn.IFS((Z294&gt;X294),(X294*2),(Z294&lt;=X294),(Z294*2))</f>
        <v>0</v>
      </c>
      <c r="AB294" s="22"/>
      <c r="AC294" s="26">
        <f>IFERROR(VLOOKUP(AD294,Apoio!A:B,2,0),"")</f>
        <v>2</v>
      </c>
      <c r="AD294" s="22">
        <f>IFERROR(VLOOKUP(C294,'[1]TB DIN'!$B:$H,6,0),"AGUARDANDO ANEXO")</f>
        <v>38</v>
      </c>
      <c r="AE294" s="22">
        <f>IFERROR(VLOOKUP(C294,'[1]TB DIN INCLUIDOS'!$B:$H,6,0),"AGUARDANDO ANEXO")</f>
        <v>0</v>
      </c>
      <c r="AF294" s="26" cm="1">
        <f t="array" ref="AF294">_xlfn.IFS((AE294&gt;AC294),(AC294*2),(AE294&lt;=AC294),(AE294*2))</f>
        <v>0</v>
      </c>
      <c r="AG294" s="22"/>
      <c r="AH294" s="28">
        <f t="shared" si="28"/>
        <v>75</v>
      </c>
      <c r="AI294" s="28">
        <f t="shared" si="29"/>
        <v>0</v>
      </c>
      <c r="AJ294" s="28">
        <f t="shared" si="30"/>
        <v>0</v>
      </c>
      <c r="AK294" s="28">
        <f t="shared" si="31"/>
        <v>0</v>
      </c>
      <c r="AL294" s="28">
        <f t="shared" si="32"/>
        <v>0</v>
      </c>
      <c r="AM294" s="23" t="s">
        <v>1707</v>
      </c>
      <c r="AN294" s="37">
        <f>VLOOKUP(C294,'[2]MARÇO-2024'!$B:$M,12,0)</f>
        <v>74</v>
      </c>
      <c r="AO294" s="37">
        <f t="shared" si="33"/>
        <v>-1</v>
      </c>
      <c r="AP294" s="37" t="str">
        <f t="shared" si="34"/>
        <v/>
      </c>
    </row>
    <row r="295" spans="1:42" ht="13.5" customHeight="1" x14ac:dyDescent="0.25">
      <c r="A295" s="17">
        <v>10</v>
      </c>
      <c r="B295" s="17">
        <v>21</v>
      </c>
      <c r="C295" s="29">
        <v>10030</v>
      </c>
      <c r="D295" s="38">
        <v>33198209</v>
      </c>
      <c r="E295" s="18" t="s">
        <v>519</v>
      </c>
      <c r="F295" s="68" t="s">
        <v>841</v>
      </c>
      <c r="G295" s="62" t="s">
        <v>343</v>
      </c>
      <c r="H295" s="19" t="s">
        <v>1109</v>
      </c>
      <c r="I295" s="19" t="s">
        <v>1222</v>
      </c>
      <c r="J295" s="19" t="s">
        <v>1515</v>
      </c>
      <c r="K295" s="20" t="s">
        <v>1630</v>
      </c>
      <c r="L295" s="21">
        <v>142</v>
      </c>
      <c r="M295" s="21"/>
      <c r="N295" s="26" t="str">
        <f>IFERROR(VLOOKUP(O295,Apoio!A:B,2,0),"")</f>
        <v/>
      </c>
      <c r="O295" s="22">
        <f>IFERROR(VLOOKUP(C295,'[1]TB DIN'!$B:$D,3,0),"AGUARDANDO ANEXO")</f>
        <v>0</v>
      </c>
      <c r="P295" s="22">
        <f>IFERROR(VLOOKUP(C295,'[1]TB DIN INCLUIDOS'!$B:$H,3,0),"AGUARDANDO ANEXO")</f>
        <v>0</v>
      </c>
      <c r="Q295" s="26" cm="1">
        <f t="array" ref="Q295">_xlfn.IFS((P295&gt;N295),(N295*2),(P295&lt;=N295),(P295*2))</f>
        <v>0</v>
      </c>
      <c r="R295" s="22"/>
      <c r="S295" s="26">
        <f>IFERROR(VLOOKUP(T295,Apoio!A:B,2,0),"")</f>
        <v>3</v>
      </c>
      <c r="T295" s="22">
        <f>IFERROR(VLOOKUP(C295,'[1]TB DIN'!$B:$H,4,0),"AGUARDANDO ANEXO")</f>
        <v>55</v>
      </c>
      <c r="U295" s="22">
        <f>IFERROR(VLOOKUP(C295,'[1]TB DIN INCLUIDOS'!$B:$H,4,0),"AGUARDANDO ANEXO")</f>
        <v>0</v>
      </c>
      <c r="V295" s="26" cm="1">
        <f t="array" ref="V295">_xlfn.IFS((U295&gt;S295),(S295*2),(U295&lt;=S295),(U295*2))</f>
        <v>0</v>
      </c>
      <c r="W295" s="22"/>
      <c r="X295" s="26">
        <f>IFERROR(VLOOKUP(Y295,Apoio!A:B,2,0),"")</f>
        <v>2</v>
      </c>
      <c r="Y295" s="22">
        <f>IFERROR(VLOOKUP(C295,'[1]TB DIN'!$B:$H,5,0),"AGUARDANDO ANEXO")</f>
        <v>34</v>
      </c>
      <c r="Z295" s="22">
        <f>IFERROR(VLOOKUP(C295,'[1]TB DIN INCLUIDOS'!$B:$H,5,0),"AGUARDANDO ANEXO")</f>
        <v>0</v>
      </c>
      <c r="AA295" s="26" cm="1">
        <f t="array" ref="AA295">_xlfn.IFS((Z295&gt;X295),(X295*2),(Z295&lt;=X295),(Z295*2))</f>
        <v>0</v>
      </c>
      <c r="AB295" s="22"/>
      <c r="AC295" s="26">
        <f>IFERROR(VLOOKUP(AD295,Apoio!A:B,2,0),"")</f>
        <v>3</v>
      </c>
      <c r="AD295" s="22">
        <f>IFERROR(VLOOKUP(C295,'[1]TB DIN'!$B:$H,6,0),"AGUARDANDO ANEXO")</f>
        <v>53</v>
      </c>
      <c r="AE295" s="22">
        <f>IFERROR(VLOOKUP(C295,'[1]TB DIN INCLUIDOS'!$B:$H,6,0),"AGUARDANDO ANEXO")</f>
        <v>0</v>
      </c>
      <c r="AF295" s="26" cm="1">
        <f t="array" ref="AF295">_xlfn.IFS((AE295&gt;AC295),(AC295*2),(AE295&lt;=AC295),(AE295*2))</f>
        <v>0</v>
      </c>
      <c r="AG295" s="22"/>
      <c r="AH295" s="28">
        <f t="shared" si="28"/>
        <v>142</v>
      </c>
      <c r="AI295" s="28">
        <f t="shared" si="29"/>
        <v>0</v>
      </c>
      <c r="AJ295" s="28">
        <f t="shared" si="30"/>
        <v>0</v>
      </c>
      <c r="AK295" s="28">
        <f t="shared" si="31"/>
        <v>0</v>
      </c>
      <c r="AL295" s="28">
        <f t="shared" si="32"/>
        <v>0</v>
      </c>
      <c r="AM295" s="23" t="s">
        <v>1707</v>
      </c>
      <c r="AN295" s="37">
        <f>VLOOKUP(C295,'[2]MARÇO-2024'!$B:$M,12,0)</f>
        <v>142</v>
      </c>
      <c r="AO295" s="37">
        <f t="shared" si="33"/>
        <v>0</v>
      </c>
      <c r="AP295" s="37" t="str">
        <f t="shared" si="34"/>
        <v/>
      </c>
    </row>
    <row r="296" spans="1:42" ht="13.5" customHeight="1" x14ac:dyDescent="0.25">
      <c r="A296" s="17">
        <v>10</v>
      </c>
      <c r="B296" s="17">
        <v>22</v>
      </c>
      <c r="C296" s="29">
        <v>10032</v>
      </c>
      <c r="D296" s="38">
        <v>33143404</v>
      </c>
      <c r="E296" s="18" t="s">
        <v>497</v>
      </c>
      <c r="F296" s="68" t="s">
        <v>819</v>
      </c>
      <c r="G296" s="62" t="s">
        <v>321</v>
      </c>
      <c r="H296" s="19" t="s">
        <v>1087</v>
      </c>
      <c r="I296" s="19" t="s">
        <v>47</v>
      </c>
      <c r="J296" s="19" t="s">
        <v>1493</v>
      </c>
      <c r="K296" s="20" t="s">
        <v>1626</v>
      </c>
      <c r="L296" s="21">
        <v>222</v>
      </c>
      <c r="M296" s="21"/>
      <c r="N296" s="26">
        <f>IFERROR(VLOOKUP(O296,Apoio!A:B,2,0),"")</f>
        <v>2</v>
      </c>
      <c r="O296" s="22">
        <v>28</v>
      </c>
      <c r="P296" s="22">
        <f>IFERROR(VLOOKUP(C296,'[1]TB DIN INCLUIDOS'!$B:$H,3,0),"AGUARDANDO ANEXO")</f>
        <v>0</v>
      </c>
      <c r="Q296" s="26" cm="1">
        <f t="array" ref="Q296">_xlfn.IFS((P296&gt;N296),(N296*2),(P296&lt;=N296),(P296*2))</f>
        <v>0</v>
      </c>
      <c r="R296" s="22"/>
      <c r="S296" s="26">
        <f>IFERROR(VLOOKUP(T296,Apoio!A:B,2,0),"")</f>
        <v>3</v>
      </c>
      <c r="T296" s="22">
        <v>71</v>
      </c>
      <c r="U296" s="22">
        <f>IFERROR(VLOOKUP(C296,'[1]TB DIN INCLUIDOS'!$B:$H,4,0),"AGUARDANDO ANEXO")</f>
        <v>0</v>
      </c>
      <c r="V296" s="26" cm="1">
        <f t="array" ref="V296">_xlfn.IFS((U296&gt;S296),(S296*2),(U296&lt;=S296),(U296*2))</f>
        <v>0</v>
      </c>
      <c r="W296" s="22"/>
      <c r="X296" s="26">
        <f>IFERROR(VLOOKUP(Y296,Apoio!A:B,2,0),"")</f>
        <v>3</v>
      </c>
      <c r="Y296" s="22">
        <f>IFERROR(VLOOKUP(C296,'[1]TB DIN'!$B:$H,5,0),"AGUARDANDO ANEXO")</f>
        <v>57</v>
      </c>
      <c r="Z296" s="22">
        <f>IFERROR(VLOOKUP(C296,'[1]TB DIN INCLUIDOS'!$B:$H,5,0),"AGUARDANDO ANEXO")</f>
        <v>1</v>
      </c>
      <c r="AA296" s="26" cm="1">
        <f t="array" ref="AA296">_xlfn.IFS((Z296&gt;X296),(X296*2),(Z296&lt;=X296),(Z296*2))</f>
        <v>2</v>
      </c>
      <c r="AB296" s="22"/>
      <c r="AC296" s="26">
        <f>IFERROR(VLOOKUP(AD296,Apoio!A:B,2,0),"")</f>
        <v>3</v>
      </c>
      <c r="AD296" s="22">
        <v>58</v>
      </c>
      <c r="AE296" s="22">
        <f>IFERROR(VLOOKUP(C296,'[1]TB DIN INCLUIDOS'!$B:$H,6,0),"AGUARDANDO ANEXO")</f>
        <v>2</v>
      </c>
      <c r="AF296" s="26" cm="1">
        <f t="array" ref="AF296">_xlfn.IFS((AE296&gt;AC296),(AC296*2),(AE296&lt;=AC296),(AE296*2))</f>
        <v>4</v>
      </c>
      <c r="AG296" s="22"/>
      <c r="AH296" s="28">
        <f t="shared" si="28"/>
        <v>214</v>
      </c>
      <c r="AI296" s="28">
        <f t="shared" si="29"/>
        <v>3</v>
      </c>
      <c r="AJ296" s="28">
        <f t="shared" si="30"/>
        <v>6</v>
      </c>
      <c r="AK296" s="28">
        <f t="shared" si="31"/>
        <v>2</v>
      </c>
      <c r="AL296" s="28">
        <f t="shared" si="32"/>
        <v>0</v>
      </c>
      <c r="AM296" s="23" t="s">
        <v>1707</v>
      </c>
      <c r="AN296" s="37">
        <f>VLOOKUP(C296,'[2]MARÇO-2024'!$B:$M,12,0)</f>
        <v>213</v>
      </c>
      <c r="AO296" s="37">
        <f t="shared" si="33"/>
        <v>-1</v>
      </c>
      <c r="AP296" s="37" t="str">
        <f t="shared" si="34"/>
        <v/>
      </c>
    </row>
    <row r="297" spans="1:42" ht="13.5" customHeight="1" x14ac:dyDescent="0.25">
      <c r="A297" s="17">
        <v>10</v>
      </c>
      <c r="B297" s="17">
        <v>23</v>
      </c>
      <c r="C297" s="29">
        <v>10033</v>
      </c>
      <c r="D297" s="38">
        <v>33143412</v>
      </c>
      <c r="E297" s="18" t="s">
        <v>563</v>
      </c>
      <c r="F297" s="68" t="s">
        <v>845</v>
      </c>
      <c r="G297" s="62" t="s">
        <v>347</v>
      </c>
      <c r="H297" s="19" t="s">
        <v>1113</v>
      </c>
      <c r="I297" s="19" t="s">
        <v>1235</v>
      </c>
      <c r="J297" s="19" t="s">
        <v>1519</v>
      </c>
      <c r="K297" s="20" t="s">
        <v>1629</v>
      </c>
      <c r="L297" s="21">
        <v>117</v>
      </c>
      <c r="M297" s="21"/>
      <c r="N297" s="26">
        <f>IFERROR(VLOOKUP(O297,Apoio!A:B,2,0),"")</f>
        <v>1</v>
      </c>
      <c r="O297" s="22">
        <f>IFERROR(VLOOKUP(C297,'[1]TB DIN'!$B:$D,3,0),"AGUARDANDO ANEXO")</f>
        <v>4</v>
      </c>
      <c r="P297" s="22">
        <f>IFERROR(VLOOKUP(C297,'[1]TB DIN INCLUIDOS'!$B:$H,3,0),"AGUARDANDO ANEXO")</f>
        <v>0</v>
      </c>
      <c r="Q297" s="26" cm="1">
        <f t="array" ref="Q297">_xlfn.IFS((P297&gt;N297),(N297*2),(P297&lt;=N297),(P297*2))</f>
        <v>0</v>
      </c>
      <c r="R297" s="22"/>
      <c r="S297" s="26">
        <f>IFERROR(VLOOKUP(T297,Apoio!A:B,2,0),"")</f>
        <v>1</v>
      </c>
      <c r="T297" s="22">
        <v>23</v>
      </c>
      <c r="U297" s="22">
        <f>IFERROR(VLOOKUP(C297,'[1]TB DIN INCLUIDOS'!$B:$H,4,0),"AGUARDANDO ANEXO")</f>
        <v>0</v>
      </c>
      <c r="V297" s="26" cm="1">
        <f t="array" ref="V297">_xlfn.IFS((U297&gt;S297),(S297*2),(U297&lt;=S297),(U297*2))</f>
        <v>0</v>
      </c>
      <c r="W297" s="22"/>
      <c r="X297" s="26">
        <f>IFERROR(VLOOKUP(Y297,Apoio!A:B,2,0),"")</f>
        <v>2</v>
      </c>
      <c r="Y297" s="22">
        <f>IFERROR(VLOOKUP(C297,'[1]TB DIN'!$B:$H,5,0),"AGUARDANDO ANEXO")</f>
        <v>34</v>
      </c>
      <c r="Z297" s="22">
        <v>2</v>
      </c>
      <c r="AA297" s="26" cm="1">
        <f t="array" ref="AA297">_xlfn.IFS((Z297&gt;X297),(X297*2),(Z297&lt;=X297),(Z297*2))</f>
        <v>4</v>
      </c>
      <c r="AB297" s="22"/>
      <c r="AC297" s="26">
        <f>IFERROR(VLOOKUP(AD297,Apoio!A:B,2,0),"")</f>
        <v>3</v>
      </c>
      <c r="AD297" s="22">
        <v>51</v>
      </c>
      <c r="AE297" s="22">
        <f>IFERROR(VLOOKUP(C297,'[1]TB DIN INCLUIDOS'!$B:$H,6,0),"AGUARDANDO ANEXO")</f>
        <v>1</v>
      </c>
      <c r="AF297" s="26" cm="1">
        <f t="array" ref="AF297">_xlfn.IFS((AE297&gt;AC297),(AC297*2),(AE297&lt;=AC297),(AE297*2))</f>
        <v>2</v>
      </c>
      <c r="AG297" s="22"/>
      <c r="AH297" s="28">
        <f t="shared" si="28"/>
        <v>112</v>
      </c>
      <c r="AI297" s="28">
        <f t="shared" si="29"/>
        <v>3</v>
      </c>
      <c r="AJ297" s="28">
        <f t="shared" si="30"/>
        <v>6</v>
      </c>
      <c r="AK297" s="28">
        <f t="shared" si="31"/>
        <v>0</v>
      </c>
      <c r="AL297" s="28">
        <f t="shared" si="32"/>
        <v>-1</v>
      </c>
      <c r="AM297" s="23" t="s">
        <v>1707</v>
      </c>
      <c r="AN297" s="37">
        <f>VLOOKUP(C297,'[2]MARÇO-2024'!$B:$M,12,0)</f>
        <v>110</v>
      </c>
      <c r="AO297" s="37">
        <f t="shared" si="33"/>
        <v>-2</v>
      </c>
      <c r="AP297" s="37" t="str">
        <f t="shared" si="34"/>
        <v/>
      </c>
    </row>
    <row r="298" spans="1:42" ht="13.5" customHeight="1" x14ac:dyDescent="0.25">
      <c r="A298" s="17">
        <v>10</v>
      </c>
      <c r="B298" s="17">
        <v>24</v>
      </c>
      <c r="C298" s="29">
        <v>10034</v>
      </c>
      <c r="D298" s="38">
        <v>33096260</v>
      </c>
      <c r="E298" s="18" t="s">
        <v>561</v>
      </c>
      <c r="F298" s="68" t="s">
        <v>843</v>
      </c>
      <c r="G298" s="62" t="s">
        <v>345</v>
      </c>
      <c r="H298" s="19" t="s">
        <v>1111</v>
      </c>
      <c r="I298" s="19" t="s">
        <v>1233</v>
      </c>
      <c r="J298" s="19" t="s">
        <v>1517</v>
      </c>
      <c r="K298" s="20" t="s">
        <v>1626</v>
      </c>
      <c r="L298" s="21">
        <v>135</v>
      </c>
      <c r="M298" s="21"/>
      <c r="N298" s="26" t="str">
        <f>IFERROR(VLOOKUP(O298,Apoio!A:B,2,0),"")</f>
        <v/>
      </c>
      <c r="O298" s="22">
        <f>IFERROR(VLOOKUP(C298,'[1]TB DIN'!$B:$D,3,0),"AGUARDANDO ANEXO")</f>
        <v>0</v>
      </c>
      <c r="P298" s="22">
        <f>IFERROR(VLOOKUP(C298,'[1]TB DIN INCLUIDOS'!$B:$H,3,0),"AGUARDANDO ANEXO")</f>
        <v>0</v>
      </c>
      <c r="Q298" s="26" cm="1">
        <f t="array" ref="Q298">_xlfn.IFS((P298&gt;N298),(N298*2),(P298&lt;=N298),(P298*2))</f>
        <v>0</v>
      </c>
      <c r="R298" s="22"/>
      <c r="S298" s="26">
        <f>IFERROR(VLOOKUP(T298,Apoio!A:B,2,0),"")</f>
        <v>1</v>
      </c>
      <c r="T298" s="22">
        <f>IFERROR(VLOOKUP(C298,'[1]TB DIN'!$B:$H,4,0),"AGUARDANDO ANEXO")</f>
        <v>25</v>
      </c>
      <c r="U298" s="22">
        <f>IFERROR(VLOOKUP(C298,'[1]TB DIN INCLUIDOS'!$B:$H,4,0),"AGUARDANDO ANEXO")</f>
        <v>0</v>
      </c>
      <c r="V298" s="26" cm="1">
        <f t="array" ref="V298">_xlfn.IFS((U298&gt;S298),(S298*2),(U298&lt;=S298),(U298*2))</f>
        <v>0</v>
      </c>
      <c r="W298" s="22"/>
      <c r="X298" s="26">
        <f>IFERROR(VLOOKUP(Y298,Apoio!A:B,2,0),"")</f>
        <v>3</v>
      </c>
      <c r="Y298" s="22">
        <f>IFERROR(VLOOKUP(C298,'[1]TB DIN'!$B:$H,5,0),"AGUARDANDO ANEXO")</f>
        <v>61</v>
      </c>
      <c r="Z298" s="22">
        <f>IFERROR(VLOOKUP(C298,'[1]TB DIN INCLUIDOS'!$B:$H,5,0),"AGUARDANDO ANEXO")</f>
        <v>2</v>
      </c>
      <c r="AA298" s="26" cm="1">
        <f t="array" ref="AA298">_xlfn.IFS((Z298&gt;X298),(X298*2),(Z298&lt;=X298),(Z298*2))</f>
        <v>4</v>
      </c>
      <c r="AB298" s="22"/>
      <c r="AC298" s="26">
        <f>IFERROR(VLOOKUP(AD298,Apoio!A:B,2,0),"")</f>
        <v>2</v>
      </c>
      <c r="AD298" s="22">
        <f>IFERROR(VLOOKUP(C298,'[1]TB DIN'!$B:$H,6,0),"AGUARDANDO ANEXO")</f>
        <v>44</v>
      </c>
      <c r="AE298" s="22">
        <f>IFERROR(VLOOKUP(C298,'[1]TB DIN INCLUIDOS'!$B:$H,6,0),"AGUARDANDO ANEXO")</f>
        <v>2</v>
      </c>
      <c r="AF298" s="26" cm="1">
        <f t="array" ref="AF298">_xlfn.IFS((AE298&gt;AC298),(AC298*2),(AE298&lt;=AC298),(AE298*2))</f>
        <v>4</v>
      </c>
      <c r="AG298" s="22"/>
      <c r="AH298" s="28">
        <f t="shared" si="28"/>
        <v>130</v>
      </c>
      <c r="AI298" s="28">
        <f t="shared" si="29"/>
        <v>4</v>
      </c>
      <c r="AJ298" s="28">
        <f t="shared" si="30"/>
        <v>8</v>
      </c>
      <c r="AK298" s="28">
        <f t="shared" si="31"/>
        <v>0</v>
      </c>
      <c r="AL298" s="28">
        <f t="shared" si="32"/>
        <v>-3</v>
      </c>
      <c r="AM298" s="23" t="s">
        <v>1707</v>
      </c>
      <c r="AN298" s="37">
        <f>VLOOKUP(C298,'[2]MARÇO-2024'!$B:$M,12,0)</f>
        <v>132</v>
      </c>
      <c r="AO298" s="37">
        <f t="shared" si="33"/>
        <v>2</v>
      </c>
      <c r="AP298" s="37" t="str">
        <f t="shared" si="34"/>
        <v/>
      </c>
    </row>
    <row r="299" spans="1:42" ht="13.5" customHeight="1" x14ac:dyDescent="0.25">
      <c r="A299" s="17">
        <v>10</v>
      </c>
      <c r="B299" s="17">
        <v>25</v>
      </c>
      <c r="C299" s="29">
        <v>10035</v>
      </c>
      <c r="D299" s="38">
        <v>33114935</v>
      </c>
      <c r="E299" s="18" t="s">
        <v>555</v>
      </c>
      <c r="F299" s="68" t="s">
        <v>836</v>
      </c>
      <c r="G299" s="66" t="s">
        <v>338</v>
      </c>
      <c r="H299" s="19" t="s">
        <v>1104</v>
      </c>
      <c r="I299" s="19" t="s">
        <v>1104</v>
      </c>
      <c r="J299" s="19" t="s">
        <v>1510</v>
      </c>
      <c r="K299" s="20" t="s">
        <v>1629</v>
      </c>
      <c r="L299" s="21">
        <v>160</v>
      </c>
      <c r="M299" s="21"/>
      <c r="N299" s="26">
        <f>IFERROR(VLOOKUP(O299,Apoio!A:B,2,0),"")</f>
        <v>1</v>
      </c>
      <c r="O299" s="22">
        <v>16</v>
      </c>
      <c r="P299" s="22">
        <f>IFERROR(VLOOKUP(C299,'[1]TB DIN INCLUIDOS'!$B:$H,3,0),"AGUARDANDO ANEXO")</f>
        <v>0</v>
      </c>
      <c r="Q299" s="26" cm="1">
        <f t="array" ref="Q299">_xlfn.IFS((P299&gt;N299),(N299*2),(P299&lt;=N299),(P299*2))</f>
        <v>0</v>
      </c>
      <c r="R299" s="22"/>
      <c r="S299" s="26">
        <f>IFERROR(VLOOKUP(T299,Apoio!A:B,2,0),"")</f>
        <v>1</v>
      </c>
      <c r="T299" s="22">
        <f>IFERROR(VLOOKUP(C299,'[1]TB DIN'!$B:$H,4,0),"AGUARDANDO ANEXO")</f>
        <v>25</v>
      </c>
      <c r="U299" s="22">
        <f>IFERROR(VLOOKUP(C299,'[1]TB DIN INCLUIDOS'!$B:$H,4,0),"AGUARDANDO ANEXO")</f>
        <v>0</v>
      </c>
      <c r="V299" s="26" cm="1">
        <f t="array" ref="V299">_xlfn.IFS((U299&gt;S299),(S299*2),(U299&lt;=S299),(U299*2))</f>
        <v>0</v>
      </c>
      <c r="W299" s="22"/>
      <c r="X299" s="26">
        <f>IFERROR(VLOOKUP(Y299,Apoio!A:B,2,0),"")</f>
        <v>2</v>
      </c>
      <c r="Y299" s="22">
        <f>IFERROR(VLOOKUP(C299,'[1]TB DIN'!$B:$H,5,0),"AGUARDANDO ANEXO")</f>
        <v>28</v>
      </c>
      <c r="Z299" s="22">
        <f>IFERROR(VLOOKUP(C299,'[1]TB DIN INCLUIDOS'!$B:$H,5,0),"AGUARDANDO ANEXO")</f>
        <v>0</v>
      </c>
      <c r="AA299" s="26" cm="1">
        <f t="array" ref="AA299">_xlfn.IFS((Z299&gt;X299),(X299*2),(Z299&lt;=X299),(Z299*2))</f>
        <v>0</v>
      </c>
      <c r="AB299" s="22"/>
      <c r="AC299" s="26">
        <f>IFERROR(VLOOKUP(AD299,Apoio!A:B,2,0),"")</f>
        <v>1</v>
      </c>
      <c r="AD299" s="22">
        <f>IFERROR(VLOOKUP(C299,'[1]TB DIN'!$B:$H,6,0),"AGUARDANDO ANEXO")</f>
        <v>20</v>
      </c>
      <c r="AE299" s="22">
        <f>IFERROR(VLOOKUP(C299,'[1]TB DIN INCLUIDOS'!$B:$H,6,0),"AGUARDANDO ANEXO")</f>
        <v>0</v>
      </c>
      <c r="AF299" s="26" cm="1">
        <f t="array" ref="AF299">_xlfn.IFS((AE299&gt;AC299),(AC299*2),(AE299&lt;=AC299),(AE299*2))</f>
        <v>0</v>
      </c>
      <c r="AG299" s="22"/>
      <c r="AH299" s="28">
        <f t="shared" si="28"/>
        <v>89</v>
      </c>
      <c r="AI299" s="28">
        <f t="shared" si="29"/>
        <v>0</v>
      </c>
      <c r="AJ299" s="28">
        <f t="shared" si="30"/>
        <v>0</v>
      </c>
      <c r="AK299" s="28">
        <f t="shared" si="31"/>
        <v>71</v>
      </c>
      <c r="AL299" s="28">
        <f t="shared" si="32"/>
        <v>0</v>
      </c>
      <c r="AM299" s="23" t="s">
        <v>1707</v>
      </c>
      <c r="AN299" s="37">
        <f>VLOOKUP(C299,'[2]MARÇO-2024'!$B:$M,12,0)</f>
        <v>87</v>
      </c>
      <c r="AO299" s="37">
        <f t="shared" si="33"/>
        <v>-2</v>
      </c>
      <c r="AP299" s="37" t="str">
        <f t="shared" si="34"/>
        <v/>
      </c>
    </row>
    <row r="300" spans="1:42" ht="13.5" customHeight="1" x14ac:dyDescent="0.25">
      <c r="A300" s="17">
        <v>10</v>
      </c>
      <c r="B300" s="17">
        <v>26</v>
      </c>
      <c r="C300" s="29">
        <v>10036</v>
      </c>
      <c r="D300" s="38">
        <v>33110875</v>
      </c>
      <c r="E300" s="18" t="s">
        <v>529</v>
      </c>
      <c r="F300" s="68" t="s">
        <v>792</v>
      </c>
      <c r="G300" s="66" t="s">
        <v>1713</v>
      </c>
      <c r="H300" s="19" t="s">
        <v>1060</v>
      </c>
      <c r="I300" s="19" t="s">
        <v>1061</v>
      </c>
      <c r="J300" s="19" t="s">
        <v>1466</v>
      </c>
      <c r="K300" s="20" t="s">
        <v>1626</v>
      </c>
      <c r="L300" s="21">
        <v>120</v>
      </c>
      <c r="M300" s="21"/>
      <c r="N300" s="26" t="str">
        <f>IFERROR(VLOOKUP(O300,Apoio!A:B,2,0),"")</f>
        <v/>
      </c>
      <c r="O300" s="22">
        <f>IFERROR(VLOOKUP(C300,'[1]TB DIN'!$B:$D,3,0),"AGUARDANDO ANEXO")</f>
        <v>0</v>
      </c>
      <c r="P300" s="22">
        <f>IFERROR(VLOOKUP(C300,'[1]TB DIN INCLUIDOS'!$B:$H,3,0),"AGUARDANDO ANEXO")</f>
        <v>0</v>
      </c>
      <c r="Q300" s="26" cm="1">
        <f t="array" ref="Q300">_xlfn.IFS((P300&gt;N300),(N300*2),(P300&lt;=N300),(P300*2))</f>
        <v>0</v>
      </c>
      <c r="R300" s="22"/>
      <c r="S300" s="26">
        <f>IFERROR(VLOOKUP(T300,Apoio!A:B,2,0),"")</f>
        <v>1</v>
      </c>
      <c r="T300" s="22">
        <f>IFERROR(VLOOKUP(C300,'[1]TB DIN'!$B:$H,4,0),"AGUARDANDO ANEXO")</f>
        <v>24</v>
      </c>
      <c r="U300" s="22">
        <f>IFERROR(VLOOKUP(C300,'[1]TB DIN INCLUIDOS'!$B:$H,4,0),"AGUARDANDO ANEXO")</f>
        <v>0</v>
      </c>
      <c r="V300" s="26" cm="1">
        <f t="array" ref="V300">_xlfn.IFS((U300&gt;S300),(S300*2),(U300&lt;=S300),(U300*2))</f>
        <v>0</v>
      </c>
      <c r="W300" s="22"/>
      <c r="X300" s="26">
        <f>IFERROR(VLOOKUP(Y300,Apoio!A:B,2,0),"")</f>
        <v>2</v>
      </c>
      <c r="Y300" s="22">
        <f>IFERROR(VLOOKUP(C300,'[1]TB DIN'!$B:$H,5,0),"AGUARDANDO ANEXO")</f>
        <v>42</v>
      </c>
      <c r="Z300" s="22">
        <f>IFERROR(VLOOKUP(C300,'[1]TB DIN INCLUIDOS'!$B:$H,5,0),"AGUARDANDO ANEXO")</f>
        <v>0</v>
      </c>
      <c r="AA300" s="26" cm="1">
        <f t="array" ref="AA300">_xlfn.IFS((Z300&gt;X300),(X300*2),(Z300&lt;=X300),(Z300*2))</f>
        <v>0</v>
      </c>
      <c r="AB300" s="22"/>
      <c r="AC300" s="26">
        <f>IFERROR(VLOOKUP(AD300,Apoio!A:B,2,0),"")</f>
        <v>2</v>
      </c>
      <c r="AD300" s="22">
        <f>IFERROR(VLOOKUP(C300,'[1]TB DIN'!$B:$H,6,0),"AGUARDANDO ANEXO")</f>
        <v>39</v>
      </c>
      <c r="AE300" s="22">
        <f>IFERROR(VLOOKUP(C300,'[1]TB DIN INCLUIDOS'!$B:$H,6,0),"AGUARDANDO ANEXO")</f>
        <v>0</v>
      </c>
      <c r="AF300" s="26" cm="1">
        <f t="array" ref="AF300">_xlfn.IFS((AE300&gt;AC300),(AC300*2),(AE300&lt;=AC300),(AE300*2))</f>
        <v>0</v>
      </c>
      <c r="AG300" s="22"/>
      <c r="AH300" s="28">
        <f t="shared" si="28"/>
        <v>105</v>
      </c>
      <c r="AI300" s="28">
        <f t="shared" si="29"/>
        <v>0</v>
      </c>
      <c r="AJ300" s="28">
        <f t="shared" si="30"/>
        <v>0</v>
      </c>
      <c r="AK300" s="28">
        <f t="shared" si="31"/>
        <v>15</v>
      </c>
      <c r="AL300" s="28">
        <f t="shared" si="32"/>
        <v>0</v>
      </c>
      <c r="AM300" s="23" t="s">
        <v>1849</v>
      </c>
      <c r="AN300" s="37">
        <f>VLOOKUP(C300,'[2]MARÇO-2024'!$B:$M,12,0)</f>
        <v>103</v>
      </c>
      <c r="AO300" s="37">
        <f t="shared" si="33"/>
        <v>-2</v>
      </c>
      <c r="AP300" s="37" t="str">
        <f t="shared" si="34"/>
        <v/>
      </c>
    </row>
    <row r="301" spans="1:42" ht="13.5" customHeight="1" x14ac:dyDescent="0.25">
      <c r="A301" s="17">
        <v>10</v>
      </c>
      <c r="B301" s="17">
        <v>27</v>
      </c>
      <c r="C301" s="29">
        <v>10037</v>
      </c>
      <c r="D301" s="38">
        <v>33094667</v>
      </c>
      <c r="E301" s="18" t="s">
        <v>529</v>
      </c>
      <c r="F301" s="68" t="s">
        <v>793</v>
      </c>
      <c r="G301" s="66" t="s">
        <v>1712</v>
      </c>
      <c r="H301" s="19" t="s">
        <v>1061</v>
      </c>
      <c r="I301" s="19" t="s">
        <v>1061</v>
      </c>
      <c r="J301" s="19" t="s">
        <v>1467</v>
      </c>
      <c r="K301" s="20" t="s">
        <v>1626</v>
      </c>
      <c r="L301" s="21">
        <v>163</v>
      </c>
      <c r="M301" s="21"/>
      <c r="N301" s="26" t="str">
        <f>IFERROR(VLOOKUP(O301,Apoio!A:B,2,0),"")</f>
        <v/>
      </c>
      <c r="O301" s="22">
        <f>IFERROR(VLOOKUP(C301,'[1]TB DIN'!$B:$D,3,0),"AGUARDANDO ANEXO")</f>
        <v>0</v>
      </c>
      <c r="P301" s="22">
        <f>IFERROR(VLOOKUP(C301,'[1]TB DIN INCLUIDOS'!$B:$H,3,0),"AGUARDANDO ANEXO")</f>
        <v>0</v>
      </c>
      <c r="Q301" s="26" cm="1">
        <f t="array" ref="Q301">_xlfn.IFS((P301&gt;N301),(N301*2),(P301&lt;=N301),(P301*2))</f>
        <v>0</v>
      </c>
      <c r="R301" s="22"/>
      <c r="S301" s="26">
        <f>IFERROR(VLOOKUP(T301,Apoio!A:B,2,0),"")</f>
        <v>1</v>
      </c>
      <c r="T301" s="22">
        <v>19</v>
      </c>
      <c r="U301" s="22">
        <f>IFERROR(VLOOKUP(C301,'[1]TB DIN INCLUIDOS'!$B:$H,4,0),"AGUARDANDO ANEXO")</f>
        <v>0</v>
      </c>
      <c r="V301" s="26" cm="1">
        <f t="array" ref="V301">_xlfn.IFS((U301&gt;S301),(S301*2),(U301&lt;=S301),(U301*2))</f>
        <v>0</v>
      </c>
      <c r="W301" s="22"/>
      <c r="X301" s="26">
        <f>IFERROR(VLOOKUP(Y301,Apoio!A:B,2,0),"")</f>
        <v>2</v>
      </c>
      <c r="Y301" s="22">
        <v>36</v>
      </c>
      <c r="Z301" s="22">
        <f>IFERROR(VLOOKUP(C301,'[1]TB DIN INCLUIDOS'!$B:$H,5,0),"AGUARDANDO ANEXO")</f>
        <v>0</v>
      </c>
      <c r="AA301" s="26" cm="1">
        <f t="array" ref="AA301">_xlfn.IFS((Z301&gt;X301),(X301*2),(Z301&lt;=X301),(Z301*2))</f>
        <v>0</v>
      </c>
      <c r="AB301" s="22"/>
      <c r="AC301" s="26">
        <f>IFERROR(VLOOKUP(AD301,Apoio!A:B,2,0),"")</f>
        <v>2</v>
      </c>
      <c r="AD301" s="22">
        <v>44</v>
      </c>
      <c r="AE301" s="22">
        <f>IFERROR(VLOOKUP(C301,'[1]TB DIN INCLUIDOS'!$B:$H,6,0),"AGUARDANDO ANEXO")</f>
        <v>1</v>
      </c>
      <c r="AF301" s="26" cm="1">
        <f t="array" ref="AF301">_xlfn.IFS((AE301&gt;AC301),(AC301*2),(AE301&lt;=AC301),(AE301*2))</f>
        <v>2</v>
      </c>
      <c r="AG301" s="22"/>
      <c r="AH301" s="28">
        <f t="shared" si="28"/>
        <v>99</v>
      </c>
      <c r="AI301" s="28">
        <f t="shared" si="29"/>
        <v>1</v>
      </c>
      <c r="AJ301" s="28">
        <f t="shared" si="30"/>
        <v>2</v>
      </c>
      <c r="AK301" s="28">
        <f t="shared" si="31"/>
        <v>62</v>
      </c>
      <c r="AL301" s="28">
        <f t="shared" si="32"/>
        <v>0</v>
      </c>
      <c r="AM301" s="23" t="s">
        <v>1707</v>
      </c>
      <c r="AN301" s="37">
        <f>VLOOKUP(C301,'[2]MARÇO-2024'!$B:$M,12,0)</f>
        <v>99</v>
      </c>
      <c r="AO301" s="37">
        <f t="shared" si="33"/>
        <v>0</v>
      </c>
      <c r="AP301" s="37" t="str">
        <f t="shared" si="34"/>
        <v/>
      </c>
    </row>
    <row r="302" spans="1:42" ht="13.5" customHeight="1" x14ac:dyDescent="0.25">
      <c r="A302" s="17">
        <v>10</v>
      </c>
      <c r="B302" s="17">
        <v>28</v>
      </c>
      <c r="C302" s="29">
        <v>10039</v>
      </c>
      <c r="D302" s="38">
        <v>33121850</v>
      </c>
      <c r="E302" s="18" t="s">
        <v>559</v>
      </c>
      <c r="F302" s="68" t="s">
        <v>840</v>
      </c>
      <c r="G302" s="62" t="s">
        <v>342</v>
      </c>
      <c r="H302" s="19" t="s">
        <v>1108</v>
      </c>
      <c r="I302" s="19" t="s">
        <v>1232</v>
      </c>
      <c r="J302" s="19" t="s">
        <v>1514</v>
      </c>
      <c r="K302" s="20" t="s">
        <v>1626</v>
      </c>
      <c r="L302" s="21">
        <v>350</v>
      </c>
      <c r="M302" s="21"/>
      <c r="N302" s="26" t="str">
        <f>IFERROR(VLOOKUP(O302,Apoio!A:B,2,0),"")</f>
        <v/>
      </c>
      <c r="O302" s="22">
        <f>IFERROR(VLOOKUP(C302,'[1]TB DIN'!$B:$D,3,0),"AGUARDANDO ANEXO")</f>
        <v>0</v>
      </c>
      <c r="P302" s="22">
        <f>IFERROR(VLOOKUP(C302,'[1]TB DIN INCLUIDOS'!$B:$H,3,0),"AGUARDANDO ANEXO")</f>
        <v>0</v>
      </c>
      <c r="Q302" s="26" cm="1">
        <f t="array" ref="Q302">_xlfn.IFS((P302&gt;N302),(N302*2),(P302&lt;=N302),(P302*2))</f>
        <v>0</v>
      </c>
      <c r="R302" s="22"/>
      <c r="S302" s="26">
        <f>IFERROR(VLOOKUP(T302,Apoio!A:B,2,0),"")</f>
        <v>3</v>
      </c>
      <c r="T302" s="22">
        <v>73</v>
      </c>
      <c r="U302" s="22">
        <f>IFERROR(VLOOKUP(C302,'[1]TB DIN INCLUIDOS'!$B:$H,4,0),"AGUARDANDO ANEXO")</f>
        <v>1</v>
      </c>
      <c r="V302" s="26" cm="1">
        <f t="array" ref="V302">_xlfn.IFS((U302&gt;S302),(S302*2),(U302&lt;=S302),(U302*2))</f>
        <v>2</v>
      </c>
      <c r="W302" s="22"/>
      <c r="X302" s="26">
        <f>IFERROR(VLOOKUP(Y302,Apoio!A:B,2,0),"")</f>
        <v>6</v>
      </c>
      <c r="Y302" s="22">
        <f>IFERROR(VLOOKUP(C302,'[1]TB DIN'!$B:$H,5,0),"AGUARDANDO ANEXO")</f>
        <v>131</v>
      </c>
      <c r="Z302" s="22">
        <f>IFERROR(VLOOKUP(C302,'[1]TB DIN INCLUIDOS'!$B:$H,5,0),"AGUARDANDO ANEXO")</f>
        <v>1</v>
      </c>
      <c r="AA302" s="26" cm="1">
        <f t="array" ref="AA302">_xlfn.IFS((Z302&gt;X302),(X302*2),(Z302&lt;=X302),(Z302*2))</f>
        <v>2</v>
      </c>
      <c r="AB302" s="22"/>
      <c r="AC302" s="26">
        <f>IFERROR(VLOOKUP(AD302,Apoio!A:B,2,0),"")</f>
        <v>6</v>
      </c>
      <c r="AD302" s="22">
        <v>146</v>
      </c>
      <c r="AE302" s="22">
        <f>IFERROR(VLOOKUP(C302,'[1]TB DIN INCLUIDOS'!$B:$H,6,0),"AGUARDANDO ANEXO")</f>
        <v>7</v>
      </c>
      <c r="AF302" s="26" cm="1">
        <f t="array" ref="AF302">_xlfn.IFS((AE302&gt;AC302),(AC302*2),(AE302&lt;=AC302),(AE302*2))</f>
        <v>12</v>
      </c>
      <c r="AG302" s="22"/>
      <c r="AH302" s="28">
        <f t="shared" si="28"/>
        <v>350</v>
      </c>
      <c r="AI302" s="28">
        <f t="shared" si="29"/>
        <v>9</v>
      </c>
      <c r="AJ302" s="28">
        <f t="shared" si="30"/>
        <v>16</v>
      </c>
      <c r="AK302" s="28">
        <f t="shared" si="31"/>
        <v>0</v>
      </c>
      <c r="AL302" s="28">
        <f t="shared" si="32"/>
        <v>-16</v>
      </c>
      <c r="AM302" s="23" t="s">
        <v>1707</v>
      </c>
      <c r="AN302" s="37">
        <f>VLOOKUP(C302,'[2]MARÇO-2024'!$B:$M,12,0)</f>
        <v>343</v>
      </c>
      <c r="AO302" s="37">
        <f t="shared" si="33"/>
        <v>-7</v>
      </c>
      <c r="AP302" s="37" t="str">
        <f t="shared" si="34"/>
        <v/>
      </c>
    </row>
    <row r="303" spans="1:42" ht="13.5" customHeight="1" x14ac:dyDescent="0.25">
      <c r="A303" s="17">
        <v>10</v>
      </c>
      <c r="B303" s="17">
        <v>29</v>
      </c>
      <c r="C303" s="29">
        <v>10040</v>
      </c>
      <c r="D303" s="43">
        <v>33143420</v>
      </c>
      <c r="E303" s="18" t="s">
        <v>531</v>
      </c>
      <c r="F303" s="68" t="s">
        <v>798</v>
      </c>
      <c r="G303" s="62" t="s">
        <v>300</v>
      </c>
      <c r="H303" s="19" t="s">
        <v>1066</v>
      </c>
      <c r="I303" s="19" t="s">
        <v>1225</v>
      </c>
      <c r="J303" s="19" t="s">
        <v>1472</v>
      </c>
      <c r="K303" s="20" t="s">
        <v>1629</v>
      </c>
      <c r="L303" s="21">
        <v>200</v>
      </c>
      <c r="M303" s="21"/>
      <c r="N303" s="26" t="str">
        <f>IFERROR(VLOOKUP(O303,Apoio!A:B,2,0),"")</f>
        <v/>
      </c>
      <c r="O303" s="22">
        <f>IFERROR(VLOOKUP(C303,'[1]TB DIN'!$B:$D,3,0),"AGUARDANDO ANEXO")</f>
        <v>0</v>
      </c>
      <c r="P303" s="22">
        <f>IFERROR(VLOOKUP(C303,'[1]TB DIN INCLUIDOS'!$B:$H,3,0),"AGUARDANDO ANEXO")</f>
        <v>0</v>
      </c>
      <c r="Q303" s="26" cm="1">
        <f t="array" ref="Q303">_xlfn.IFS((P303&gt;N303),(N303*2),(P303&lt;=N303),(P303*2))</f>
        <v>0</v>
      </c>
      <c r="R303" s="22"/>
      <c r="S303" s="26">
        <f>IFERROR(VLOOKUP(T303,Apoio!A:B,2,0),"")</f>
        <v>3</v>
      </c>
      <c r="T303" s="22">
        <f>IFERROR(VLOOKUP(C303,'[1]TB DIN'!$B:$H,4,0),"AGUARDANDO ANEXO")</f>
        <v>51</v>
      </c>
      <c r="U303" s="22">
        <f>IFERROR(VLOOKUP(C303,'[1]TB DIN INCLUIDOS'!$B:$H,4,0),"AGUARDANDO ANEXO")</f>
        <v>0</v>
      </c>
      <c r="V303" s="26" cm="1">
        <f t="array" ref="V303">_xlfn.IFS((U303&gt;S303),(S303*2),(U303&lt;=S303),(U303*2))</f>
        <v>0</v>
      </c>
      <c r="W303" s="22"/>
      <c r="X303" s="26">
        <f>IFERROR(VLOOKUP(Y303,Apoio!A:B,2,0),"")</f>
        <v>3</v>
      </c>
      <c r="Y303" s="22">
        <f>IFERROR(VLOOKUP(C303,'[1]TB DIN'!$B:$H,5,0),"AGUARDANDO ANEXO")</f>
        <v>71</v>
      </c>
      <c r="Z303" s="22">
        <f>IFERROR(VLOOKUP(C303,'[1]TB DIN INCLUIDOS'!$B:$H,5,0),"AGUARDANDO ANEXO")</f>
        <v>0</v>
      </c>
      <c r="AA303" s="26" cm="1">
        <f t="array" ref="AA303">_xlfn.IFS((Z303&gt;X303),(X303*2),(Z303&lt;=X303),(Z303*2))</f>
        <v>0</v>
      </c>
      <c r="AB303" s="22"/>
      <c r="AC303" s="26">
        <f>IFERROR(VLOOKUP(AD303,Apoio!A:B,2,0),"")</f>
        <v>3</v>
      </c>
      <c r="AD303" s="22">
        <f>IFERROR(VLOOKUP(C303,'[1]TB DIN'!$B:$H,6,0),"AGUARDANDO ANEXO")</f>
        <v>72</v>
      </c>
      <c r="AE303" s="22">
        <f>IFERROR(VLOOKUP(C303,'[1]TB DIN INCLUIDOS'!$B:$H,6,0),"AGUARDANDO ANEXO")</f>
        <v>3</v>
      </c>
      <c r="AF303" s="26" cm="1">
        <f t="array" ref="AF303">_xlfn.IFS((AE303&gt;AC303),(AC303*2),(AE303&lt;=AC303),(AE303*2))</f>
        <v>6</v>
      </c>
      <c r="AG303" s="22"/>
      <c r="AH303" s="28">
        <f t="shared" si="28"/>
        <v>194</v>
      </c>
      <c r="AI303" s="28">
        <f t="shared" si="29"/>
        <v>3</v>
      </c>
      <c r="AJ303" s="28">
        <f t="shared" si="30"/>
        <v>6</v>
      </c>
      <c r="AK303" s="28">
        <f t="shared" si="31"/>
        <v>0</v>
      </c>
      <c r="AL303" s="28">
        <f t="shared" si="32"/>
        <v>0</v>
      </c>
      <c r="AM303" s="23" t="s">
        <v>1707</v>
      </c>
      <c r="AN303" s="37">
        <f>VLOOKUP(C303,'[2]MARÇO-2024'!$B:$M,12,0)</f>
        <v>194</v>
      </c>
      <c r="AO303" s="37">
        <f t="shared" si="33"/>
        <v>0</v>
      </c>
      <c r="AP303" s="37" t="str">
        <f t="shared" si="34"/>
        <v/>
      </c>
    </row>
    <row r="304" spans="1:42" ht="13.5" customHeight="1" x14ac:dyDescent="0.25">
      <c r="A304" s="17">
        <v>10</v>
      </c>
      <c r="B304" s="17">
        <v>30</v>
      </c>
      <c r="C304" s="29">
        <v>10041</v>
      </c>
      <c r="D304" s="38">
        <v>33185107</v>
      </c>
      <c r="E304" s="18" t="s">
        <v>532</v>
      </c>
      <c r="F304" s="68" t="s">
        <v>800</v>
      </c>
      <c r="G304" s="62" t="s">
        <v>302</v>
      </c>
      <c r="H304" s="19" t="s">
        <v>1068</v>
      </c>
      <c r="I304" s="19" t="s">
        <v>1226</v>
      </c>
      <c r="J304" s="19" t="s">
        <v>1474</v>
      </c>
      <c r="K304" s="20" t="s">
        <v>1626</v>
      </c>
      <c r="L304" s="21">
        <v>160</v>
      </c>
      <c r="M304" s="21"/>
      <c r="N304" s="26" t="str">
        <f>IFERROR(VLOOKUP(O304,Apoio!A:B,2,0),"")</f>
        <v/>
      </c>
      <c r="O304" s="22">
        <f>IFERROR(VLOOKUP(C304,'[1]TB DIN'!$B:$D,3,0),"AGUARDANDO ANEXO")</f>
        <v>0</v>
      </c>
      <c r="P304" s="22">
        <f>IFERROR(VLOOKUP(C304,'[1]TB DIN INCLUIDOS'!$B:$H,3,0),"AGUARDANDO ANEXO")</f>
        <v>0</v>
      </c>
      <c r="Q304" s="26" cm="1">
        <f t="array" ref="Q304">_xlfn.IFS((P304&gt;N304),(N304*2),(P304&lt;=N304),(P304*2))</f>
        <v>0</v>
      </c>
      <c r="R304" s="22"/>
      <c r="S304" s="26">
        <f>IFERROR(VLOOKUP(T304,Apoio!A:B,2,0),"")</f>
        <v>2</v>
      </c>
      <c r="T304" s="22">
        <v>42</v>
      </c>
      <c r="U304" s="22">
        <f>IFERROR(VLOOKUP(C304,'[1]TB DIN INCLUIDOS'!$B:$H,4,0),"AGUARDANDO ANEXO")</f>
        <v>0</v>
      </c>
      <c r="V304" s="26" cm="1">
        <f t="array" ref="V304">_xlfn.IFS((U304&gt;S304),(S304*2),(U304&lt;=S304),(U304*2))</f>
        <v>0</v>
      </c>
      <c r="W304" s="22"/>
      <c r="X304" s="26">
        <f>IFERROR(VLOOKUP(Y304,Apoio!A:B,2,0),"")</f>
        <v>3</v>
      </c>
      <c r="Y304" s="22">
        <f>IFERROR(VLOOKUP(C304,'[1]TB DIN'!$B:$H,5,0),"AGUARDANDO ANEXO")</f>
        <v>60</v>
      </c>
      <c r="Z304" s="22">
        <f>IFERROR(VLOOKUP(C304,'[1]TB DIN INCLUIDOS'!$B:$H,5,0),"AGUARDANDO ANEXO")</f>
        <v>2</v>
      </c>
      <c r="AA304" s="26" cm="1">
        <f t="array" ref="AA304">_xlfn.IFS((Z304&gt;X304),(X304*2),(Z304&lt;=X304),(Z304*2))</f>
        <v>4</v>
      </c>
      <c r="AB304" s="22"/>
      <c r="AC304" s="26">
        <f>IFERROR(VLOOKUP(AD304,Apoio!A:B,2,0),"")</f>
        <v>3</v>
      </c>
      <c r="AD304" s="22">
        <v>58</v>
      </c>
      <c r="AE304" s="22">
        <f>IFERROR(VLOOKUP(C304,'[1]TB DIN INCLUIDOS'!$B:$H,6,0),"AGUARDANDO ANEXO")</f>
        <v>3</v>
      </c>
      <c r="AF304" s="26" cm="1">
        <f t="array" ref="AF304">_xlfn.IFS((AE304&gt;AC304),(AC304*2),(AE304&lt;=AC304),(AE304*2))</f>
        <v>6</v>
      </c>
      <c r="AG304" s="22"/>
      <c r="AH304" s="28">
        <f t="shared" si="28"/>
        <v>160</v>
      </c>
      <c r="AI304" s="28">
        <f t="shared" si="29"/>
        <v>5</v>
      </c>
      <c r="AJ304" s="28">
        <f t="shared" si="30"/>
        <v>10</v>
      </c>
      <c r="AK304" s="28">
        <f t="shared" si="31"/>
        <v>0</v>
      </c>
      <c r="AL304" s="28">
        <f t="shared" si="32"/>
        <v>-10</v>
      </c>
      <c r="AM304" s="23" t="s">
        <v>1707</v>
      </c>
      <c r="AN304" s="37">
        <f>VLOOKUP(C304,'[2]MARÇO-2024'!$B:$M,12,0)</f>
        <v>160</v>
      </c>
      <c r="AO304" s="37">
        <f t="shared" si="33"/>
        <v>0</v>
      </c>
      <c r="AP304" s="37" t="str">
        <f t="shared" si="34"/>
        <v/>
      </c>
    </row>
    <row r="305" spans="1:42" ht="13.5" customHeight="1" x14ac:dyDescent="0.25">
      <c r="A305" s="17">
        <v>10</v>
      </c>
      <c r="B305" s="17">
        <v>31</v>
      </c>
      <c r="C305" s="29">
        <v>10042</v>
      </c>
      <c r="D305" s="38">
        <v>33185115</v>
      </c>
      <c r="E305" s="18" t="s">
        <v>531</v>
      </c>
      <c r="F305" s="68" t="s">
        <v>799</v>
      </c>
      <c r="G305" s="62" t="s">
        <v>301</v>
      </c>
      <c r="H305" s="19" t="s">
        <v>1067</v>
      </c>
      <c r="I305" s="19" t="s">
        <v>1225</v>
      </c>
      <c r="J305" s="19" t="s">
        <v>1473</v>
      </c>
      <c r="K305" s="20" t="s">
        <v>1629</v>
      </c>
      <c r="L305" s="21">
        <v>128</v>
      </c>
      <c r="M305" s="21"/>
      <c r="N305" s="26" t="str">
        <f>IFERROR(VLOOKUP(O305,Apoio!A:B,2,0),"")</f>
        <v/>
      </c>
      <c r="O305" s="22">
        <f>IFERROR(VLOOKUP(C305,'[1]TB DIN'!$B:$D,3,0),"AGUARDANDO ANEXO")</f>
        <v>0</v>
      </c>
      <c r="P305" s="22">
        <f>IFERROR(VLOOKUP(C305,'[1]TB DIN INCLUIDOS'!$B:$H,3,0),"AGUARDANDO ANEXO")</f>
        <v>0</v>
      </c>
      <c r="Q305" s="26" cm="1">
        <f t="array" ref="Q305">_xlfn.IFS((P305&gt;N305),(N305*2),(P305&lt;=N305),(P305*2))</f>
        <v>0</v>
      </c>
      <c r="R305" s="22"/>
      <c r="S305" s="26">
        <f>IFERROR(VLOOKUP(T305,Apoio!A:B,2,0),"")</f>
        <v>1</v>
      </c>
      <c r="T305" s="22">
        <f>IFERROR(VLOOKUP(C305,'[1]TB DIN'!$B:$H,4,0),"AGUARDANDO ANEXO")</f>
        <v>24</v>
      </c>
      <c r="U305" s="22">
        <f>IFERROR(VLOOKUP(C305,'[1]TB DIN INCLUIDOS'!$B:$H,4,0),"AGUARDANDO ANEXO")</f>
        <v>0</v>
      </c>
      <c r="V305" s="26" cm="1">
        <f t="array" ref="V305">_xlfn.IFS((U305&gt;S305),(S305*2),(U305&lt;=S305),(U305*2))</f>
        <v>0</v>
      </c>
      <c r="W305" s="22"/>
      <c r="X305" s="26">
        <f>IFERROR(VLOOKUP(Y305,Apoio!A:B,2,0),"")</f>
        <v>2</v>
      </c>
      <c r="Y305" s="22">
        <f>IFERROR(VLOOKUP(C305,'[1]TB DIN'!$B:$H,5,0),"AGUARDANDO ANEXO")</f>
        <v>43</v>
      </c>
      <c r="Z305" s="22">
        <f>IFERROR(VLOOKUP(C305,'[1]TB DIN INCLUIDOS'!$B:$H,5,0),"AGUARDANDO ANEXO")</f>
        <v>0</v>
      </c>
      <c r="AA305" s="26" cm="1">
        <f t="array" ref="AA305">_xlfn.IFS((Z305&gt;X305),(X305*2),(Z305&lt;=X305),(Z305*2))</f>
        <v>0</v>
      </c>
      <c r="AB305" s="22"/>
      <c r="AC305" s="26">
        <f>IFERROR(VLOOKUP(AD305,Apoio!A:B,2,0),"")</f>
        <v>3</v>
      </c>
      <c r="AD305" s="22">
        <f>IFERROR(VLOOKUP(C305,'[1]TB DIN'!$B:$H,6,0),"AGUARDANDO ANEXO")</f>
        <v>60</v>
      </c>
      <c r="AE305" s="22">
        <f>IFERROR(VLOOKUP(C305,'[1]TB DIN INCLUIDOS'!$B:$H,6,0),"AGUARDANDO ANEXO")</f>
        <v>1</v>
      </c>
      <c r="AF305" s="26" cm="1">
        <f t="array" ref="AF305">_xlfn.IFS((AE305&gt;AC305),(AC305*2),(AE305&lt;=AC305),(AE305*2))</f>
        <v>2</v>
      </c>
      <c r="AG305" s="22"/>
      <c r="AH305" s="28">
        <f t="shared" si="28"/>
        <v>127</v>
      </c>
      <c r="AI305" s="28">
        <f t="shared" si="29"/>
        <v>1</v>
      </c>
      <c r="AJ305" s="28">
        <f t="shared" si="30"/>
        <v>2</v>
      </c>
      <c r="AK305" s="28">
        <f t="shared" si="31"/>
        <v>0</v>
      </c>
      <c r="AL305" s="28">
        <f t="shared" si="32"/>
        <v>-1</v>
      </c>
      <c r="AM305" s="23" t="s">
        <v>1707</v>
      </c>
      <c r="AN305" s="37">
        <f>VLOOKUP(C305,'[2]MARÇO-2024'!$B:$M,12,0)</f>
        <v>128</v>
      </c>
      <c r="AO305" s="37">
        <f t="shared" si="33"/>
        <v>1</v>
      </c>
      <c r="AP305" s="37" t="str">
        <f t="shared" si="34"/>
        <v/>
      </c>
    </row>
    <row r="306" spans="1:42" ht="13.5" customHeight="1" x14ac:dyDescent="0.25">
      <c r="A306" s="17">
        <v>10</v>
      </c>
      <c r="B306" s="17">
        <v>32</v>
      </c>
      <c r="C306" s="29">
        <v>10043</v>
      </c>
      <c r="D306" s="38">
        <v>33187738</v>
      </c>
      <c r="E306" s="18" t="s">
        <v>533</v>
      </c>
      <c r="F306" s="68" t="s">
        <v>801</v>
      </c>
      <c r="G306" s="62" t="s">
        <v>303</v>
      </c>
      <c r="H306" s="19" t="s">
        <v>1069</v>
      </c>
      <c r="I306" s="19" t="s">
        <v>1069</v>
      </c>
      <c r="J306" s="19" t="s">
        <v>1475</v>
      </c>
      <c r="K306" s="20" t="s">
        <v>1627</v>
      </c>
      <c r="L306" s="21">
        <v>126</v>
      </c>
      <c r="M306" s="21"/>
      <c r="N306" s="26" t="str">
        <f>IFERROR(VLOOKUP(O306,Apoio!A:B,2,0),"")</f>
        <v/>
      </c>
      <c r="O306" s="22">
        <f>IFERROR(VLOOKUP(C306,'[1]TB DIN'!$B:$D,3,0),"AGUARDANDO ANEXO")</f>
        <v>0</v>
      </c>
      <c r="P306" s="22">
        <f>IFERROR(VLOOKUP(C306,'[1]TB DIN INCLUIDOS'!$B:$H,3,0),"AGUARDANDO ANEXO")</f>
        <v>0</v>
      </c>
      <c r="Q306" s="26" cm="1">
        <f t="array" ref="Q306">_xlfn.IFS((P306&gt;N306),(N306*2),(P306&lt;=N306),(P306*2))</f>
        <v>0</v>
      </c>
      <c r="R306" s="22"/>
      <c r="S306" s="26">
        <f>IFERROR(VLOOKUP(T306,Apoio!A:B,2,0),"")</f>
        <v>2</v>
      </c>
      <c r="T306" s="22">
        <f>IFERROR(VLOOKUP(C306,'[1]TB DIN'!$B:$H,4,0),"AGUARDANDO ANEXO")</f>
        <v>42</v>
      </c>
      <c r="U306" s="22">
        <f>IFERROR(VLOOKUP(C306,'[1]TB DIN INCLUIDOS'!$B:$H,4,0),"AGUARDANDO ANEXO")</f>
        <v>0</v>
      </c>
      <c r="V306" s="26" cm="1">
        <f t="array" ref="V306">_xlfn.IFS((U306&gt;S306),(S306*2),(U306&lt;=S306),(U306*2))</f>
        <v>0</v>
      </c>
      <c r="W306" s="22"/>
      <c r="X306" s="26">
        <f>IFERROR(VLOOKUP(Y306,Apoio!A:B,2,0),"")</f>
        <v>2</v>
      </c>
      <c r="Y306" s="22">
        <f>IFERROR(VLOOKUP(C306,'[1]TB DIN'!$B:$H,5,0),"AGUARDANDO ANEXO")</f>
        <v>40</v>
      </c>
      <c r="Z306" s="22">
        <f>IFERROR(VLOOKUP(C306,'[1]TB DIN INCLUIDOS'!$B:$H,5,0),"AGUARDANDO ANEXO")</f>
        <v>0</v>
      </c>
      <c r="AA306" s="26" cm="1">
        <f t="array" ref="AA306">_xlfn.IFS((Z306&gt;X306),(X306*2),(Z306&lt;=X306),(Z306*2))</f>
        <v>0</v>
      </c>
      <c r="AB306" s="22"/>
      <c r="AC306" s="26">
        <f>IFERROR(VLOOKUP(AD306,Apoio!A:B,2,0),"")</f>
        <v>2</v>
      </c>
      <c r="AD306" s="22">
        <f>IFERROR(VLOOKUP(C306,'[1]TB DIN'!$B:$H,6,0),"AGUARDANDO ANEXO")</f>
        <v>44</v>
      </c>
      <c r="AE306" s="22">
        <f>IFERROR(VLOOKUP(C306,'[1]TB DIN INCLUIDOS'!$B:$H,6,0),"AGUARDANDO ANEXO")</f>
        <v>0</v>
      </c>
      <c r="AF306" s="26" cm="1">
        <f t="array" ref="AF306">_xlfn.IFS((AE306&gt;AC306),(AC306*2),(AE306&lt;=AC306),(AE306*2))</f>
        <v>0</v>
      </c>
      <c r="AG306" s="22"/>
      <c r="AH306" s="28">
        <f t="shared" si="28"/>
        <v>126</v>
      </c>
      <c r="AI306" s="28">
        <f t="shared" si="29"/>
        <v>0</v>
      </c>
      <c r="AJ306" s="28">
        <f t="shared" si="30"/>
        <v>0</v>
      </c>
      <c r="AK306" s="28">
        <f t="shared" si="31"/>
        <v>0</v>
      </c>
      <c r="AL306" s="28">
        <f t="shared" si="32"/>
        <v>0</v>
      </c>
      <c r="AM306" s="23" t="s">
        <v>1707</v>
      </c>
      <c r="AN306" s="37">
        <f>VLOOKUP(C306,'[2]MARÇO-2024'!$B:$M,12,0)</f>
        <v>126</v>
      </c>
      <c r="AO306" s="37">
        <f t="shared" si="33"/>
        <v>0</v>
      </c>
      <c r="AP306" s="37" t="str">
        <f t="shared" si="34"/>
        <v/>
      </c>
    </row>
    <row r="307" spans="1:42" ht="13.5" customHeight="1" x14ac:dyDescent="0.25">
      <c r="A307" s="17">
        <v>10</v>
      </c>
      <c r="B307" s="17">
        <v>33</v>
      </c>
      <c r="C307" s="30">
        <v>10044</v>
      </c>
      <c r="D307" s="38">
        <v>33187029</v>
      </c>
      <c r="E307" s="18" t="s">
        <v>542</v>
      </c>
      <c r="F307" s="68" t="s">
        <v>817</v>
      </c>
      <c r="G307" s="62" t="s">
        <v>319</v>
      </c>
      <c r="H307" s="24" t="s">
        <v>1085</v>
      </c>
      <c r="I307" s="19" t="s">
        <v>1228</v>
      </c>
      <c r="J307" s="19" t="s">
        <v>1491</v>
      </c>
      <c r="K307" s="20" t="s">
        <v>1626</v>
      </c>
      <c r="L307" s="21">
        <v>168</v>
      </c>
      <c r="M307" s="21"/>
      <c r="N307" s="26">
        <f>IFERROR(VLOOKUP(O307,Apoio!A:B,2,0),"")</f>
        <v>1</v>
      </c>
      <c r="O307" s="22">
        <v>9</v>
      </c>
      <c r="P307" s="22">
        <f>IFERROR(VLOOKUP(C307,'[1]TB DIN INCLUIDOS'!$B:$H,3,0),"AGUARDANDO ANEXO")</f>
        <v>0</v>
      </c>
      <c r="Q307" s="26" cm="1">
        <f t="array" ref="Q307">_xlfn.IFS((P307&gt;N307),(N307*2),(P307&lt;=N307),(P307*2))</f>
        <v>0</v>
      </c>
      <c r="R307" s="22"/>
      <c r="S307" s="26">
        <f>IFERROR(VLOOKUP(T307,Apoio!A:B,2,0),"")</f>
        <v>2</v>
      </c>
      <c r="T307" s="22">
        <f>IFERROR(VLOOKUP(C307,'[1]TB DIN'!$B:$H,4,0),"AGUARDANDO ANEXO")</f>
        <v>44</v>
      </c>
      <c r="U307" s="22">
        <f>IFERROR(VLOOKUP(C307,'[1]TB DIN INCLUIDOS'!$B:$H,4,0),"AGUARDANDO ANEXO")</f>
        <v>0</v>
      </c>
      <c r="V307" s="26" cm="1">
        <f t="array" ref="V307">_xlfn.IFS((U307&gt;S307),(S307*2),(U307&lt;=S307),(U307*2))</f>
        <v>0</v>
      </c>
      <c r="W307" s="22"/>
      <c r="X307" s="26">
        <f>IFERROR(VLOOKUP(Y307,Apoio!A:B,2,0),"")</f>
        <v>3</v>
      </c>
      <c r="Y307" s="22">
        <v>55</v>
      </c>
      <c r="Z307" s="22">
        <f>IFERROR(VLOOKUP(C307,'[1]TB DIN INCLUIDOS'!$B:$H,5,0),"AGUARDANDO ANEXO")</f>
        <v>0</v>
      </c>
      <c r="AA307" s="26" cm="1">
        <f t="array" ref="AA307">_xlfn.IFS((Z307&gt;X307),(X307*2),(Z307&lt;=X307),(Z307*2))</f>
        <v>0</v>
      </c>
      <c r="AB307" s="22"/>
      <c r="AC307" s="26">
        <f>IFERROR(VLOOKUP(AD307,Apoio!A:B,2,0),"")</f>
        <v>3</v>
      </c>
      <c r="AD307" s="22">
        <v>60</v>
      </c>
      <c r="AE307" s="22">
        <f>IFERROR(VLOOKUP(C307,'[1]TB DIN INCLUIDOS'!$B:$H,6,0),"AGUARDANDO ANEXO")</f>
        <v>0</v>
      </c>
      <c r="AF307" s="26" cm="1">
        <f t="array" ref="AF307">_xlfn.IFS((AE307&gt;AC307),(AC307*2),(AE307&lt;=AC307),(AE307*2))</f>
        <v>0</v>
      </c>
      <c r="AG307" s="22"/>
      <c r="AH307" s="28">
        <f t="shared" si="28"/>
        <v>168</v>
      </c>
      <c r="AI307" s="28">
        <f t="shared" si="29"/>
        <v>0</v>
      </c>
      <c r="AJ307" s="28">
        <f t="shared" si="30"/>
        <v>0</v>
      </c>
      <c r="AK307" s="28">
        <f t="shared" si="31"/>
        <v>0</v>
      </c>
      <c r="AL307" s="28">
        <f t="shared" si="32"/>
        <v>0</v>
      </c>
      <c r="AM307" s="23" t="s">
        <v>1707</v>
      </c>
      <c r="AN307" s="37">
        <f>VLOOKUP(C307,'[2]MARÇO-2024'!$B:$M,12,0)</f>
        <v>168</v>
      </c>
      <c r="AO307" s="37">
        <f t="shared" si="33"/>
        <v>0</v>
      </c>
      <c r="AP307" s="37" t="str">
        <f t="shared" si="34"/>
        <v/>
      </c>
    </row>
    <row r="308" spans="1:42" ht="13.5" customHeight="1" x14ac:dyDescent="0.25">
      <c r="A308" s="17">
        <v>10</v>
      </c>
      <c r="B308" s="17">
        <v>34</v>
      </c>
      <c r="C308" s="29">
        <v>10045</v>
      </c>
      <c r="D308" s="38">
        <v>33187720</v>
      </c>
      <c r="E308" s="18" t="s">
        <v>557</v>
      </c>
      <c r="F308" s="68" t="s">
        <v>838</v>
      </c>
      <c r="G308" s="62" t="s">
        <v>340</v>
      </c>
      <c r="H308" s="19" t="s">
        <v>1106</v>
      </c>
      <c r="I308" s="19" t="s">
        <v>1106</v>
      </c>
      <c r="J308" s="19" t="s">
        <v>1512</v>
      </c>
      <c r="K308" s="20" t="s">
        <v>1626</v>
      </c>
      <c r="L308" s="21">
        <v>135</v>
      </c>
      <c r="M308" s="21"/>
      <c r="N308" s="26" t="str">
        <f>IFERROR(VLOOKUP(O308,Apoio!A:B,2,0),"")</f>
        <v/>
      </c>
      <c r="O308" s="22">
        <f>IFERROR(VLOOKUP(C308,'[1]TB DIN'!$B:$D,3,0),"AGUARDANDO ANEXO")</f>
        <v>0</v>
      </c>
      <c r="P308" s="22">
        <f>IFERROR(VLOOKUP(C308,'[1]TB DIN INCLUIDOS'!$B:$H,3,0),"AGUARDANDO ANEXO")</f>
        <v>0</v>
      </c>
      <c r="Q308" s="26" cm="1">
        <f t="array" ref="Q308">_xlfn.IFS((P308&gt;N308),(N308*2),(P308&lt;=N308),(P308*2))</f>
        <v>0</v>
      </c>
      <c r="R308" s="22"/>
      <c r="S308" s="26">
        <f>IFERROR(VLOOKUP(T308,Apoio!A:B,2,0),"")</f>
        <v>1</v>
      </c>
      <c r="T308" s="22">
        <v>20</v>
      </c>
      <c r="U308" s="22">
        <f>IFERROR(VLOOKUP(C308,'[1]TB DIN INCLUIDOS'!$B:$H,4,0),"AGUARDANDO ANEXO")</f>
        <v>0</v>
      </c>
      <c r="V308" s="26" cm="1">
        <f t="array" ref="V308">_xlfn.IFS((U308&gt;S308),(S308*2),(U308&lt;=S308),(U308*2))</f>
        <v>0</v>
      </c>
      <c r="W308" s="22"/>
      <c r="X308" s="26">
        <f>IFERROR(VLOOKUP(Y308,Apoio!A:B,2,0),"")</f>
        <v>2</v>
      </c>
      <c r="Y308" s="22">
        <v>43</v>
      </c>
      <c r="Z308" s="22">
        <f>IFERROR(VLOOKUP(C308,'[1]TB DIN INCLUIDOS'!$B:$H,5,0),"AGUARDANDO ANEXO")</f>
        <v>0</v>
      </c>
      <c r="AA308" s="26" cm="1">
        <f t="array" ref="AA308">_xlfn.IFS((Z308&gt;X308),(X308*2),(Z308&lt;=X308),(Z308*2))</f>
        <v>0</v>
      </c>
      <c r="AB308" s="22"/>
      <c r="AC308" s="26">
        <f>IFERROR(VLOOKUP(AD308,Apoio!A:B,2,0),"")</f>
        <v>3</v>
      </c>
      <c r="AD308" s="22">
        <f>IFERROR(VLOOKUP(C308,'[1]TB DIN'!$B:$H,6,0),"AGUARDANDO ANEXO")</f>
        <v>66</v>
      </c>
      <c r="AE308" s="22">
        <f>IFERROR(VLOOKUP(C308,'[1]TB DIN INCLUIDOS'!$B:$H,6,0),"AGUARDANDO ANEXO")</f>
        <v>4</v>
      </c>
      <c r="AF308" s="26" cm="1">
        <f t="array" ref="AF308">_xlfn.IFS((AE308&gt;AC308),(AC308*2),(AE308&lt;=AC308),(AE308*2))</f>
        <v>6</v>
      </c>
      <c r="AG308" s="22"/>
      <c r="AH308" s="28">
        <f t="shared" si="28"/>
        <v>129</v>
      </c>
      <c r="AI308" s="28">
        <f t="shared" si="29"/>
        <v>4</v>
      </c>
      <c r="AJ308" s="28">
        <f t="shared" si="30"/>
        <v>6</v>
      </c>
      <c r="AK308" s="28">
        <f t="shared" si="31"/>
        <v>0</v>
      </c>
      <c r="AL308" s="28">
        <f t="shared" si="32"/>
        <v>0</v>
      </c>
      <c r="AM308" s="23" t="s">
        <v>1707</v>
      </c>
      <c r="AN308" s="37">
        <f>VLOOKUP(C308,'[2]MARÇO-2024'!$B:$M,12,0)</f>
        <v>129</v>
      </c>
      <c r="AO308" s="37">
        <f t="shared" si="33"/>
        <v>0</v>
      </c>
      <c r="AP308" s="37" t="str">
        <f t="shared" si="34"/>
        <v/>
      </c>
    </row>
    <row r="309" spans="1:42" ht="13.5" customHeight="1" x14ac:dyDescent="0.25">
      <c r="A309" s="17">
        <v>10</v>
      </c>
      <c r="B309" s="17">
        <v>35</v>
      </c>
      <c r="C309" s="29">
        <v>10046</v>
      </c>
      <c r="D309" s="38">
        <v>33164584</v>
      </c>
      <c r="E309" s="18" t="s">
        <v>538</v>
      </c>
      <c r="F309" s="68" t="s">
        <v>808</v>
      </c>
      <c r="G309" s="64" t="s">
        <v>310</v>
      </c>
      <c r="H309" s="19" t="s">
        <v>1076</v>
      </c>
      <c r="I309" s="19" t="s">
        <v>1076</v>
      </c>
      <c r="J309" s="19" t="s">
        <v>1482</v>
      </c>
      <c r="K309" s="20" t="s">
        <v>1629</v>
      </c>
      <c r="L309" s="21">
        <v>317</v>
      </c>
      <c r="M309" s="21"/>
      <c r="N309" s="26" t="str">
        <f>IFERROR(VLOOKUP(O309,Apoio!A:B,2,0),"")</f>
        <v/>
      </c>
      <c r="O309" s="22">
        <f>IFERROR(VLOOKUP(C309,'[1]TB DIN'!$B:$D,3,0),"AGUARDANDO ANEXO")</f>
        <v>0</v>
      </c>
      <c r="P309" s="22">
        <f>IFERROR(VLOOKUP(C309,'[1]TB DIN INCLUIDOS'!$B:$H,3,0),"AGUARDANDO ANEXO")</f>
        <v>0</v>
      </c>
      <c r="Q309" s="26" cm="1">
        <f t="array" ref="Q309">_xlfn.IFS((P309&gt;N309),(N309*2),(P309&lt;=N309),(P309*2))</f>
        <v>0</v>
      </c>
      <c r="R309" s="22"/>
      <c r="S309" s="26">
        <f>IFERROR(VLOOKUP(T309,Apoio!A:B,2,0),"")</f>
        <v>4</v>
      </c>
      <c r="T309" s="22">
        <v>97</v>
      </c>
      <c r="U309" s="22">
        <f>IFERROR(VLOOKUP(C309,'[1]TB DIN INCLUIDOS'!$B:$H,4,0),"AGUARDANDO ANEXO")</f>
        <v>0</v>
      </c>
      <c r="V309" s="26" cm="1">
        <f t="array" ref="V309">_xlfn.IFS((U309&gt;S309),(S309*2),(U309&lt;=S309),(U309*2))</f>
        <v>0</v>
      </c>
      <c r="W309" s="22"/>
      <c r="X309" s="26">
        <f>IFERROR(VLOOKUP(Y309,Apoio!A:B,2,0),"")</f>
        <v>5</v>
      </c>
      <c r="Y309" s="22">
        <v>120</v>
      </c>
      <c r="Z309" s="22">
        <f>IFERROR(VLOOKUP(C309,'[1]TB DIN INCLUIDOS'!$B:$H,5,0),"AGUARDANDO ANEXO")</f>
        <v>0</v>
      </c>
      <c r="AA309" s="26" cm="1">
        <f t="array" ref="AA309">_xlfn.IFS((Z309&gt;X309),(X309*2),(Z309&lt;=X309),(Z309*2))</f>
        <v>0</v>
      </c>
      <c r="AB309" s="22"/>
      <c r="AC309" s="26">
        <f>IFERROR(VLOOKUP(AD309,Apoio!A:B,2,0),"")</f>
        <v>4</v>
      </c>
      <c r="AD309" s="22">
        <v>100</v>
      </c>
      <c r="AE309" s="22">
        <f>IFERROR(VLOOKUP(C309,'[1]TB DIN INCLUIDOS'!$B:$H,6,0),"AGUARDANDO ANEXO")</f>
        <v>0</v>
      </c>
      <c r="AF309" s="26" cm="1">
        <f t="array" ref="AF309">_xlfn.IFS((AE309&gt;AC309),(AC309*2),(AE309&lt;=AC309),(AE309*2))</f>
        <v>0</v>
      </c>
      <c r="AG309" s="22"/>
      <c r="AH309" s="28">
        <f t="shared" si="28"/>
        <v>317</v>
      </c>
      <c r="AI309" s="28">
        <f t="shared" si="29"/>
        <v>0</v>
      </c>
      <c r="AJ309" s="28">
        <f t="shared" si="30"/>
        <v>0</v>
      </c>
      <c r="AK309" s="28">
        <f t="shared" si="31"/>
        <v>0</v>
      </c>
      <c r="AL309" s="28">
        <f t="shared" si="32"/>
        <v>0</v>
      </c>
      <c r="AM309" s="23" t="s">
        <v>1707</v>
      </c>
      <c r="AN309" s="37">
        <f>VLOOKUP(C309,'[2]MARÇO-2024'!$B:$M,12,0)</f>
        <v>317</v>
      </c>
      <c r="AO309" s="37">
        <f t="shared" si="33"/>
        <v>0</v>
      </c>
      <c r="AP309" s="37" t="str">
        <f t="shared" si="34"/>
        <v/>
      </c>
    </row>
    <row r="310" spans="1:42" ht="13.5" customHeight="1" x14ac:dyDescent="0.25">
      <c r="A310" s="17">
        <v>10</v>
      </c>
      <c r="B310" s="17">
        <v>36</v>
      </c>
      <c r="C310" s="29">
        <v>10047</v>
      </c>
      <c r="D310" s="38">
        <v>33187894</v>
      </c>
      <c r="E310" s="18" t="s">
        <v>362</v>
      </c>
      <c r="F310" s="68" t="s">
        <v>796</v>
      </c>
      <c r="G310" s="66" t="s">
        <v>298</v>
      </c>
      <c r="H310" s="19" t="s">
        <v>1064</v>
      </c>
      <c r="I310" s="19" t="s">
        <v>21</v>
      </c>
      <c r="J310" s="19" t="s">
        <v>1470</v>
      </c>
      <c r="K310" s="20" t="s">
        <v>1626</v>
      </c>
      <c r="L310" s="21">
        <v>186</v>
      </c>
      <c r="M310" s="21"/>
      <c r="N310" s="26">
        <f>IFERROR(VLOOKUP(O310,Apoio!A:B,2,0),"")</f>
        <v>1</v>
      </c>
      <c r="O310" s="22">
        <v>19</v>
      </c>
      <c r="P310" s="22">
        <f>IFERROR(VLOOKUP(C310,'[1]TB DIN INCLUIDOS'!$B:$H,3,0),"AGUARDANDO ANEXO")</f>
        <v>0</v>
      </c>
      <c r="Q310" s="26" cm="1">
        <f t="array" ref="Q310">_xlfn.IFS((P310&gt;N310),(N310*2),(P310&lt;=N310),(P310*2))</f>
        <v>0</v>
      </c>
      <c r="R310" s="22"/>
      <c r="S310" s="26">
        <f>IFERROR(VLOOKUP(T310,Apoio!A:B,2,0),"")</f>
        <v>3</v>
      </c>
      <c r="T310" s="22">
        <v>62</v>
      </c>
      <c r="U310" s="22">
        <f>IFERROR(VLOOKUP(C310,'[1]TB DIN INCLUIDOS'!$B:$H,4,0),"AGUARDANDO ANEXO")</f>
        <v>0</v>
      </c>
      <c r="V310" s="26" cm="1">
        <f t="array" ref="V310">_xlfn.IFS((U310&gt;S310),(S310*2),(U310&lt;=S310),(U310*2))</f>
        <v>0</v>
      </c>
      <c r="W310" s="22"/>
      <c r="X310" s="26">
        <f>IFERROR(VLOOKUP(Y310,Apoio!A:B,2,0),"")</f>
        <v>2</v>
      </c>
      <c r="Y310" s="22">
        <v>43</v>
      </c>
      <c r="Z310" s="22">
        <f>IFERROR(VLOOKUP(C310,'[1]TB DIN INCLUIDOS'!$B:$H,5,0),"AGUARDANDO ANEXO")</f>
        <v>0</v>
      </c>
      <c r="AA310" s="26" cm="1">
        <f t="array" ref="AA310">_xlfn.IFS((Z310&gt;X310),(X310*2),(Z310&lt;=X310),(Z310*2))</f>
        <v>0</v>
      </c>
      <c r="AB310" s="22"/>
      <c r="AC310" s="26">
        <f>IFERROR(VLOOKUP(AD310,Apoio!A:B,2,0),"")</f>
        <v>2</v>
      </c>
      <c r="AD310" s="22">
        <v>47</v>
      </c>
      <c r="AE310" s="22">
        <f>IFERROR(VLOOKUP(C310,'[1]TB DIN INCLUIDOS'!$B:$H,6,0),"AGUARDANDO ANEXO")</f>
        <v>2</v>
      </c>
      <c r="AF310" s="26" cm="1">
        <f t="array" ref="AF310">_xlfn.IFS((AE310&gt;AC310),(AC310*2),(AE310&lt;=AC310),(AE310*2))</f>
        <v>4</v>
      </c>
      <c r="AG310" s="22"/>
      <c r="AH310" s="28">
        <f t="shared" si="28"/>
        <v>171</v>
      </c>
      <c r="AI310" s="28">
        <f t="shared" si="29"/>
        <v>2</v>
      </c>
      <c r="AJ310" s="28">
        <f t="shared" si="30"/>
        <v>4</v>
      </c>
      <c r="AK310" s="28">
        <f t="shared" si="31"/>
        <v>11</v>
      </c>
      <c r="AL310" s="28">
        <f t="shared" si="32"/>
        <v>0</v>
      </c>
      <c r="AM310" s="23" t="s">
        <v>1707</v>
      </c>
      <c r="AN310" s="37">
        <f>VLOOKUP(C310,'[2]MARÇO-2024'!$B:$M,12,0)</f>
        <v>188</v>
      </c>
      <c r="AO310" s="37">
        <f t="shared" si="33"/>
        <v>17</v>
      </c>
      <c r="AP310" s="37" t="str">
        <f t="shared" si="34"/>
        <v/>
      </c>
    </row>
    <row r="311" spans="1:42" ht="13.5" customHeight="1" x14ac:dyDescent="0.25">
      <c r="A311" s="17">
        <v>10</v>
      </c>
      <c r="B311" s="17">
        <v>37</v>
      </c>
      <c r="C311" s="29">
        <v>10051</v>
      </c>
      <c r="D311" s="38">
        <v>33189579</v>
      </c>
      <c r="E311" s="18" t="s">
        <v>538</v>
      </c>
      <c r="F311" s="68" t="s">
        <v>810</v>
      </c>
      <c r="G311" s="62" t="s">
        <v>312</v>
      </c>
      <c r="H311" s="19" t="s">
        <v>1078</v>
      </c>
      <c r="I311" s="19" t="s">
        <v>1076</v>
      </c>
      <c r="J311" s="19" t="s">
        <v>1484</v>
      </c>
      <c r="K311" s="20" t="s">
        <v>1630</v>
      </c>
      <c r="L311" s="21">
        <v>333</v>
      </c>
      <c r="M311" s="21"/>
      <c r="N311" s="26" t="str">
        <f>IFERROR(VLOOKUP(O311,Apoio!A:B,2,0),"")</f>
        <v/>
      </c>
      <c r="O311" s="22">
        <f>IFERROR(VLOOKUP(C311,'[1]TB DIN'!$B:$D,3,0),"AGUARDANDO ANEXO")</f>
        <v>0</v>
      </c>
      <c r="P311" s="22">
        <f>IFERROR(VLOOKUP(C311,'[1]TB DIN INCLUIDOS'!$B:$H,3,0),"AGUARDANDO ANEXO")</f>
        <v>0</v>
      </c>
      <c r="Q311" s="26" cm="1">
        <f t="array" ref="Q311">_xlfn.IFS((P311&gt;N311),(N311*2),(P311&lt;=N311),(P311*2))</f>
        <v>0</v>
      </c>
      <c r="R311" s="22"/>
      <c r="S311" s="26">
        <f>IFERROR(VLOOKUP(T311,Apoio!A:B,2,0),"")</f>
        <v>4</v>
      </c>
      <c r="T311" s="22">
        <f>IFERROR(VLOOKUP(C311,'[1]TB DIN'!$B:$H,4,0),"AGUARDANDO ANEXO")</f>
        <v>78</v>
      </c>
      <c r="U311" s="22">
        <f>IFERROR(VLOOKUP(C311,'[1]TB DIN INCLUIDOS'!$B:$H,4,0),"AGUARDANDO ANEXO")</f>
        <v>0</v>
      </c>
      <c r="V311" s="26" cm="1">
        <f t="array" ref="V311">_xlfn.IFS((U311&gt;S311),(S311*2),(U311&lt;=S311),(U311*2))</f>
        <v>0</v>
      </c>
      <c r="W311" s="22"/>
      <c r="X311" s="26">
        <f>IFERROR(VLOOKUP(Y311,Apoio!A:B,2,0),"")</f>
        <v>6</v>
      </c>
      <c r="Y311" s="22">
        <f>IFERROR(VLOOKUP(C311,'[1]TB DIN'!$B:$H,5,0),"AGUARDANDO ANEXO")</f>
        <v>140</v>
      </c>
      <c r="Z311" s="22">
        <f>IFERROR(VLOOKUP(C311,'[1]TB DIN INCLUIDOS'!$B:$H,5,0),"AGUARDANDO ANEXO")</f>
        <v>0</v>
      </c>
      <c r="AA311" s="26" cm="1">
        <f t="array" ref="AA311">_xlfn.IFS((Z311&gt;X311),(X311*2),(Z311&lt;=X311),(Z311*2))</f>
        <v>0</v>
      </c>
      <c r="AB311" s="22"/>
      <c r="AC311" s="26">
        <f>IFERROR(VLOOKUP(AD311,Apoio!A:B,2,0),"")</f>
        <v>5</v>
      </c>
      <c r="AD311" s="22">
        <f>IFERROR(VLOOKUP(C311,'[1]TB DIN'!$B:$H,6,0),"AGUARDANDO ANEXO")</f>
        <v>115</v>
      </c>
      <c r="AE311" s="22">
        <f>IFERROR(VLOOKUP(C311,'[1]TB DIN INCLUIDOS'!$B:$H,6,0),"AGUARDANDO ANEXO")</f>
        <v>0</v>
      </c>
      <c r="AF311" s="26" cm="1">
        <f t="array" ref="AF311">_xlfn.IFS((AE311&gt;AC311),(AC311*2),(AE311&lt;=AC311),(AE311*2))</f>
        <v>0</v>
      </c>
      <c r="AG311" s="22"/>
      <c r="AH311" s="28">
        <f t="shared" si="28"/>
        <v>333</v>
      </c>
      <c r="AI311" s="28">
        <f t="shared" si="29"/>
        <v>0</v>
      </c>
      <c r="AJ311" s="28">
        <f t="shared" si="30"/>
        <v>0</v>
      </c>
      <c r="AK311" s="28">
        <f t="shared" si="31"/>
        <v>0</v>
      </c>
      <c r="AL311" s="28">
        <f t="shared" si="32"/>
        <v>0</v>
      </c>
      <c r="AM311" s="23" t="s">
        <v>1707</v>
      </c>
      <c r="AN311" s="37">
        <f>VLOOKUP(C311,'[2]MARÇO-2024'!$B:$M,12,0)</f>
        <v>333</v>
      </c>
      <c r="AO311" s="37">
        <f t="shared" si="33"/>
        <v>0</v>
      </c>
      <c r="AP311" s="37" t="str">
        <f t="shared" si="34"/>
        <v/>
      </c>
    </row>
    <row r="312" spans="1:42" ht="13.5" customHeight="1" x14ac:dyDescent="0.25">
      <c r="A312" s="17">
        <v>10</v>
      </c>
      <c r="B312" s="17">
        <v>38</v>
      </c>
      <c r="C312" s="29">
        <v>10052</v>
      </c>
      <c r="D312" s="38">
        <v>33189587</v>
      </c>
      <c r="E312" s="18" t="s">
        <v>538</v>
      </c>
      <c r="F312" s="68" t="s">
        <v>811</v>
      </c>
      <c r="G312" s="62" t="s">
        <v>313</v>
      </c>
      <c r="H312" s="19" t="s">
        <v>1079</v>
      </c>
      <c r="I312" s="19" t="s">
        <v>1076</v>
      </c>
      <c r="J312" s="19" t="s">
        <v>1485</v>
      </c>
      <c r="K312" s="20" t="s">
        <v>1628</v>
      </c>
      <c r="L312" s="21">
        <v>321</v>
      </c>
      <c r="M312" s="21"/>
      <c r="N312" s="26" t="str">
        <f>IFERROR(VLOOKUP(O312,Apoio!A:B,2,0),"")</f>
        <v/>
      </c>
      <c r="O312" s="22">
        <f>IFERROR(VLOOKUP(C312,'[1]TB DIN'!$B:$D,3,0),"AGUARDANDO ANEXO")</f>
        <v>0</v>
      </c>
      <c r="P312" s="22">
        <f>IFERROR(VLOOKUP(C312,'[1]TB DIN INCLUIDOS'!$B:$H,3,0),"AGUARDANDO ANEXO")</f>
        <v>0</v>
      </c>
      <c r="Q312" s="26" cm="1">
        <f t="array" ref="Q312">_xlfn.IFS((P312&gt;N312),(N312*2),(P312&lt;=N312),(P312*2))</f>
        <v>0</v>
      </c>
      <c r="R312" s="22"/>
      <c r="S312" s="26">
        <f>IFERROR(VLOOKUP(T312,Apoio!A:B,2,0),"")</f>
        <v>5</v>
      </c>
      <c r="T312" s="22">
        <f>IFERROR(VLOOKUP(C312,'[1]TB DIN'!$B:$H,4,0),"AGUARDANDO ANEXO")</f>
        <v>108</v>
      </c>
      <c r="U312" s="22">
        <f>IFERROR(VLOOKUP(C312,'[1]TB DIN INCLUIDOS'!$B:$H,4,0),"AGUARDANDO ANEXO")</f>
        <v>0</v>
      </c>
      <c r="V312" s="26" cm="1">
        <f t="array" ref="V312">_xlfn.IFS((U312&gt;S312),(S312*2),(U312&lt;=S312),(U312*2))</f>
        <v>0</v>
      </c>
      <c r="W312" s="22"/>
      <c r="X312" s="26">
        <f>IFERROR(VLOOKUP(Y312,Apoio!A:B,2,0),"")</f>
        <v>6</v>
      </c>
      <c r="Y312" s="22">
        <v>146</v>
      </c>
      <c r="Z312" s="22">
        <f>IFERROR(VLOOKUP(C312,'[1]TB DIN INCLUIDOS'!$B:$H,5,0),"AGUARDANDO ANEXO")</f>
        <v>0</v>
      </c>
      <c r="AA312" s="26" cm="1">
        <f t="array" ref="AA312">_xlfn.IFS((Z312&gt;X312),(X312*2),(Z312&lt;=X312),(Z312*2))</f>
        <v>0</v>
      </c>
      <c r="AB312" s="22"/>
      <c r="AC312" s="26">
        <f>IFERROR(VLOOKUP(AD312,Apoio!A:B,2,0),"")</f>
        <v>3</v>
      </c>
      <c r="AD312" s="22">
        <v>67</v>
      </c>
      <c r="AE312" s="22">
        <f>IFERROR(VLOOKUP(C312,'[1]TB DIN INCLUIDOS'!$B:$H,6,0),"AGUARDANDO ANEXO")</f>
        <v>0</v>
      </c>
      <c r="AF312" s="26" cm="1">
        <f t="array" ref="AF312">_xlfn.IFS((AE312&gt;AC312),(AC312*2),(AE312&lt;=AC312),(AE312*2))</f>
        <v>0</v>
      </c>
      <c r="AG312" s="22"/>
      <c r="AH312" s="28">
        <f t="shared" si="28"/>
        <v>321</v>
      </c>
      <c r="AI312" s="28">
        <f t="shared" si="29"/>
        <v>0</v>
      </c>
      <c r="AJ312" s="28">
        <f t="shared" si="30"/>
        <v>0</v>
      </c>
      <c r="AK312" s="28">
        <f t="shared" si="31"/>
        <v>0</v>
      </c>
      <c r="AL312" s="28">
        <f t="shared" si="32"/>
        <v>0</v>
      </c>
      <c r="AM312" s="23" t="s">
        <v>1849</v>
      </c>
      <c r="AN312" s="37">
        <f>VLOOKUP(C312,'[2]MARÇO-2024'!$B:$M,12,0)</f>
        <v>321</v>
      </c>
      <c r="AO312" s="37">
        <f t="shared" si="33"/>
        <v>0</v>
      </c>
      <c r="AP312" s="37" t="str">
        <f t="shared" si="34"/>
        <v/>
      </c>
    </row>
    <row r="313" spans="1:42" ht="13.5" customHeight="1" x14ac:dyDescent="0.25">
      <c r="A313" s="17">
        <v>10</v>
      </c>
      <c r="B313" s="17">
        <v>39</v>
      </c>
      <c r="C313" s="29">
        <v>10053</v>
      </c>
      <c r="D313" s="38">
        <v>33190275</v>
      </c>
      <c r="E313" s="18" t="s">
        <v>540</v>
      </c>
      <c r="F313" s="68" t="s">
        <v>813</v>
      </c>
      <c r="G313" s="62" t="s">
        <v>315</v>
      </c>
      <c r="H313" s="19" t="s">
        <v>1081</v>
      </c>
      <c r="I313" s="19" t="s">
        <v>1081</v>
      </c>
      <c r="J313" s="19" t="s">
        <v>1487</v>
      </c>
      <c r="K313" s="20" t="s">
        <v>1626</v>
      </c>
      <c r="L313" s="21">
        <v>300</v>
      </c>
      <c r="M313" s="21"/>
      <c r="N313" s="26">
        <f>IFERROR(VLOOKUP(O313,Apoio!A:B,2,0),"")</f>
        <v>2</v>
      </c>
      <c r="O313" s="22">
        <v>34</v>
      </c>
      <c r="P313" s="22">
        <f>IFERROR(VLOOKUP(C313,'[1]TB DIN INCLUIDOS'!$B:$H,3,0),"AGUARDANDO ANEXO")</f>
        <v>0</v>
      </c>
      <c r="Q313" s="26" cm="1">
        <f t="array" ref="Q313">_xlfn.IFS((P313&gt;N313),(N313*2),(P313&lt;=N313),(P313*2))</f>
        <v>0</v>
      </c>
      <c r="R313" s="22"/>
      <c r="S313" s="26">
        <f>IFERROR(VLOOKUP(T313,Apoio!A:B,2,0),"")</f>
        <v>4</v>
      </c>
      <c r="T313" s="22">
        <v>85</v>
      </c>
      <c r="U313" s="22">
        <v>1</v>
      </c>
      <c r="V313" s="26" cm="1">
        <f t="array" ref="V313">_xlfn.IFS((U313&gt;S313),(S313*2),(U313&lt;=S313),(U313*2))</f>
        <v>2</v>
      </c>
      <c r="W313" s="22"/>
      <c r="X313" s="26">
        <f>IFERROR(VLOOKUP(Y313,Apoio!A:B,2,0),"")</f>
        <v>4</v>
      </c>
      <c r="Y313" s="22">
        <v>87</v>
      </c>
      <c r="Z313" s="22">
        <f>IFERROR(VLOOKUP(C313,'[1]TB DIN INCLUIDOS'!$B:$H,5,0),"AGUARDANDO ANEXO")</f>
        <v>2</v>
      </c>
      <c r="AA313" s="26" cm="1">
        <f t="array" ref="AA313">_xlfn.IFS((Z313&gt;X313),(X313*2),(Z313&lt;=X313),(Z313*2))</f>
        <v>4</v>
      </c>
      <c r="AB313" s="22"/>
      <c r="AC313" s="26">
        <f>IFERROR(VLOOKUP(AD313,Apoio!A:B,2,0),"")</f>
        <v>4</v>
      </c>
      <c r="AD313" s="22">
        <v>78</v>
      </c>
      <c r="AE313" s="22">
        <f>IFERROR(VLOOKUP(C313,'[1]TB DIN INCLUIDOS'!$B:$H,6,0),"AGUARDANDO ANEXO")</f>
        <v>2</v>
      </c>
      <c r="AF313" s="26" cm="1">
        <f t="array" ref="AF313">_xlfn.IFS((AE313&gt;AC313),(AC313*2),(AE313&lt;=AC313),(AE313*2))</f>
        <v>4</v>
      </c>
      <c r="AG313" s="22"/>
      <c r="AH313" s="28">
        <f t="shared" si="28"/>
        <v>284</v>
      </c>
      <c r="AI313" s="28">
        <f t="shared" si="29"/>
        <v>5</v>
      </c>
      <c r="AJ313" s="28">
        <f t="shared" si="30"/>
        <v>10</v>
      </c>
      <c r="AK313" s="28">
        <f t="shared" si="31"/>
        <v>6</v>
      </c>
      <c r="AL313" s="28">
        <f t="shared" si="32"/>
        <v>0</v>
      </c>
      <c r="AM313" s="23" t="s">
        <v>1707</v>
      </c>
      <c r="AN313" s="37">
        <f>VLOOKUP(C313,'[2]MARÇO-2024'!$B:$M,12,0)</f>
        <v>291</v>
      </c>
      <c r="AO313" s="37">
        <f t="shared" si="33"/>
        <v>7</v>
      </c>
      <c r="AP313" s="37" t="str">
        <f t="shared" si="34"/>
        <v/>
      </c>
    </row>
    <row r="314" spans="1:42" ht="13.5" customHeight="1" x14ac:dyDescent="0.25">
      <c r="A314" s="17">
        <v>10</v>
      </c>
      <c r="B314" s="17">
        <v>40</v>
      </c>
      <c r="C314" s="29">
        <v>10054</v>
      </c>
      <c r="D314" s="38">
        <v>33190305</v>
      </c>
      <c r="E314" s="18" t="s">
        <v>534</v>
      </c>
      <c r="F314" s="68" t="s">
        <v>804</v>
      </c>
      <c r="G314" s="66" t="s">
        <v>306</v>
      </c>
      <c r="H314" s="19" t="s">
        <v>1072</v>
      </c>
      <c r="I314" s="19" t="s">
        <v>1072</v>
      </c>
      <c r="J314" s="19" t="s">
        <v>1478</v>
      </c>
      <c r="K314" s="20" t="s">
        <v>1626</v>
      </c>
      <c r="L314" s="21">
        <v>81</v>
      </c>
      <c r="M314" s="21"/>
      <c r="N314" s="26" t="str">
        <f>IFERROR(VLOOKUP(O314,Apoio!A:B,2,0),"")</f>
        <v/>
      </c>
      <c r="O314" s="22">
        <f>IFERROR(VLOOKUP(C314,'[1]TB DIN'!$B:$D,3,0),"AGUARDANDO ANEXO")</f>
        <v>0</v>
      </c>
      <c r="P314" s="22">
        <f>IFERROR(VLOOKUP(C314,'[1]TB DIN INCLUIDOS'!$B:$H,3,0),"AGUARDANDO ANEXO")</f>
        <v>0</v>
      </c>
      <c r="Q314" s="26" cm="1">
        <f t="array" ref="Q314">_xlfn.IFS((P314&gt;N314),(N314*2),(P314&lt;=N314),(P314*2))</f>
        <v>0</v>
      </c>
      <c r="R314" s="22"/>
      <c r="S314" s="26">
        <f>IFERROR(VLOOKUP(T314,Apoio!A:B,2,0),"")</f>
        <v>1</v>
      </c>
      <c r="T314" s="22">
        <v>14</v>
      </c>
      <c r="U314" s="22">
        <f>IFERROR(VLOOKUP(C314,'[1]TB DIN INCLUIDOS'!$B:$H,4,0),"AGUARDANDO ANEXO")</f>
        <v>0</v>
      </c>
      <c r="V314" s="26" cm="1">
        <f t="array" ref="V314">_xlfn.IFS((U314&gt;S314),(S314*2),(U314&lt;=S314),(U314*2))</f>
        <v>0</v>
      </c>
      <c r="W314" s="22"/>
      <c r="X314" s="26">
        <f>IFERROR(VLOOKUP(Y314,Apoio!A:B,2,0),"")</f>
        <v>1</v>
      </c>
      <c r="Y314" s="22">
        <v>16</v>
      </c>
      <c r="Z314" s="22">
        <f>IFERROR(VLOOKUP(C314,'[1]TB DIN INCLUIDOS'!$B:$H,5,0),"AGUARDANDO ANEXO")</f>
        <v>0</v>
      </c>
      <c r="AA314" s="26" cm="1">
        <f t="array" ref="AA314">_xlfn.IFS((Z314&gt;X314),(X314*2),(Z314&lt;=X314),(Z314*2))</f>
        <v>0</v>
      </c>
      <c r="AB314" s="22"/>
      <c r="AC314" s="26">
        <f>IFERROR(VLOOKUP(AD314,Apoio!A:B,2,0),"")</f>
        <v>1</v>
      </c>
      <c r="AD314" s="22">
        <v>25</v>
      </c>
      <c r="AE314" s="22">
        <f>IFERROR(VLOOKUP(C314,'[1]TB DIN INCLUIDOS'!$B:$H,6,0),"AGUARDANDO ANEXO")</f>
        <v>0</v>
      </c>
      <c r="AF314" s="26" cm="1">
        <f t="array" ref="AF314">_xlfn.IFS((AE314&gt;AC314),(AC314*2),(AE314&lt;=AC314),(AE314*2))</f>
        <v>0</v>
      </c>
      <c r="AG314" s="22"/>
      <c r="AH314" s="28">
        <f t="shared" si="28"/>
        <v>55</v>
      </c>
      <c r="AI314" s="28">
        <f t="shared" si="29"/>
        <v>0</v>
      </c>
      <c r="AJ314" s="28">
        <f t="shared" si="30"/>
        <v>0</v>
      </c>
      <c r="AK314" s="28">
        <f t="shared" si="31"/>
        <v>26</v>
      </c>
      <c r="AL314" s="28">
        <f t="shared" si="32"/>
        <v>0</v>
      </c>
      <c r="AM314" s="23" t="s">
        <v>1707</v>
      </c>
      <c r="AN314" s="37">
        <f>VLOOKUP(C314,'[2]MARÇO-2024'!$B:$M,12,0)</f>
        <v>55</v>
      </c>
      <c r="AO314" s="37">
        <f t="shared" si="33"/>
        <v>0</v>
      </c>
      <c r="AP314" s="37" t="str">
        <f t="shared" si="34"/>
        <v/>
      </c>
    </row>
    <row r="315" spans="1:42" ht="13.5" customHeight="1" x14ac:dyDescent="0.25">
      <c r="A315" s="17">
        <v>10</v>
      </c>
      <c r="B315" s="17">
        <v>41</v>
      </c>
      <c r="C315" s="29">
        <v>10055</v>
      </c>
      <c r="D315" s="38">
        <v>33192758</v>
      </c>
      <c r="E315" s="18" t="s">
        <v>558</v>
      </c>
      <c r="F315" s="68" t="s">
        <v>839</v>
      </c>
      <c r="G315" s="64" t="s">
        <v>341</v>
      </c>
      <c r="H315" s="19" t="s">
        <v>1107</v>
      </c>
      <c r="I315" s="19" t="s">
        <v>1107</v>
      </c>
      <c r="J315" s="19" t="s">
        <v>1513</v>
      </c>
      <c r="K315" s="20" t="s">
        <v>1629</v>
      </c>
      <c r="L315" s="21">
        <v>150</v>
      </c>
      <c r="M315" s="21"/>
      <c r="N315" s="26" t="str">
        <f>IFERROR(VLOOKUP(O315,Apoio!A:B,2,0),"")</f>
        <v/>
      </c>
      <c r="O315" s="22">
        <f>IFERROR(VLOOKUP(C315,'[1]TB DIN'!$B:$D,3,0),"AGUARDANDO ANEXO")</f>
        <v>0</v>
      </c>
      <c r="P315" s="22">
        <f>IFERROR(VLOOKUP(C315,'[1]TB DIN INCLUIDOS'!$B:$H,3,0),"AGUARDANDO ANEXO")</f>
        <v>0</v>
      </c>
      <c r="Q315" s="26" cm="1">
        <f t="array" ref="Q315">_xlfn.IFS((P315&gt;N315),(N315*2),(P315&lt;=N315),(P315*2))</f>
        <v>0</v>
      </c>
      <c r="R315" s="22"/>
      <c r="S315" s="26">
        <f>IFERROR(VLOOKUP(T315,Apoio!A:B,2,0),"")</f>
        <v>1</v>
      </c>
      <c r="T315" s="22">
        <f>IFERROR(VLOOKUP(C315,'[1]TB DIN'!$B:$H,4,0),"AGUARDANDO ANEXO")</f>
        <v>25</v>
      </c>
      <c r="U315" s="22">
        <f>IFERROR(VLOOKUP(C315,'[1]TB DIN INCLUIDOS'!$B:$H,4,0),"AGUARDANDO ANEXO")</f>
        <v>0</v>
      </c>
      <c r="V315" s="26" cm="1">
        <f t="array" ref="V315">_xlfn.IFS((U315&gt;S315),(S315*2),(U315&lt;=S315),(U315*2))</f>
        <v>0</v>
      </c>
      <c r="W315" s="22"/>
      <c r="X315" s="26">
        <f>IFERROR(VLOOKUP(Y315,Apoio!A:B,2,0),"")</f>
        <v>2</v>
      </c>
      <c r="Y315" s="22">
        <f>IFERROR(VLOOKUP(C315,'[1]TB DIN'!$B:$H,5,0),"AGUARDANDO ANEXO")</f>
        <v>50</v>
      </c>
      <c r="Z315" s="22">
        <f>IFERROR(VLOOKUP(C315,'[1]TB DIN INCLUIDOS'!$B:$H,5,0),"AGUARDANDO ANEXO")</f>
        <v>0</v>
      </c>
      <c r="AA315" s="26" cm="1">
        <f t="array" ref="AA315">_xlfn.IFS((Z315&gt;X315),(X315*2),(Z315&lt;=X315),(Z315*2))</f>
        <v>0</v>
      </c>
      <c r="AB315" s="22"/>
      <c r="AC315" s="26">
        <f>IFERROR(VLOOKUP(AD315,Apoio!A:B,2,0),"")</f>
        <v>3</v>
      </c>
      <c r="AD315" s="22">
        <f>IFERROR(VLOOKUP(C315,'[1]TB DIN'!$B:$H,6,0),"AGUARDANDO ANEXO")</f>
        <v>73</v>
      </c>
      <c r="AE315" s="22">
        <f>IFERROR(VLOOKUP(C315,'[1]TB DIN INCLUIDOS'!$B:$H,6,0),"AGUARDANDO ANEXO")</f>
        <v>2</v>
      </c>
      <c r="AF315" s="26" cm="1">
        <f t="array" ref="AF315">_xlfn.IFS((AE315&gt;AC315),(AC315*2),(AE315&lt;=AC315),(AE315*2))</f>
        <v>4</v>
      </c>
      <c r="AG315" s="22"/>
      <c r="AH315" s="28">
        <f t="shared" si="28"/>
        <v>148</v>
      </c>
      <c r="AI315" s="28">
        <f t="shared" si="29"/>
        <v>2</v>
      </c>
      <c r="AJ315" s="28">
        <f t="shared" si="30"/>
        <v>4</v>
      </c>
      <c r="AK315" s="28">
        <f t="shared" si="31"/>
        <v>0</v>
      </c>
      <c r="AL315" s="28">
        <f t="shared" si="32"/>
        <v>-2</v>
      </c>
      <c r="AM315" s="23" t="s">
        <v>1707</v>
      </c>
      <c r="AN315" s="37">
        <f>VLOOKUP(C315,'[2]MARÇO-2024'!$B:$M,12,0)</f>
        <v>148</v>
      </c>
      <c r="AO315" s="37">
        <f t="shared" si="33"/>
        <v>0</v>
      </c>
      <c r="AP315" s="37" t="str">
        <f t="shared" si="34"/>
        <v/>
      </c>
    </row>
    <row r="316" spans="1:42" ht="13.5" customHeight="1" x14ac:dyDescent="0.25">
      <c r="A316" s="17">
        <v>10</v>
      </c>
      <c r="B316" s="17">
        <v>42</v>
      </c>
      <c r="C316" s="29">
        <v>10056</v>
      </c>
      <c r="D316" s="38">
        <v>33191786</v>
      </c>
      <c r="E316" s="18" t="s">
        <v>551</v>
      </c>
      <c r="F316" s="68" t="s">
        <v>831</v>
      </c>
      <c r="G316" s="64" t="s">
        <v>333</v>
      </c>
      <c r="H316" s="19" t="s">
        <v>1099</v>
      </c>
      <c r="I316" s="19" t="s">
        <v>1231</v>
      </c>
      <c r="J316" s="19" t="s">
        <v>1505</v>
      </c>
      <c r="K316" s="20" t="s">
        <v>1626</v>
      </c>
      <c r="L316" s="21">
        <v>100</v>
      </c>
      <c r="M316" s="21"/>
      <c r="N316" s="26" t="str">
        <f>IFERROR(VLOOKUP(O316,Apoio!A:B,2,0),"")</f>
        <v/>
      </c>
      <c r="O316" s="22">
        <f>IFERROR(VLOOKUP(C316,'[1]TB DIN'!$B:$D,3,0),"AGUARDANDO ANEXO")</f>
        <v>0</v>
      </c>
      <c r="P316" s="22">
        <f>IFERROR(VLOOKUP(C316,'[1]TB DIN INCLUIDOS'!$B:$H,3,0),"AGUARDANDO ANEXO")</f>
        <v>0</v>
      </c>
      <c r="Q316" s="26" cm="1">
        <f t="array" ref="Q316">_xlfn.IFS((P316&gt;N316),(N316*2),(P316&lt;=N316),(P316*2))</f>
        <v>0</v>
      </c>
      <c r="R316" s="22"/>
      <c r="S316" s="26">
        <f>IFERROR(VLOOKUP(T316,Apoio!A:B,2,0),"")</f>
        <v>1</v>
      </c>
      <c r="T316" s="22">
        <f>IFERROR(VLOOKUP(C316,'[1]TB DIN'!$B:$H,4,0),"AGUARDANDO ANEXO")</f>
        <v>24</v>
      </c>
      <c r="U316" s="22">
        <f>IFERROR(VLOOKUP(C316,'[1]TB DIN INCLUIDOS'!$B:$H,4,0),"AGUARDANDO ANEXO")</f>
        <v>0</v>
      </c>
      <c r="V316" s="26" cm="1">
        <f t="array" ref="V316">_xlfn.IFS((U316&gt;S316),(S316*2),(U316&lt;=S316),(U316*2))</f>
        <v>0</v>
      </c>
      <c r="W316" s="22"/>
      <c r="X316" s="26">
        <f>IFERROR(VLOOKUP(Y316,Apoio!A:B,2,0),"")</f>
        <v>2</v>
      </c>
      <c r="Y316" s="22">
        <v>35</v>
      </c>
      <c r="Z316" s="22">
        <f>IFERROR(VLOOKUP(C316,'[1]TB DIN INCLUIDOS'!$B:$H,5,0),"AGUARDANDO ANEXO")</f>
        <v>1</v>
      </c>
      <c r="AA316" s="26" cm="1">
        <f t="array" ref="AA316">_xlfn.IFS((Z316&gt;X316),(X316*2),(Z316&lt;=X316),(Z316*2))</f>
        <v>2</v>
      </c>
      <c r="AB316" s="22"/>
      <c r="AC316" s="26">
        <f>IFERROR(VLOOKUP(AD316,Apoio!A:B,2,0),"")</f>
        <v>2</v>
      </c>
      <c r="AD316" s="22">
        <f>IFERROR(VLOOKUP(C316,'[1]TB DIN'!$B:$H,6,0),"AGUARDANDO ANEXO")</f>
        <v>39</v>
      </c>
      <c r="AE316" s="22">
        <f>IFERROR(VLOOKUP(C316,'[1]TB DIN INCLUIDOS'!$B:$H,6,0),"AGUARDANDO ANEXO")</f>
        <v>2</v>
      </c>
      <c r="AF316" s="26" cm="1">
        <f t="array" ref="AF316">_xlfn.IFS((AE316&gt;AC316),(AC316*2),(AE316&lt;=AC316),(AE316*2))</f>
        <v>4</v>
      </c>
      <c r="AG316" s="22"/>
      <c r="AH316" s="28">
        <f t="shared" si="28"/>
        <v>98</v>
      </c>
      <c r="AI316" s="28">
        <f t="shared" si="29"/>
        <v>3</v>
      </c>
      <c r="AJ316" s="28">
        <f t="shared" si="30"/>
        <v>6</v>
      </c>
      <c r="AK316" s="28">
        <f t="shared" si="31"/>
        <v>0</v>
      </c>
      <c r="AL316" s="28">
        <f t="shared" si="32"/>
        <v>-4</v>
      </c>
      <c r="AM316" s="23" t="s">
        <v>1707</v>
      </c>
      <c r="AN316" s="37">
        <f>VLOOKUP(C316,'[2]MARÇO-2024'!$B:$M,12,0)</f>
        <v>99</v>
      </c>
      <c r="AO316" s="37">
        <f t="shared" si="33"/>
        <v>1</v>
      </c>
      <c r="AP316" s="37" t="str">
        <f t="shared" si="34"/>
        <v/>
      </c>
    </row>
    <row r="317" spans="1:42" ht="13.5" customHeight="1" x14ac:dyDescent="0.25">
      <c r="A317" s="17">
        <v>10</v>
      </c>
      <c r="B317" s="17">
        <v>43</v>
      </c>
      <c r="C317" s="29">
        <v>10057</v>
      </c>
      <c r="D317" s="38">
        <v>33192022</v>
      </c>
      <c r="E317" s="18" t="s">
        <v>362</v>
      </c>
      <c r="F317" s="68" t="s">
        <v>797</v>
      </c>
      <c r="G317" s="64" t="s">
        <v>299</v>
      </c>
      <c r="H317" s="19" t="s">
        <v>1065</v>
      </c>
      <c r="I317" s="19" t="s">
        <v>21</v>
      </c>
      <c r="J317" s="19" t="s">
        <v>1471</v>
      </c>
      <c r="K317" s="20" t="s">
        <v>1627</v>
      </c>
      <c r="L317" s="21">
        <v>305</v>
      </c>
      <c r="M317" s="21"/>
      <c r="N317" s="26">
        <f>IFERROR(VLOOKUP(O317,Apoio!A:B,2,0),"")</f>
        <v>1</v>
      </c>
      <c r="O317" s="22">
        <v>2</v>
      </c>
      <c r="P317" s="22">
        <f>IFERROR(VLOOKUP(C317,'[1]TB DIN INCLUIDOS'!$B:$H,3,0),"AGUARDANDO ANEXO")</f>
        <v>0</v>
      </c>
      <c r="Q317" s="26" cm="1">
        <f t="array" ref="Q317">_xlfn.IFS((P317&gt;N317),(N317*2),(P317&lt;=N317),(P317*2))</f>
        <v>0</v>
      </c>
      <c r="R317" s="22"/>
      <c r="S317" s="26">
        <f>IFERROR(VLOOKUP(T317,Apoio!A:B,2,0),"")</f>
        <v>5</v>
      </c>
      <c r="T317" s="22">
        <v>102</v>
      </c>
      <c r="U317" s="22">
        <v>2</v>
      </c>
      <c r="V317" s="26" cm="1">
        <f t="array" ref="V317">_xlfn.IFS((U317&gt;S317),(S317*2),(U317&lt;=S317),(U317*2))</f>
        <v>4</v>
      </c>
      <c r="W317" s="22"/>
      <c r="X317" s="26">
        <f>IFERROR(VLOOKUP(Y317,Apoio!A:B,2,0),"")</f>
        <v>3</v>
      </c>
      <c r="Y317" s="22">
        <f>IFERROR(VLOOKUP(C317,'[1]TB DIN'!$B:$H,5,0),"AGUARDANDO ANEXO")</f>
        <v>69</v>
      </c>
      <c r="Z317" s="22">
        <f>IFERROR(VLOOKUP(C317,'[1]TB DIN INCLUIDOS'!$B:$H,5,0),"AGUARDANDO ANEXO")</f>
        <v>0</v>
      </c>
      <c r="AA317" s="26" cm="1">
        <f t="array" ref="AA317">_xlfn.IFS((Z317&gt;X317),(X317*2),(Z317&lt;=X317),(Z317*2))</f>
        <v>0</v>
      </c>
      <c r="AB317" s="22"/>
      <c r="AC317" s="26">
        <f>IFERROR(VLOOKUP(AD317,Apoio!A:B,2,0),"")</f>
        <v>5</v>
      </c>
      <c r="AD317" s="22">
        <v>121</v>
      </c>
      <c r="AE317" s="22">
        <v>5</v>
      </c>
      <c r="AF317" s="26" cm="1">
        <f t="array" ref="AF317">_xlfn.IFS((AE317&gt;AC317),(AC317*2),(AE317&lt;=AC317),(AE317*2))</f>
        <v>10</v>
      </c>
      <c r="AG317" s="22"/>
      <c r="AH317" s="28">
        <f t="shared" si="28"/>
        <v>294</v>
      </c>
      <c r="AI317" s="28">
        <f t="shared" si="29"/>
        <v>7</v>
      </c>
      <c r="AJ317" s="28">
        <f t="shared" si="30"/>
        <v>14</v>
      </c>
      <c r="AK317" s="28">
        <f t="shared" si="31"/>
        <v>0</v>
      </c>
      <c r="AL317" s="28">
        <f t="shared" si="32"/>
        <v>-3</v>
      </c>
      <c r="AM317" s="23" t="s">
        <v>1707</v>
      </c>
      <c r="AN317" s="37">
        <f>VLOOKUP(C317,'[2]MARÇO-2024'!$B:$M,12,0)</f>
        <v>307</v>
      </c>
      <c r="AO317" s="37">
        <f t="shared" si="33"/>
        <v>13</v>
      </c>
      <c r="AP317" s="37" t="str">
        <f t="shared" si="34"/>
        <v/>
      </c>
    </row>
    <row r="318" spans="1:42" ht="13.5" customHeight="1" x14ac:dyDescent="0.25">
      <c r="A318" s="17">
        <v>10</v>
      </c>
      <c r="B318" s="17">
        <v>44</v>
      </c>
      <c r="C318" s="29">
        <v>10058</v>
      </c>
      <c r="D318" s="43">
        <v>33192790</v>
      </c>
      <c r="E318" s="18" t="s">
        <v>548</v>
      </c>
      <c r="F318" s="68" t="s">
        <v>827</v>
      </c>
      <c r="G318" s="64" t="s">
        <v>329</v>
      </c>
      <c r="H318" s="19" t="s">
        <v>1095</v>
      </c>
      <c r="I318" s="19" t="s">
        <v>1095</v>
      </c>
      <c r="J318" s="19" t="s">
        <v>1501</v>
      </c>
      <c r="K318" s="20" t="s">
        <v>1629</v>
      </c>
      <c r="L318" s="21">
        <v>280</v>
      </c>
      <c r="M318" s="21"/>
      <c r="N318" s="26">
        <f>IFERROR(VLOOKUP(O318,Apoio!A:B,2,0),"")</f>
        <v>2</v>
      </c>
      <c r="O318" s="22">
        <v>35</v>
      </c>
      <c r="P318" s="22">
        <f>IFERROR(VLOOKUP(C318,'[1]TB DIN INCLUIDOS'!$B:$H,3,0),"AGUARDANDO ANEXO")</f>
        <v>0</v>
      </c>
      <c r="Q318" s="26" cm="1">
        <f t="array" ref="Q318">_xlfn.IFS((P318&gt;N318),(N318*2),(P318&lt;=N318),(P318*2))</f>
        <v>0</v>
      </c>
      <c r="R318" s="22"/>
      <c r="S318" s="26">
        <f>IFERROR(VLOOKUP(T318,Apoio!A:B,2,0),"")</f>
        <v>3</v>
      </c>
      <c r="T318" s="22">
        <v>69</v>
      </c>
      <c r="U318" s="22">
        <f>IFERROR(VLOOKUP(C318,'[1]TB DIN INCLUIDOS'!$B:$H,4,0),"AGUARDANDO ANEXO")</f>
        <v>0</v>
      </c>
      <c r="V318" s="26" cm="1">
        <f t="array" ref="V318">_xlfn.IFS((U318&gt;S318),(S318*2),(U318&lt;=S318),(U318*2))</f>
        <v>0</v>
      </c>
      <c r="W318" s="22"/>
      <c r="X318" s="26">
        <f>IFERROR(VLOOKUP(Y318,Apoio!A:B,2,0),"")</f>
        <v>3</v>
      </c>
      <c r="Y318" s="22">
        <v>70</v>
      </c>
      <c r="Z318" s="22">
        <f>IFERROR(VLOOKUP(C318,'[1]TB DIN INCLUIDOS'!$B:$H,5,0),"AGUARDANDO ANEXO")</f>
        <v>1</v>
      </c>
      <c r="AA318" s="26" cm="1">
        <f t="array" ref="AA318">_xlfn.IFS((Z318&gt;X318),(X318*2),(Z318&lt;=X318),(Z318*2))</f>
        <v>2</v>
      </c>
      <c r="AB318" s="22"/>
      <c r="AC318" s="26">
        <f>IFERROR(VLOOKUP(AD318,Apoio!A:B,2,0),"")</f>
        <v>4</v>
      </c>
      <c r="AD318" s="22">
        <v>100</v>
      </c>
      <c r="AE318" s="22">
        <f>IFERROR(VLOOKUP(C318,'[1]TB DIN INCLUIDOS'!$B:$H,6,0),"AGUARDANDO ANEXO")</f>
        <v>1</v>
      </c>
      <c r="AF318" s="26" cm="1">
        <f t="array" ref="AF318">_xlfn.IFS((AE318&gt;AC318),(AC318*2),(AE318&lt;=AC318),(AE318*2))</f>
        <v>2</v>
      </c>
      <c r="AG318" s="22"/>
      <c r="AH318" s="28">
        <f t="shared" si="28"/>
        <v>274</v>
      </c>
      <c r="AI318" s="28">
        <f t="shared" si="29"/>
        <v>2</v>
      </c>
      <c r="AJ318" s="28">
        <f t="shared" si="30"/>
        <v>4</v>
      </c>
      <c r="AK318" s="28">
        <f t="shared" si="31"/>
        <v>2</v>
      </c>
      <c r="AL318" s="28">
        <f t="shared" si="32"/>
        <v>0</v>
      </c>
      <c r="AM318" s="23" t="s">
        <v>1707</v>
      </c>
      <c r="AN318" s="37">
        <f>VLOOKUP(C318,'[2]MARÇO-2024'!$B:$M,12,0)</f>
        <v>269</v>
      </c>
      <c r="AO318" s="37">
        <f t="shared" si="33"/>
        <v>-5</v>
      </c>
      <c r="AP318" s="37" t="str">
        <f t="shared" si="34"/>
        <v/>
      </c>
    </row>
    <row r="319" spans="1:42" ht="13.5" customHeight="1" x14ac:dyDescent="0.25">
      <c r="A319" s="17">
        <v>10</v>
      </c>
      <c r="B319" s="17">
        <v>45</v>
      </c>
      <c r="C319" s="29">
        <v>10059</v>
      </c>
      <c r="D319" s="38">
        <v>33192529</v>
      </c>
      <c r="E319" s="18" t="s">
        <v>544</v>
      </c>
      <c r="F319" s="68" t="s">
        <v>820</v>
      </c>
      <c r="G319" s="64" t="s">
        <v>322</v>
      </c>
      <c r="H319" s="19" t="s">
        <v>1088</v>
      </c>
      <c r="I319" s="19" t="s">
        <v>1088</v>
      </c>
      <c r="J319" s="19" t="s">
        <v>1494</v>
      </c>
      <c r="K319" s="20" t="s">
        <v>1626</v>
      </c>
      <c r="L319" s="21">
        <v>92</v>
      </c>
      <c r="M319" s="21"/>
      <c r="N319" s="26" t="str">
        <f>IFERROR(VLOOKUP(O319,Apoio!A:B,2,0),"")</f>
        <v/>
      </c>
      <c r="O319" s="22">
        <f>IFERROR(VLOOKUP(C319,'[1]TB DIN'!$B:$D,3,0),"AGUARDANDO ANEXO")</f>
        <v>0</v>
      </c>
      <c r="P319" s="22">
        <f>IFERROR(VLOOKUP(C319,'[1]TB DIN INCLUIDOS'!$B:$H,3,0),"AGUARDANDO ANEXO")</f>
        <v>0</v>
      </c>
      <c r="Q319" s="26" cm="1">
        <f t="array" ref="Q319">_xlfn.IFS((P319&gt;N319),(N319*2),(P319&lt;=N319),(P319*2))</f>
        <v>0</v>
      </c>
      <c r="R319" s="22"/>
      <c r="S319" s="26">
        <f>IFERROR(VLOOKUP(T319,Apoio!A:B,2,0),"")</f>
        <v>1</v>
      </c>
      <c r="T319" s="22">
        <f>IFERROR(VLOOKUP(C319,'[1]TB DIN'!$B:$H,4,0),"AGUARDANDO ANEXO")</f>
        <v>24</v>
      </c>
      <c r="U319" s="22">
        <f>IFERROR(VLOOKUP(C319,'[1]TB DIN INCLUIDOS'!$B:$H,4,0),"AGUARDANDO ANEXO")</f>
        <v>0</v>
      </c>
      <c r="V319" s="26" cm="1">
        <f t="array" ref="V319">_xlfn.IFS((U319&gt;S319),(S319*2),(U319&lt;=S319),(U319*2))</f>
        <v>0</v>
      </c>
      <c r="W319" s="22"/>
      <c r="X319" s="26">
        <f>IFERROR(VLOOKUP(Y319,Apoio!A:B,2,0),"")</f>
        <v>2</v>
      </c>
      <c r="Y319" s="22">
        <f>IFERROR(VLOOKUP(C319,'[1]TB DIN'!$B:$H,5,0),"AGUARDANDO ANEXO")</f>
        <v>27</v>
      </c>
      <c r="Z319" s="22">
        <f>IFERROR(VLOOKUP(C319,'[1]TB DIN INCLUIDOS'!$B:$H,5,0),"AGUARDANDO ANEXO")</f>
        <v>0</v>
      </c>
      <c r="AA319" s="26" cm="1">
        <f t="array" ref="AA319">_xlfn.IFS((Z319&gt;X319),(X319*2),(Z319&lt;=X319),(Z319*2))</f>
        <v>0</v>
      </c>
      <c r="AB319" s="22"/>
      <c r="AC319" s="26">
        <f>IFERROR(VLOOKUP(AD319,Apoio!A:B,2,0),"")</f>
        <v>2</v>
      </c>
      <c r="AD319" s="22">
        <f>IFERROR(VLOOKUP(C319,'[1]TB DIN'!$B:$H,6,0),"AGUARDANDO ANEXO")</f>
        <v>39</v>
      </c>
      <c r="AE319" s="22">
        <f>IFERROR(VLOOKUP(C319,'[1]TB DIN INCLUIDOS'!$B:$H,6,0),"AGUARDANDO ANEXO")</f>
        <v>1</v>
      </c>
      <c r="AF319" s="26" cm="1">
        <f t="array" ref="AF319">_xlfn.IFS((AE319&gt;AC319),(AC319*2),(AE319&lt;=AC319),(AE319*2))</f>
        <v>2</v>
      </c>
      <c r="AG319" s="22"/>
      <c r="AH319" s="28">
        <f t="shared" si="28"/>
        <v>90</v>
      </c>
      <c r="AI319" s="28">
        <f t="shared" si="29"/>
        <v>1</v>
      </c>
      <c r="AJ319" s="28">
        <f t="shared" si="30"/>
        <v>2</v>
      </c>
      <c r="AK319" s="28">
        <f t="shared" si="31"/>
        <v>0</v>
      </c>
      <c r="AL319" s="28">
        <f t="shared" si="32"/>
        <v>0</v>
      </c>
      <c r="AM319" s="23" t="s">
        <v>1707</v>
      </c>
      <c r="AN319" s="37">
        <f>VLOOKUP(C319,'[2]MARÇO-2024'!$B:$M,12,0)</f>
        <v>91</v>
      </c>
      <c r="AO319" s="37">
        <f t="shared" si="33"/>
        <v>1</v>
      </c>
      <c r="AP319" s="37" t="str">
        <f t="shared" si="34"/>
        <v/>
      </c>
    </row>
    <row r="320" spans="1:42" ht="13.5" customHeight="1" x14ac:dyDescent="0.25">
      <c r="A320" s="17">
        <v>10</v>
      </c>
      <c r="B320" s="17">
        <v>46</v>
      </c>
      <c r="C320" s="29">
        <v>10060</v>
      </c>
      <c r="D320" s="38">
        <v>33191760</v>
      </c>
      <c r="E320" s="18" t="s">
        <v>541</v>
      </c>
      <c r="F320" s="68" t="s">
        <v>814</v>
      </c>
      <c r="G320" s="64" t="s">
        <v>316</v>
      </c>
      <c r="H320" s="19" t="s">
        <v>1082</v>
      </c>
      <c r="I320" s="19" t="s">
        <v>1082</v>
      </c>
      <c r="J320" s="19" t="s">
        <v>1488</v>
      </c>
      <c r="K320" s="20" t="s">
        <v>1626</v>
      </c>
      <c r="L320" s="21">
        <v>100</v>
      </c>
      <c r="M320" s="21"/>
      <c r="N320" s="26" t="str">
        <f>IFERROR(VLOOKUP(O320,Apoio!A:B,2,0),"")</f>
        <v/>
      </c>
      <c r="O320" s="22">
        <f>IFERROR(VLOOKUP(C320,'[1]TB DIN'!$B:$D,3,0),"AGUARDANDO ANEXO")</f>
        <v>0</v>
      </c>
      <c r="P320" s="22">
        <f>IFERROR(VLOOKUP(C320,'[1]TB DIN INCLUIDOS'!$B:$H,3,0),"AGUARDANDO ANEXO")</f>
        <v>0</v>
      </c>
      <c r="Q320" s="26" cm="1">
        <f t="array" ref="Q320">_xlfn.IFS((P320&gt;N320),(N320*2),(P320&lt;=N320),(P320*2))</f>
        <v>0</v>
      </c>
      <c r="R320" s="22"/>
      <c r="S320" s="26">
        <f>IFERROR(VLOOKUP(T320,Apoio!A:B,2,0),"")</f>
        <v>1</v>
      </c>
      <c r="T320" s="22">
        <v>19</v>
      </c>
      <c r="U320" s="22">
        <f>IFERROR(VLOOKUP(C320,'[1]TB DIN INCLUIDOS'!$B:$H,4,0),"AGUARDANDO ANEXO")</f>
        <v>0</v>
      </c>
      <c r="V320" s="26" cm="1">
        <f t="array" ref="V320">_xlfn.IFS((U320&gt;S320),(S320*2),(U320&lt;=S320),(U320*2))</f>
        <v>0</v>
      </c>
      <c r="W320" s="22"/>
      <c r="X320" s="26">
        <f>IFERROR(VLOOKUP(Y320,Apoio!A:B,2,0),"")</f>
        <v>2</v>
      </c>
      <c r="Y320" s="22">
        <v>33</v>
      </c>
      <c r="Z320" s="22">
        <v>2</v>
      </c>
      <c r="AA320" s="26" cm="1">
        <f t="array" ref="AA320">_xlfn.IFS((Z320&gt;X320),(X320*2),(Z320&lt;=X320),(Z320*2))</f>
        <v>4</v>
      </c>
      <c r="AB320" s="22"/>
      <c r="AC320" s="26">
        <f>IFERROR(VLOOKUP(AD320,Apoio!A:B,2,0),"")</f>
        <v>2</v>
      </c>
      <c r="AD320" s="22">
        <v>45</v>
      </c>
      <c r="AE320" s="22">
        <f>IFERROR(VLOOKUP(C320,'[1]TB DIN INCLUIDOS'!$B:$H,6,0),"AGUARDANDO ANEXO")</f>
        <v>1</v>
      </c>
      <c r="AF320" s="26" cm="1">
        <f t="array" ref="AF320">_xlfn.IFS((AE320&gt;AC320),(AC320*2),(AE320&lt;=AC320),(AE320*2))</f>
        <v>2</v>
      </c>
      <c r="AG320" s="22"/>
      <c r="AH320" s="28">
        <f t="shared" si="28"/>
        <v>97</v>
      </c>
      <c r="AI320" s="28">
        <f t="shared" si="29"/>
        <v>3</v>
      </c>
      <c r="AJ320" s="28">
        <f t="shared" si="30"/>
        <v>6</v>
      </c>
      <c r="AK320" s="28">
        <f t="shared" si="31"/>
        <v>0</v>
      </c>
      <c r="AL320" s="28">
        <f t="shared" si="32"/>
        <v>-3</v>
      </c>
      <c r="AM320" s="23" t="s">
        <v>1707</v>
      </c>
      <c r="AN320" s="37">
        <f>VLOOKUP(C320,'[2]MARÇO-2024'!$B:$M,12,0)</f>
        <v>98</v>
      </c>
      <c r="AO320" s="37">
        <f t="shared" si="33"/>
        <v>1</v>
      </c>
      <c r="AP320" s="37" t="str">
        <f t="shared" si="34"/>
        <v/>
      </c>
    </row>
    <row r="321" spans="1:42" ht="13.5" customHeight="1" x14ac:dyDescent="0.25">
      <c r="A321" s="17">
        <v>10</v>
      </c>
      <c r="B321" s="17">
        <v>47</v>
      </c>
      <c r="C321" s="29">
        <v>10061</v>
      </c>
      <c r="D321" s="38">
        <v>33192995</v>
      </c>
      <c r="E321" s="18" t="s">
        <v>539</v>
      </c>
      <c r="F321" s="68" t="s">
        <v>812</v>
      </c>
      <c r="G321" s="64" t="s">
        <v>314</v>
      </c>
      <c r="H321" s="19" t="s">
        <v>1080</v>
      </c>
      <c r="I321" s="19" t="s">
        <v>1080</v>
      </c>
      <c r="J321" s="19" t="s">
        <v>1486</v>
      </c>
      <c r="K321" s="20" t="s">
        <v>1626</v>
      </c>
      <c r="L321" s="21">
        <v>92</v>
      </c>
      <c r="M321" s="21"/>
      <c r="N321" s="26" t="str">
        <f>IFERROR(VLOOKUP(O321,Apoio!A:B,2,0),"")</f>
        <v/>
      </c>
      <c r="O321" s="22">
        <f>IFERROR(VLOOKUP(C321,'[1]TB DIN'!$B:$D,3,0),"AGUARDANDO ANEXO")</f>
        <v>0</v>
      </c>
      <c r="P321" s="22">
        <f>IFERROR(VLOOKUP(C321,'[1]TB DIN INCLUIDOS'!$B:$H,3,0),"AGUARDANDO ANEXO")</f>
        <v>0</v>
      </c>
      <c r="Q321" s="26" cm="1">
        <f t="array" ref="Q321">_xlfn.IFS((P321&gt;N321),(N321*2),(P321&lt;=N321),(P321*2))</f>
        <v>0</v>
      </c>
      <c r="R321" s="22"/>
      <c r="S321" s="26">
        <f>IFERROR(VLOOKUP(T321,Apoio!A:B,2,0),"")</f>
        <v>1</v>
      </c>
      <c r="T321" s="22">
        <v>25</v>
      </c>
      <c r="U321" s="22">
        <f>IFERROR(VLOOKUP(C321,'[1]TB DIN INCLUIDOS'!$B:$H,4,0),"AGUARDANDO ANEXO")</f>
        <v>0</v>
      </c>
      <c r="V321" s="26" cm="1">
        <f t="array" ref="V321">_xlfn.IFS((U321&gt;S321),(S321*2),(U321&lt;=S321),(U321*2))</f>
        <v>0</v>
      </c>
      <c r="W321" s="22"/>
      <c r="X321" s="26">
        <f>IFERROR(VLOOKUP(Y321,Apoio!A:B,2,0),"")</f>
        <v>2</v>
      </c>
      <c r="Y321" s="22">
        <f>IFERROR(VLOOKUP(C321,'[1]TB DIN'!$B:$H,5,0),"AGUARDANDO ANEXO")</f>
        <v>39</v>
      </c>
      <c r="Z321" s="22">
        <f>IFERROR(VLOOKUP(C321,'[1]TB DIN INCLUIDOS'!$B:$H,5,0),"AGUARDANDO ANEXO")</f>
        <v>0</v>
      </c>
      <c r="AA321" s="26" cm="1">
        <f t="array" ref="AA321">_xlfn.IFS((Z321&gt;X321),(X321*2),(Z321&lt;=X321),(Z321*2))</f>
        <v>0</v>
      </c>
      <c r="AB321" s="22"/>
      <c r="AC321" s="26">
        <f>IFERROR(VLOOKUP(AD321,Apoio!A:B,2,0),"")</f>
        <v>2</v>
      </c>
      <c r="AD321" s="22">
        <f>IFERROR(VLOOKUP(C321,'[1]TB DIN'!$B:$H,6,0),"AGUARDANDO ANEXO")</f>
        <v>28</v>
      </c>
      <c r="AE321" s="22">
        <f>IFERROR(VLOOKUP(C321,'[1]TB DIN INCLUIDOS'!$B:$H,6,0),"AGUARDANDO ANEXO")</f>
        <v>0</v>
      </c>
      <c r="AF321" s="26" cm="1">
        <f t="array" ref="AF321">_xlfn.IFS((AE321&gt;AC321),(AC321*2),(AE321&lt;=AC321),(AE321*2))</f>
        <v>0</v>
      </c>
      <c r="AG321" s="22"/>
      <c r="AH321" s="28">
        <f t="shared" si="28"/>
        <v>92</v>
      </c>
      <c r="AI321" s="28">
        <f t="shared" si="29"/>
        <v>0</v>
      </c>
      <c r="AJ321" s="28">
        <f t="shared" si="30"/>
        <v>0</v>
      </c>
      <c r="AK321" s="28">
        <f t="shared" si="31"/>
        <v>0</v>
      </c>
      <c r="AL321" s="28">
        <f t="shared" si="32"/>
        <v>0</v>
      </c>
      <c r="AM321" s="23" t="s">
        <v>1707</v>
      </c>
      <c r="AN321" s="37">
        <f>VLOOKUP(C321,'[2]MARÇO-2024'!$B:$M,12,0)</f>
        <v>92</v>
      </c>
      <c r="AO321" s="37">
        <f t="shared" si="33"/>
        <v>0</v>
      </c>
      <c r="AP321" s="37" t="str">
        <f t="shared" si="34"/>
        <v/>
      </c>
    </row>
    <row r="322" spans="1:42" ht="13.5" customHeight="1" x14ac:dyDescent="0.25">
      <c r="A322" s="17">
        <v>10</v>
      </c>
      <c r="B322" s="17">
        <v>48</v>
      </c>
      <c r="C322" s="29">
        <v>10062</v>
      </c>
      <c r="D322" s="43">
        <v>33192740</v>
      </c>
      <c r="E322" s="18" t="s">
        <v>530</v>
      </c>
      <c r="F322" s="68" t="s">
        <v>795</v>
      </c>
      <c r="G322" s="64" t="s">
        <v>297</v>
      </c>
      <c r="H322" s="19" t="s">
        <v>1063</v>
      </c>
      <c r="I322" s="19" t="s">
        <v>1063</v>
      </c>
      <c r="J322" s="19" t="s">
        <v>1469</v>
      </c>
      <c r="K322" s="20" t="s">
        <v>1628</v>
      </c>
      <c r="L322" s="21">
        <v>112</v>
      </c>
      <c r="M322" s="21"/>
      <c r="N322" s="26" t="str">
        <f>IFERROR(VLOOKUP(O322,Apoio!A:B,2,0),"")</f>
        <v/>
      </c>
      <c r="O322" s="22">
        <f>IFERROR(VLOOKUP(C322,'[1]TB DIN'!$B:$D,3,0),"AGUARDANDO ANEXO")</f>
        <v>0</v>
      </c>
      <c r="P322" s="22">
        <f>IFERROR(VLOOKUP(C322,'[1]TB DIN INCLUIDOS'!$B:$H,3,0),"AGUARDANDO ANEXO")</f>
        <v>0</v>
      </c>
      <c r="Q322" s="26" cm="1">
        <f t="array" ref="Q322">_xlfn.IFS((P322&gt;N322),(N322*2),(P322&lt;=N322),(P322*2))</f>
        <v>0</v>
      </c>
      <c r="R322" s="22"/>
      <c r="S322" s="26">
        <f>IFERROR(VLOOKUP(T322,Apoio!A:B,2,0),"")</f>
        <v>2</v>
      </c>
      <c r="T322" s="22">
        <f>IFERROR(VLOOKUP(C322,'[1]TB DIN'!$B:$H,4,0),"AGUARDANDO ANEXO")</f>
        <v>26</v>
      </c>
      <c r="U322" s="22">
        <f>IFERROR(VLOOKUP(C322,'[1]TB DIN INCLUIDOS'!$B:$H,4,0),"AGUARDANDO ANEXO")</f>
        <v>0</v>
      </c>
      <c r="V322" s="26" cm="1">
        <f t="array" ref="V322">_xlfn.IFS((U322&gt;S322),(S322*2),(U322&lt;=S322),(U322*2))</f>
        <v>0</v>
      </c>
      <c r="W322" s="22"/>
      <c r="X322" s="26">
        <f>IFERROR(VLOOKUP(Y322,Apoio!A:B,2,0),"")</f>
        <v>2</v>
      </c>
      <c r="Y322" s="22">
        <v>34</v>
      </c>
      <c r="Z322" s="22">
        <f>IFERROR(VLOOKUP(C322,'[1]TB DIN INCLUIDOS'!$B:$H,5,0),"AGUARDANDO ANEXO")</f>
        <v>1</v>
      </c>
      <c r="AA322" s="26" cm="1">
        <f t="array" ref="AA322">_xlfn.IFS((Z322&gt;X322),(X322*2),(Z322&lt;=X322),(Z322*2))</f>
        <v>2</v>
      </c>
      <c r="AB322" s="22"/>
      <c r="AC322" s="26">
        <f>IFERROR(VLOOKUP(AD322,Apoio!A:B,2,0),"")</f>
        <v>2</v>
      </c>
      <c r="AD322" s="22">
        <f>IFERROR(VLOOKUP(C322,'[1]TB DIN'!$B:$H,6,0),"AGUARDANDO ANEXO")</f>
        <v>47</v>
      </c>
      <c r="AE322" s="22">
        <f>IFERROR(VLOOKUP(C322,'[1]TB DIN INCLUIDOS'!$B:$H,6,0),"AGUARDANDO ANEXO")</f>
        <v>2</v>
      </c>
      <c r="AF322" s="26" cm="1">
        <f t="array" ref="AF322">_xlfn.IFS((AE322&gt;AC322),(AC322*2),(AE322&lt;=AC322),(AE322*2))</f>
        <v>4</v>
      </c>
      <c r="AG322" s="22"/>
      <c r="AH322" s="28">
        <f t="shared" si="28"/>
        <v>107</v>
      </c>
      <c r="AI322" s="28">
        <f t="shared" si="29"/>
        <v>3</v>
      </c>
      <c r="AJ322" s="28">
        <f t="shared" si="30"/>
        <v>6</v>
      </c>
      <c r="AK322" s="28">
        <f t="shared" si="31"/>
        <v>0</v>
      </c>
      <c r="AL322" s="28">
        <f t="shared" si="32"/>
        <v>-1</v>
      </c>
      <c r="AM322" s="23" t="s">
        <v>1707</v>
      </c>
      <c r="AN322" s="37">
        <f>VLOOKUP(C322,'[2]MARÇO-2024'!$B:$M,12,0)</f>
        <v>106</v>
      </c>
      <c r="AO322" s="37">
        <f t="shared" si="33"/>
        <v>-1</v>
      </c>
      <c r="AP322" s="37" t="str">
        <f t="shared" si="34"/>
        <v/>
      </c>
    </row>
    <row r="323" spans="1:42" ht="13.5" customHeight="1" x14ac:dyDescent="0.25">
      <c r="A323" s="17">
        <v>10</v>
      </c>
      <c r="B323" s="17">
        <v>49</v>
      </c>
      <c r="C323" s="29">
        <v>10063</v>
      </c>
      <c r="D323" s="38">
        <v>33192910</v>
      </c>
      <c r="E323" s="18" t="s">
        <v>545</v>
      </c>
      <c r="F323" s="68" t="s">
        <v>823</v>
      </c>
      <c r="G323" s="64" t="s">
        <v>325</v>
      </c>
      <c r="H323" s="19" t="s">
        <v>1091</v>
      </c>
      <c r="I323" s="19" t="s">
        <v>1091</v>
      </c>
      <c r="J323" s="19" t="s">
        <v>1497</v>
      </c>
      <c r="K323" s="20" t="s">
        <v>1628</v>
      </c>
      <c r="L323" s="21">
        <v>130</v>
      </c>
      <c r="M323" s="21"/>
      <c r="N323" s="26" t="str">
        <f>IFERROR(VLOOKUP(O323,Apoio!A:B,2,0),"")</f>
        <v/>
      </c>
      <c r="O323" s="22">
        <f>IFERROR(VLOOKUP(C323,'[1]TB DIN'!$B:$D,3,0),"AGUARDANDO ANEXO")</f>
        <v>0</v>
      </c>
      <c r="P323" s="22">
        <f>IFERROR(VLOOKUP(C323,'[1]TB DIN INCLUIDOS'!$B:$H,3,0),"AGUARDANDO ANEXO")</f>
        <v>0</v>
      </c>
      <c r="Q323" s="26" cm="1">
        <f t="array" ref="Q323">_xlfn.IFS((P323&gt;N323),(N323*2),(P323&lt;=N323),(P323*2))</f>
        <v>0</v>
      </c>
      <c r="R323" s="22"/>
      <c r="S323" s="26">
        <f>IFERROR(VLOOKUP(T323,Apoio!A:B,2,0),"")</f>
        <v>1</v>
      </c>
      <c r="T323" s="22">
        <f>IFERROR(VLOOKUP(C323,'[1]TB DIN'!$B:$H,4,0),"AGUARDANDO ANEXO")</f>
        <v>25</v>
      </c>
      <c r="U323" s="22">
        <f>IFERROR(VLOOKUP(C323,'[1]TB DIN INCLUIDOS'!$B:$H,4,0),"AGUARDANDO ANEXO")</f>
        <v>0</v>
      </c>
      <c r="V323" s="26" cm="1">
        <f t="array" ref="V323">_xlfn.IFS((U323&gt;S323),(S323*2),(U323&lt;=S323),(U323*2))</f>
        <v>0</v>
      </c>
      <c r="W323" s="22"/>
      <c r="X323" s="26">
        <f>IFERROR(VLOOKUP(Y323,Apoio!A:B,2,0),"")</f>
        <v>2</v>
      </c>
      <c r="Y323" s="22">
        <f>IFERROR(VLOOKUP(C323,'[1]TB DIN'!$B:$H,5,0),"AGUARDANDO ANEXO")</f>
        <v>50</v>
      </c>
      <c r="Z323" s="22">
        <f>IFERROR(VLOOKUP(C323,'[1]TB DIN INCLUIDOS'!$B:$H,5,0),"AGUARDANDO ANEXO")</f>
        <v>2</v>
      </c>
      <c r="AA323" s="26" cm="1">
        <f t="array" ref="AA323">_xlfn.IFS((Z323&gt;X323),(X323*2),(Z323&lt;=X323),(Z323*2))</f>
        <v>4</v>
      </c>
      <c r="AB323" s="22"/>
      <c r="AC323" s="26">
        <f>IFERROR(VLOOKUP(AD323,Apoio!A:B,2,0),"")</f>
        <v>3</v>
      </c>
      <c r="AD323" s="22">
        <f>IFERROR(VLOOKUP(C323,'[1]TB DIN'!$B:$H,6,0),"AGUARDANDO ANEXO")</f>
        <v>52</v>
      </c>
      <c r="AE323" s="22">
        <f>IFERROR(VLOOKUP(C323,'[1]TB DIN INCLUIDOS'!$B:$H,6,0),"AGUARDANDO ANEXO")</f>
        <v>2</v>
      </c>
      <c r="AF323" s="26" cm="1">
        <f t="array" ref="AF323">_xlfn.IFS((AE323&gt;AC323),(AC323*2),(AE323&lt;=AC323),(AE323*2))</f>
        <v>4</v>
      </c>
      <c r="AG323" s="22"/>
      <c r="AH323" s="28">
        <f t="shared" si="28"/>
        <v>127</v>
      </c>
      <c r="AI323" s="28">
        <f t="shared" si="29"/>
        <v>4</v>
      </c>
      <c r="AJ323" s="28">
        <f t="shared" si="30"/>
        <v>8</v>
      </c>
      <c r="AK323" s="28">
        <f t="shared" si="31"/>
        <v>0</v>
      </c>
      <c r="AL323" s="28">
        <f t="shared" si="32"/>
        <v>-5</v>
      </c>
      <c r="AM323" s="23" t="s">
        <v>1707</v>
      </c>
      <c r="AN323" s="37">
        <f>VLOOKUP(C323,'[2]MARÇO-2024'!$B:$M,12,0)</f>
        <v>127</v>
      </c>
      <c r="AO323" s="37">
        <f t="shared" si="33"/>
        <v>0</v>
      </c>
      <c r="AP323" s="37" t="str">
        <f t="shared" si="34"/>
        <v/>
      </c>
    </row>
    <row r="324" spans="1:42" ht="13.5" customHeight="1" x14ac:dyDescent="0.25">
      <c r="A324" s="17">
        <v>10</v>
      </c>
      <c r="B324" s="17">
        <v>50</v>
      </c>
      <c r="C324" s="29">
        <v>10064</v>
      </c>
      <c r="D324" s="38">
        <v>33192782</v>
      </c>
      <c r="E324" s="18" t="s">
        <v>537</v>
      </c>
      <c r="F324" s="68" t="s">
        <v>807</v>
      </c>
      <c r="G324" s="64" t="s">
        <v>309</v>
      </c>
      <c r="H324" s="19" t="s">
        <v>1075</v>
      </c>
      <c r="I324" s="19" t="s">
        <v>1075</v>
      </c>
      <c r="J324" s="19" t="s">
        <v>1481</v>
      </c>
      <c r="K324" s="20" t="s">
        <v>1627</v>
      </c>
      <c r="L324" s="21">
        <v>130</v>
      </c>
      <c r="M324" s="21"/>
      <c r="N324" s="26" t="str">
        <f>IFERROR(VLOOKUP(O324,Apoio!A:B,2,0),"")</f>
        <v/>
      </c>
      <c r="O324" s="22">
        <f>IFERROR(VLOOKUP(C324,'[1]TB DIN'!$B:$D,3,0),"AGUARDANDO ANEXO")</f>
        <v>0</v>
      </c>
      <c r="P324" s="22">
        <f>IFERROR(VLOOKUP(C324,'[1]TB DIN INCLUIDOS'!$B:$H,3,0),"AGUARDANDO ANEXO")</f>
        <v>0</v>
      </c>
      <c r="Q324" s="26" cm="1">
        <f t="array" ref="Q324">_xlfn.IFS((P324&gt;N324),(N324*2),(P324&lt;=N324),(P324*2))</f>
        <v>0</v>
      </c>
      <c r="R324" s="22"/>
      <c r="S324" s="26">
        <f>IFERROR(VLOOKUP(T324,Apoio!A:B,2,0),"")</f>
        <v>2</v>
      </c>
      <c r="T324" s="22">
        <v>31</v>
      </c>
      <c r="U324" s="22">
        <f>IFERROR(VLOOKUP(C324,'[1]TB DIN INCLUIDOS'!$B:$H,4,0),"AGUARDANDO ANEXO")</f>
        <v>0</v>
      </c>
      <c r="V324" s="26" cm="1">
        <f t="array" ref="V324">_xlfn.IFS((U324&gt;S324),(S324*2),(U324&lt;=S324),(U324*2))</f>
        <v>0</v>
      </c>
      <c r="W324" s="22"/>
      <c r="X324" s="26">
        <f>IFERROR(VLOOKUP(Y324,Apoio!A:B,2,0),"")</f>
        <v>2</v>
      </c>
      <c r="Y324" s="22">
        <v>46</v>
      </c>
      <c r="Z324" s="22">
        <f>IFERROR(VLOOKUP(C324,'[1]TB DIN INCLUIDOS'!$B:$H,5,0),"AGUARDANDO ANEXO")</f>
        <v>2</v>
      </c>
      <c r="AA324" s="26" cm="1">
        <f t="array" ref="AA324">_xlfn.IFS((Z324&gt;X324),(X324*2),(Z324&lt;=X324),(Z324*2))</f>
        <v>4</v>
      </c>
      <c r="AB324" s="22"/>
      <c r="AC324" s="26">
        <f>IFERROR(VLOOKUP(AD324,Apoio!A:B,2,0),"")</f>
        <v>2</v>
      </c>
      <c r="AD324" s="22">
        <v>48</v>
      </c>
      <c r="AE324" s="22">
        <f>IFERROR(VLOOKUP(C324,'[1]TB DIN INCLUIDOS'!$B:$H,6,0),"AGUARDANDO ANEXO")</f>
        <v>1</v>
      </c>
      <c r="AF324" s="26" cm="1">
        <f t="array" ref="AF324">_xlfn.IFS((AE324&gt;AC324),(AC324*2),(AE324&lt;=AC324),(AE324*2))</f>
        <v>2</v>
      </c>
      <c r="AG324" s="22"/>
      <c r="AH324" s="28">
        <f t="shared" si="28"/>
        <v>125</v>
      </c>
      <c r="AI324" s="28">
        <f t="shared" si="29"/>
        <v>3</v>
      </c>
      <c r="AJ324" s="28">
        <f t="shared" si="30"/>
        <v>6</v>
      </c>
      <c r="AK324" s="28">
        <f t="shared" si="31"/>
        <v>0</v>
      </c>
      <c r="AL324" s="28">
        <f t="shared" si="32"/>
        <v>-1</v>
      </c>
      <c r="AM324" s="23" t="s">
        <v>1707</v>
      </c>
      <c r="AN324" s="37">
        <f>VLOOKUP(C324,'[2]MARÇO-2024'!$B:$M,12,0)</f>
        <v>127</v>
      </c>
      <c r="AO324" s="37">
        <f t="shared" si="33"/>
        <v>2</v>
      </c>
      <c r="AP324" s="37" t="str">
        <f t="shared" si="34"/>
        <v/>
      </c>
    </row>
    <row r="325" spans="1:42" ht="13.5" customHeight="1" x14ac:dyDescent="0.25">
      <c r="A325" s="17">
        <v>10</v>
      </c>
      <c r="B325" s="17">
        <v>51</v>
      </c>
      <c r="C325" s="29">
        <v>10065</v>
      </c>
      <c r="D325" s="38">
        <v>33192731</v>
      </c>
      <c r="E325" s="18" t="s">
        <v>542</v>
      </c>
      <c r="F325" s="68" t="s">
        <v>830</v>
      </c>
      <c r="G325" s="64" t="s">
        <v>332</v>
      </c>
      <c r="H325" s="19" t="s">
        <v>1098</v>
      </c>
      <c r="I325" s="19" t="s">
        <v>1228</v>
      </c>
      <c r="J325" s="19" t="s">
        <v>1504</v>
      </c>
      <c r="K325" s="20" t="s">
        <v>1629</v>
      </c>
      <c r="L325" s="21">
        <v>173</v>
      </c>
      <c r="M325" s="21"/>
      <c r="N325" s="26">
        <f>IFERROR(VLOOKUP(O325,Apoio!A:B,2,0),"")</f>
        <v>2</v>
      </c>
      <c r="O325" s="22">
        <f>IFERROR(VLOOKUP(C325,'[1]TB DIN'!$B:$D,3,0),"AGUARDANDO ANEXO")</f>
        <v>28</v>
      </c>
      <c r="P325" s="22">
        <f>IFERROR(VLOOKUP(C325,'[1]TB DIN INCLUIDOS'!$B:$H,3,0),"AGUARDANDO ANEXO")</f>
        <v>0</v>
      </c>
      <c r="Q325" s="26" cm="1">
        <f t="array" ref="Q325">_xlfn.IFS((P325&gt;N325),(N325*2),(P325&lt;=N325),(P325*2))</f>
        <v>0</v>
      </c>
      <c r="R325" s="22"/>
      <c r="S325" s="26">
        <f>IFERROR(VLOOKUP(T325,Apoio!A:B,2,0),"")</f>
        <v>2</v>
      </c>
      <c r="T325" s="22">
        <f>IFERROR(VLOOKUP(C325,'[1]TB DIN'!$B:$H,4,0),"AGUARDANDO ANEXO")</f>
        <v>46</v>
      </c>
      <c r="U325" s="22">
        <f>IFERROR(VLOOKUP(C325,'[1]TB DIN INCLUIDOS'!$B:$H,4,0),"AGUARDANDO ANEXO")</f>
        <v>0</v>
      </c>
      <c r="V325" s="26" cm="1">
        <f t="array" ref="V325">_xlfn.IFS((U325&gt;S325),(S325*2),(U325&lt;=S325),(U325*2))</f>
        <v>0</v>
      </c>
      <c r="W325" s="22"/>
      <c r="X325" s="26">
        <f>IFERROR(VLOOKUP(Y325,Apoio!A:B,2,0),"")</f>
        <v>3</v>
      </c>
      <c r="Y325" s="22">
        <v>57</v>
      </c>
      <c r="Z325" s="22">
        <f>IFERROR(VLOOKUP(C325,'[1]TB DIN INCLUIDOS'!$B:$H,5,0),"AGUARDANDO ANEXO")</f>
        <v>0</v>
      </c>
      <c r="AA325" s="26" cm="1">
        <f t="array" ref="AA325">_xlfn.IFS((Z325&gt;X325),(X325*2),(Z325&lt;=X325),(Z325*2))</f>
        <v>0</v>
      </c>
      <c r="AB325" s="22"/>
      <c r="AC325" s="26">
        <f>IFERROR(VLOOKUP(AD325,Apoio!A:B,2,0),"")</f>
        <v>2</v>
      </c>
      <c r="AD325" s="22">
        <v>42</v>
      </c>
      <c r="AE325" s="22">
        <f>IFERROR(VLOOKUP(C325,'[1]TB DIN INCLUIDOS'!$B:$H,6,0),"AGUARDANDO ANEXO")</f>
        <v>1</v>
      </c>
      <c r="AF325" s="26" cm="1">
        <f t="array" ref="AF325">_xlfn.IFS((AE325&gt;AC325),(AC325*2),(AE325&lt;=AC325),(AE325*2))</f>
        <v>2</v>
      </c>
      <c r="AG325" s="22"/>
      <c r="AH325" s="28">
        <f t="shared" ref="AH325:AH353" si="35">SUM(O325,T325,Y325,AD325)</f>
        <v>173</v>
      </c>
      <c r="AI325" s="28">
        <f t="shared" ref="AI325:AI353" si="36">SUM(P325,U325,Z325,AE325)</f>
        <v>1</v>
      </c>
      <c r="AJ325" s="28">
        <f t="shared" ref="AJ325:AJ353" si="37">SUM(Q325,V325,AA325,AF325)</f>
        <v>2</v>
      </c>
      <c r="AK325" s="28">
        <f t="shared" ref="AK325:AK353" si="38">IF(L325-AH325-Q325-V325-AA325-AF325&gt;0,L325-AH325-Q325-V325-AA325-AF325,0)</f>
        <v>0</v>
      </c>
      <c r="AL325" s="28">
        <f t="shared" ref="AL325:AL353" si="39">IF(L325-O325-Q325-T325-V325-Y325-AA325-AD325-AF325&lt;0,L325-O325-Q325-T325-V325-Y325-AA325-AD325-AF325,0)</f>
        <v>-2</v>
      </c>
      <c r="AM325" s="23" t="s">
        <v>1849</v>
      </c>
      <c r="AN325" s="37">
        <f>VLOOKUP(C325,'[2]MARÇO-2024'!$B:$M,12,0)</f>
        <v>169</v>
      </c>
      <c r="AO325" s="37">
        <f t="shared" ref="AO325:AO353" si="40">AN325-AH325</f>
        <v>-4</v>
      </c>
      <c r="AP325" s="37" t="str">
        <f t="shared" ref="AP325:AP353" si="41">IF(AH325&gt;L325,"Qt de aluno maior que a meta","")</f>
        <v/>
      </c>
    </row>
    <row r="326" spans="1:42" ht="13.5" customHeight="1" x14ac:dyDescent="0.25">
      <c r="A326" s="17">
        <v>10</v>
      </c>
      <c r="B326" s="17">
        <v>52</v>
      </c>
      <c r="C326" s="29">
        <v>10066</v>
      </c>
      <c r="D326" s="38" t="s">
        <v>73</v>
      </c>
      <c r="E326" s="18" t="s">
        <v>536</v>
      </c>
      <c r="F326" s="68" t="s">
        <v>806</v>
      </c>
      <c r="G326" s="64" t="s">
        <v>308</v>
      </c>
      <c r="H326" s="19" t="s">
        <v>1074</v>
      </c>
      <c r="I326" s="19" t="s">
        <v>1074</v>
      </c>
      <c r="J326" s="19" t="s">
        <v>1480</v>
      </c>
      <c r="K326" s="20" t="s">
        <v>1626</v>
      </c>
      <c r="L326" s="21">
        <v>250</v>
      </c>
      <c r="M326" s="21"/>
      <c r="N326" s="26" t="str">
        <f>IFERROR(VLOOKUP(O326,Apoio!A:B,2,0),"")</f>
        <v/>
      </c>
      <c r="O326" s="22">
        <f>IFERROR(VLOOKUP(C326,'[1]TB DIN'!$B:$D,3,0),"AGUARDANDO ANEXO")</f>
        <v>0</v>
      </c>
      <c r="P326" s="22">
        <f>IFERROR(VLOOKUP(C326,'[1]TB DIN INCLUIDOS'!$B:$H,3,0),"AGUARDANDO ANEXO")</f>
        <v>0</v>
      </c>
      <c r="Q326" s="26" cm="1">
        <f t="array" ref="Q326">_xlfn.IFS((P326&gt;N326),(N326*2),(P326&lt;=N326),(P326*2))</f>
        <v>0</v>
      </c>
      <c r="R326" s="22"/>
      <c r="S326" s="26">
        <f>IFERROR(VLOOKUP(T326,Apoio!A:B,2,0),"")</f>
        <v>3</v>
      </c>
      <c r="T326" s="22">
        <v>71</v>
      </c>
      <c r="U326" s="22">
        <f>IFERROR(VLOOKUP(C326,'[1]TB DIN INCLUIDOS'!$B:$H,4,0),"AGUARDANDO ANEXO")</f>
        <v>0</v>
      </c>
      <c r="V326" s="26" cm="1">
        <f t="array" ref="V326">_xlfn.IFS((U326&gt;S326),(S326*2),(U326&lt;=S326),(U326*2))</f>
        <v>0</v>
      </c>
      <c r="W326" s="22"/>
      <c r="X326" s="26">
        <f>IFERROR(VLOOKUP(Y326,Apoio!A:B,2,0),"")</f>
        <v>4</v>
      </c>
      <c r="Y326" s="22">
        <f>IFERROR(VLOOKUP(C326,'[1]TB DIN'!$B:$H,5,0),"AGUARDANDO ANEXO")</f>
        <v>77</v>
      </c>
      <c r="Z326" s="22">
        <f>IFERROR(VLOOKUP(C326,'[1]TB DIN INCLUIDOS'!$B:$H,5,0),"AGUARDANDO ANEXO")</f>
        <v>0</v>
      </c>
      <c r="AA326" s="26" cm="1">
        <f t="array" ref="AA326">_xlfn.IFS((Z326&gt;X326),(X326*2),(Z326&lt;=X326),(Z326*2))</f>
        <v>0</v>
      </c>
      <c r="AB326" s="22"/>
      <c r="AC326" s="26">
        <f>IFERROR(VLOOKUP(AD326,Apoio!A:B,2,0),"")</f>
        <v>5</v>
      </c>
      <c r="AD326" s="22">
        <f>IFERROR(VLOOKUP(C326,'[1]TB DIN'!$B:$H,6,0),"AGUARDANDO ANEXO")</f>
        <v>102</v>
      </c>
      <c r="AE326" s="22">
        <f>IFERROR(VLOOKUP(C326,'[1]TB DIN INCLUIDOS'!$B:$H,6,0),"AGUARDANDO ANEXO")</f>
        <v>0</v>
      </c>
      <c r="AF326" s="26" cm="1">
        <f t="array" ref="AF326">_xlfn.IFS((AE326&gt;AC326),(AC326*2),(AE326&lt;=AC326),(AE326*2))</f>
        <v>0</v>
      </c>
      <c r="AG326" s="22"/>
      <c r="AH326" s="28">
        <f t="shared" si="35"/>
        <v>250</v>
      </c>
      <c r="AI326" s="28">
        <f t="shared" si="36"/>
        <v>0</v>
      </c>
      <c r="AJ326" s="28">
        <f t="shared" si="37"/>
        <v>0</v>
      </c>
      <c r="AK326" s="28">
        <f t="shared" si="38"/>
        <v>0</v>
      </c>
      <c r="AL326" s="28">
        <f t="shared" si="39"/>
        <v>0</v>
      </c>
      <c r="AM326" s="23" t="s">
        <v>1707</v>
      </c>
      <c r="AN326" s="37">
        <f>VLOOKUP(C326,'[2]MARÇO-2024'!$B:$M,12,0)</f>
        <v>251</v>
      </c>
      <c r="AO326" s="37">
        <f t="shared" si="40"/>
        <v>1</v>
      </c>
      <c r="AP326" s="37" t="str">
        <f t="shared" si="41"/>
        <v/>
      </c>
    </row>
    <row r="327" spans="1:42" ht="13.5" customHeight="1" x14ac:dyDescent="0.25">
      <c r="A327" s="17">
        <v>10</v>
      </c>
      <c r="B327" s="17">
        <v>53</v>
      </c>
      <c r="C327" s="29">
        <v>10067</v>
      </c>
      <c r="D327" s="38">
        <v>33192014</v>
      </c>
      <c r="E327" s="18" t="s">
        <v>535</v>
      </c>
      <c r="F327" s="68" t="s">
        <v>805</v>
      </c>
      <c r="G327" s="64" t="s">
        <v>307</v>
      </c>
      <c r="H327" s="19" t="s">
        <v>1073</v>
      </c>
      <c r="I327" s="19" t="s">
        <v>1073</v>
      </c>
      <c r="J327" s="19" t="s">
        <v>1479</v>
      </c>
      <c r="K327" s="20" t="s">
        <v>1626</v>
      </c>
      <c r="L327" s="21">
        <v>124</v>
      </c>
      <c r="M327" s="21"/>
      <c r="N327" s="26" t="str">
        <f>IFERROR(VLOOKUP(O327,Apoio!A:B,2,0),"")</f>
        <v/>
      </c>
      <c r="O327" s="22">
        <f>IFERROR(VLOOKUP(C327,'[1]TB DIN'!$B:$D,3,0),"AGUARDANDO ANEXO")</f>
        <v>0</v>
      </c>
      <c r="P327" s="22">
        <f>IFERROR(VLOOKUP(C327,'[1]TB DIN INCLUIDOS'!$B:$H,3,0),"AGUARDANDO ANEXO")</f>
        <v>0</v>
      </c>
      <c r="Q327" s="26" cm="1">
        <f t="array" ref="Q327">_xlfn.IFS((P327&gt;N327),(N327*2),(P327&lt;=N327),(P327*2))</f>
        <v>0</v>
      </c>
      <c r="R327" s="22"/>
      <c r="S327" s="26">
        <f>IFERROR(VLOOKUP(T327,Apoio!A:B,2,0),"")</f>
        <v>1</v>
      </c>
      <c r="T327" s="22">
        <f>IFERROR(VLOOKUP(C327,'[1]TB DIN'!$B:$H,4,0),"AGUARDANDO ANEXO")</f>
        <v>24</v>
      </c>
      <c r="U327" s="22">
        <f>IFERROR(VLOOKUP(C327,'[1]TB DIN INCLUIDOS'!$B:$H,4,0),"AGUARDANDO ANEXO")</f>
        <v>0</v>
      </c>
      <c r="V327" s="26" cm="1">
        <f t="array" ref="V327">_xlfn.IFS((U327&gt;S327),(S327*2),(U327&lt;=S327),(U327*2))</f>
        <v>0</v>
      </c>
      <c r="W327" s="22"/>
      <c r="X327" s="26">
        <f>IFERROR(VLOOKUP(Y327,Apoio!A:B,2,0),"")</f>
        <v>2</v>
      </c>
      <c r="Y327" s="22">
        <f>IFERROR(VLOOKUP(C327,'[1]TB DIN'!$B:$H,5,0),"AGUARDANDO ANEXO")</f>
        <v>39</v>
      </c>
      <c r="Z327" s="22">
        <f>IFERROR(VLOOKUP(C327,'[1]TB DIN INCLUIDOS'!$B:$H,5,0),"AGUARDANDO ANEXO")</f>
        <v>1</v>
      </c>
      <c r="AA327" s="26" cm="1">
        <f t="array" ref="AA327">_xlfn.IFS((Z327&gt;X327),(X327*2),(Z327&lt;=X327),(Z327*2))</f>
        <v>2</v>
      </c>
      <c r="AB327" s="22"/>
      <c r="AC327" s="26">
        <f>IFERROR(VLOOKUP(AD327,Apoio!A:B,2,0),"")</f>
        <v>3</v>
      </c>
      <c r="AD327" s="22">
        <v>60</v>
      </c>
      <c r="AE327" s="22">
        <f>IFERROR(VLOOKUP(C327,'[1]TB DIN INCLUIDOS'!$B:$H,6,0),"AGUARDANDO ANEXO")</f>
        <v>5</v>
      </c>
      <c r="AF327" s="26" cm="1">
        <f t="array" ref="AF327">_xlfn.IFS((AE327&gt;AC327),(AC327*2),(AE327&lt;=AC327),(AE327*2))</f>
        <v>6</v>
      </c>
      <c r="AG327" s="22"/>
      <c r="AH327" s="28">
        <f t="shared" si="35"/>
        <v>123</v>
      </c>
      <c r="AI327" s="28">
        <f t="shared" si="36"/>
        <v>6</v>
      </c>
      <c r="AJ327" s="28">
        <f t="shared" si="37"/>
        <v>8</v>
      </c>
      <c r="AK327" s="28">
        <f t="shared" si="38"/>
        <v>0</v>
      </c>
      <c r="AL327" s="28">
        <f t="shared" si="39"/>
        <v>-7</v>
      </c>
      <c r="AM327" s="23" t="s">
        <v>1707</v>
      </c>
      <c r="AN327" s="37">
        <f>VLOOKUP(C327,'[2]MARÇO-2024'!$B:$M,12,0)</f>
        <v>126</v>
      </c>
      <c r="AO327" s="37">
        <f t="shared" si="40"/>
        <v>3</v>
      </c>
      <c r="AP327" s="37" t="str">
        <f t="shared" si="41"/>
        <v/>
      </c>
    </row>
    <row r="328" spans="1:42" ht="13.5" customHeight="1" x14ac:dyDescent="0.25">
      <c r="A328" s="17">
        <v>10</v>
      </c>
      <c r="B328" s="17">
        <v>54</v>
      </c>
      <c r="C328" s="29">
        <v>10068</v>
      </c>
      <c r="D328" s="43">
        <v>33192804</v>
      </c>
      <c r="E328" s="18" t="s">
        <v>515</v>
      </c>
      <c r="F328" s="68" t="s">
        <v>822</v>
      </c>
      <c r="G328" s="64" t="s">
        <v>324</v>
      </c>
      <c r="H328" s="19" t="s">
        <v>1090</v>
      </c>
      <c r="I328" s="19" t="s">
        <v>1229</v>
      </c>
      <c r="J328" s="19" t="s">
        <v>1496</v>
      </c>
      <c r="K328" s="20" t="s">
        <v>1628</v>
      </c>
      <c r="L328" s="21">
        <v>120</v>
      </c>
      <c r="M328" s="21"/>
      <c r="N328" s="26" t="str">
        <f>IFERROR(VLOOKUP(O328,Apoio!A:B,2,0),"")</f>
        <v/>
      </c>
      <c r="O328" s="22">
        <f>IFERROR(VLOOKUP(C328,'[1]TB DIN'!$B:$D,3,0),"AGUARDANDO ANEXO")</f>
        <v>0</v>
      </c>
      <c r="P328" s="22">
        <f>IFERROR(VLOOKUP(C328,'[1]TB DIN INCLUIDOS'!$B:$H,3,0),"AGUARDANDO ANEXO")</f>
        <v>0</v>
      </c>
      <c r="Q328" s="26" cm="1">
        <f t="array" ref="Q328">_xlfn.IFS((P328&gt;N328),(N328*2),(P328&lt;=N328),(P328*2))</f>
        <v>0</v>
      </c>
      <c r="R328" s="22"/>
      <c r="S328" s="26">
        <f>IFERROR(VLOOKUP(T328,Apoio!A:B,2,0),"")</f>
        <v>2</v>
      </c>
      <c r="T328" s="22">
        <v>26</v>
      </c>
      <c r="U328" s="22">
        <f>IFERROR(VLOOKUP(C328,'[1]TB DIN INCLUIDOS'!$B:$H,4,0),"AGUARDANDO ANEXO")</f>
        <v>0</v>
      </c>
      <c r="V328" s="26" cm="1">
        <f t="array" ref="V328">_xlfn.IFS((U328&gt;S328),(S328*2),(U328&lt;=S328),(U328*2))</f>
        <v>0</v>
      </c>
      <c r="W328" s="22"/>
      <c r="X328" s="26">
        <f>IFERROR(VLOOKUP(Y328,Apoio!A:B,2,0),"")</f>
        <v>2</v>
      </c>
      <c r="Y328" s="22">
        <v>44</v>
      </c>
      <c r="Z328" s="22">
        <f>IFERROR(VLOOKUP(C328,'[1]TB DIN INCLUIDOS'!$B:$H,5,0),"AGUARDANDO ANEXO")</f>
        <v>0</v>
      </c>
      <c r="AA328" s="26" cm="1">
        <f t="array" ref="AA328">_xlfn.IFS((Z328&gt;X328),(X328*2),(Z328&lt;=X328),(Z328*2))</f>
        <v>0</v>
      </c>
      <c r="AB328" s="22"/>
      <c r="AC328" s="26">
        <f>IFERROR(VLOOKUP(AD328,Apoio!A:B,2,0),"")</f>
        <v>2</v>
      </c>
      <c r="AD328" s="22">
        <v>50</v>
      </c>
      <c r="AE328" s="22">
        <f>IFERROR(VLOOKUP(C328,'[1]TB DIN INCLUIDOS'!$B:$H,6,0),"AGUARDANDO ANEXO")</f>
        <v>1</v>
      </c>
      <c r="AF328" s="26" cm="1">
        <f t="array" ref="AF328">_xlfn.IFS((AE328&gt;AC328),(AC328*2),(AE328&lt;=AC328),(AE328*2))</f>
        <v>2</v>
      </c>
      <c r="AG328" s="22"/>
      <c r="AH328" s="28">
        <f t="shared" si="35"/>
        <v>120</v>
      </c>
      <c r="AI328" s="28">
        <f t="shared" si="36"/>
        <v>1</v>
      </c>
      <c r="AJ328" s="28">
        <f t="shared" si="37"/>
        <v>2</v>
      </c>
      <c r="AK328" s="28">
        <f t="shared" si="38"/>
        <v>0</v>
      </c>
      <c r="AL328" s="28">
        <f t="shared" si="39"/>
        <v>-2</v>
      </c>
      <c r="AM328" s="23" t="s">
        <v>1834</v>
      </c>
      <c r="AN328" s="37">
        <f>VLOOKUP(C328,'[2]MARÇO-2024'!$B:$M,12,0)</f>
        <v>118</v>
      </c>
      <c r="AO328" s="37">
        <f t="shared" si="40"/>
        <v>-2</v>
      </c>
      <c r="AP328" s="37" t="str">
        <f t="shared" si="41"/>
        <v/>
      </c>
    </row>
    <row r="329" spans="1:42" ht="13.5" customHeight="1" x14ac:dyDescent="0.25">
      <c r="A329" s="17">
        <v>10</v>
      </c>
      <c r="B329" s="17">
        <v>55</v>
      </c>
      <c r="C329" s="29">
        <v>10069</v>
      </c>
      <c r="D329" s="38">
        <v>33193169</v>
      </c>
      <c r="E329" s="18" t="s">
        <v>546</v>
      </c>
      <c r="F329" s="68" t="s">
        <v>825</v>
      </c>
      <c r="G329" s="64" t="s">
        <v>327</v>
      </c>
      <c r="H329" s="19" t="s">
        <v>1093</v>
      </c>
      <c r="I329" s="19" t="s">
        <v>1092</v>
      </c>
      <c r="J329" s="19" t="s">
        <v>1499</v>
      </c>
      <c r="K329" s="20" t="s">
        <v>1627</v>
      </c>
      <c r="L329" s="21">
        <v>75</v>
      </c>
      <c r="M329" s="21"/>
      <c r="N329" s="26" t="str">
        <f>IFERROR(VLOOKUP(O329,Apoio!A:B,2,0),"")</f>
        <v/>
      </c>
      <c r="O329" s="22">
        <f>IFERROR(VLOOKUP(C329,'[1]TB DIN'!$B:$D,3,0),"AGUARDANDO ANEXO")</f>
        <v>0</v>
      </c>
      <c r="P329" s="22">
        <f>IFERROR(VLOOKUP(C329,'[1]TB DIN INCLUIDOS'!$B:$H,3,0),"AGUARDANDO ANEXO")</f>
        <v>0</v>
      </c>
      <c r="Q329" s="26" cm="1">
        <f t="array" ref="Q329">_xlfn.IFS((P329&gt;N329),(N329*2),(P329&lt;=N329),(P329*2))</f>
        <v>0</v>
      </c>
      <c r="R329" s="22"/>
      <c r="S329" s="26">
        <f>IFERROR(VLOOKUP(T329,Apoio!A:B,2,0),"")</f>
        <v>1</v>
      </c>
      <c r="T329" s="22">
        <f>IFERROR(VLOOKUP(C329,'[1]TB DIN'!$B:$H,4,0),"AGUARDANDO ANEXO")</f>
        <v>16</v>
      </c>
      <c r="U329" s="22">
        <f>IFERROR(VLOOKUP(C329,'[1]TB DIN INCLUIDOS'!$B:$H,4,0),"AGUARDANDO ANEXO")</f>
        <v>0</v>
      </c>
      <c r="V329" s="26" cm="1">
        <f t="array" ref="V329">_xlfn.IFS((U329&gt;S329),(S329*2),(U329&lt;=S329),(U329*2))</f>
        <v>0</v>
      </c>
      <c r="W329" s="22"/>
      <c r="X329" s="26">
        <f>IFERROR(VLOOKUP(Y329,Apoio!A:B,2,0),"")</f>
        <v>2</v>
      </c>
      <c r="Y329" s="22">
        <v>38</v>
      </c>
      <c r="Z329" s="22">
        <f>IFERROR(VLOOKUP(C329,'[1]TB DIN INCLUIDOS'!$B:$H,5,0),"AGUARDANDO ANEXO")</f>
        <v>1</v>
      </c>
      <c r="AA329" s="26" cm="1">
        <f t="array" ref="AA329">_xlfn.IFS((Z329&gt;X329),(X329*2),(Z329&lt;=X329),(Z329*2))</f>
        <v>2</v>
      </c>
      <c r="AB329" s="22"/>
      <c r="AC329" s="26">
        <f>IFERROR(VLOOKUP(AD329,Apoio!A:B,2,0),"")</f>
        <v>1</v>
      </c>
      <c r="AD329" s="22">
        <f>IFERROR(VLOOKUP(C329,'[1]TB DIN'!$B:$H,6,0),"AGUARDANDO ANEXO")</f>
        <v>20</v>
      </c>
      <c r="AE329" s="22">
        <f>IFERROR(VLOOKUP(C329,'[1]TB DIN INCLUIDOS'!$B:$H,6,0),"AGUARDANDO ANEXO")</f>
        <v>0</v>
      </c>
      <c r="AF329" s="26" cm="1">
        <f t="array" ref="AF329">_xlfn.IFS((AE329&gt;AC329),(AC329*2),(AE329&lt;=AC329),(AE329*2))</f>
        <v>0</v>
      </c>
      <c r="AG329" s="22"/>
      <c r="AH329" s="28">
        <f t="shared" si="35"/>
        <v>74</v>
      </c>
      <c r="AI329" s="28">
        <f t="shared" si="36"/>
        <v>1</v>
      </c>
      <c r="AJ329" s="28">
        <f t="shared" si="37"/>
        <v>2</v>
      </c>
      <c r="AK329" s="28">
        <f t="shared" si="38"/>
        <v>0</v>
      </c>
      <c r="AL329" s="28">
        <f t="shared" si="39"/>
        <v>-1</v>
      </c>
      <c r="AM329" s="23" t="s">
        <v>1707</v>
      </c>
      <c r="AN329" s="37">
        <f>VLOOKUP(C329,'[2]MARÇO-2024'!$B:$M,12,0)</f>
        <v>75</v>
      </c>
      <c r="AO329" s="37">
        <f t="shared" si="40"/>
        <v>1</v>
      </c>
      <c r="AP329" s="37" t="str">
        <f t="shared" si="41"/>
        <v/>
      </c>
    </row>
    <row r="330" spans="1:42" ht="13.5" customHeight="1" x14ac:dyDescent="0.25">
      <c r="A330" s="17">
        <v>10</v>
      </c>
      <c r="B330" s="17">
        <v>56</v>
      </c>
      <c r="C330" s="29">
        <v>10070</v>
      </c>
      <c r="D330" s="38">
        <v>33192960</v>
      </c>
      <c r="E330" s="18" t="s">
        <v>562</v>
      </c>
      <c r="F330" s="68" t="s">
        <v>844</v>
      </c>
      <c r="G330" s="64" t="s">
        <v>346</v>
      </c>
      <c r="H330" s="19" t="s">
        <v>1112</v>
      </c>
      <c r="I330" s="19" t="s">
        <v>1234</v>
      </c>
      <c r="J330" s="19" t="s">
        <v>1518</v>
      </c>
      <c r="K330" s="20" t="s">
        <v>1626</v>
      </c>
      <c r="L330" s="21">
        <v>49</v>
      </c>
      <c r="M330" s="21"/>
      <c r="N330" s="26" t="str">
        <f>IFERROR(VLOOKUP(O330,Apoio!A:B,2,0),"")</f>
        <v/>
      </c>
      <c r="O330" s="22">
        <f>IFERROR(VLOOKUP(C330,'[1]TB DIN'!$B:$D,3,0),"AGUARDANDO ANEXO")</f>
        <v>0</v>
      </c>
      <c r="P330" s="22">
        <f>IFERROR(VLOOKUP(C330,'[1]TB DIN INCLUIDOS'!$B:$H,3,0),"AGUARDANDO ANEXO")</f>
        <v>0</v>
      </c>
      <c r="Q330" s="26" cm="1">
        <f t="array" ref="Q330">_xlfn.IFS((P330&gt;N330),(N330*2),(P330&lt;=N330),(P330*2))</f>
        <v>0</v>
      </c>
      <c r="R330" s="22"/>
      <c r="S330" s="26">
        <f>IFERROR(VLOOKUP(T330,Apoio!A:B,2,0),"")</f>
        <v>1</v>
      </c>
      <c r="T330" s="22">
        <f>IFERROR(VLOOKUP(C330,'[1]TB DIN'!$B:$H,4,0),"AGUARDANDO ANEXO")</f>
        <v>10</v>
      </c>
      <c r="U330" s="22">
        <f>IFERROR(VLOOKUP(C330,'[1]TB DIN INCLUIDOS'!$B:$H,4,0),"AGUARDANDO ANEXO")</f>
        <v>0</v>
      </c>
      <c r="V330" s="26" cm="1">
        <f t="array" ref="V330">_xlfn.IFS((U330&gt;S330),(S330*2),(U330&lt;=S330),(U330*2))</f>
        <v>0</v>
      </c>
      <c r="W330" s="22"/>
      <c r="X330" s="26">
        <f>IFERROR(VLOOKUP(Y330,Apoio!A:B,2,0),"")</f>
        <v>1</v>
      </c>
      <c r="Y330" s="22">
        <v>17</v>
      </c>
      <c r="Z330" s="22">
        <f>IFERROR(VLOOKUP(C330,'[1]TB DIN INCLUIDOS'!$B:$H,5,0),"AGUARDANDO ANEXO")</f>
        <v>0</v>
      </c>
      <c r="AA330" s="26" cm="1">
        <f t="array" ref="AA330">_xlfn.IFS((Z330&gt;X330),(X330*2),(Z330&lt;=X330),(Z330*2))</f>
        <v>0</v>
      </c>
      <c r="AB330" s="22"/>
      <c r="AC330" s="26">
        <f>IFERROR(VLOOKUP(AD330,Apoio!A:B,2,0),"")</f>
        <v>1</v>
      </c>
      <c r="AD330" s="22">
        <v>13</v>
      </c>
      <c r="AE330" s="22">
        <f>IFERROR(VLOOKUP(C330,'[1]TB DIN INCLUIDOS'!$B:$H,6,0),"AGUARDANDO ANEXO")</f>
        <v>0</v>
      </c>
      <c r="AF330" s="26" cm="1">
        <f t="array" ref="AF330">_xlfn.IFS((AE330&gt;AC330),(AC330*2),(AE330&lt;=AC330),(AE330*2))</f>
        <v>0</v>
      </c>
      <c r="AG330" s="22"/>
      <c r="AH330" s="28">
        <f t="shared" si="35"/>
        <v>40</v>
      </c>
      <c r="AI330" s="28">
        <f t="shared" si="36"/>
        <v>0</v>
      </c>
      <c r="AJ330" s="28">
        <f t="shared" si="37"/>
        <v>0</v>
      </c>
      <c r="AK330" s="28">
        <f t="shared" si="38"/>
        <v>9</v>
      </c>
      <c r="AL330" s="28">
        <f t="shared" si="39"/>
        <v>0</v>
      </c>
      <c r="AM330" s="23" t="s">
        <v>1849</v>
      </c>
      <c r="AN330" s="37">
        <f>VLOOKUP(C330,'[2]MARÇO-2024'!$B:$M,12,0)</f>
        <v>47</v>
      </c>
      <c r="AO330" s="37">
        <f t="shared" si="40"/>
        <v>7</v>
      </c>
      <c r="AP330" s="37" t="str">
        <f t="shared" si="41"/>
        <v/>
      </c>
    </row>
    <row r="331" spans="1:42" ht="13.5" customHeight="1" x14ac:dyDescent="0.25">
      <c r="A331" s="17">
        <v>10</v>
      </c>
      <c r="B331" s="17">
        <v>57</v>
      </c>
      <c r="C331" s="29">
        <v>10071</v>
      </c>
      <c r="D331" s="38">
        <v>33193045</v>
      </c>
      <c r="E331" s="18" t="s">
        <v>536</v>
      </c>
      <c r="F331" s="68" t="s">
        <v>847</v>
      </c>
      <c r="G331" s="65" t="s">
        <v>349</v>
      </c>
      <c r="H331" s="19" t="s">
        <v>1115</v>
      </c>
      <c r="I331" s="19" t="s">
        <v>1237</v>
      </c>
      <c r="J331" s="19" t="s">
        <v>1521</v>
      </c>
      <c r="K331" s="20" t="s">
        <v>1630</v>
      </c>
      <c r="L331" s="21">
        <v>250</v>
      </c>
      <c r="M331" s="21"/>
      <c r="N331" s="26" t="str">
        <f>IFERROR(VLOOKUP(O331,Apoio!A:B,2,0),"")</f>
        <v/>
      </c>
      <c r="O331" s="22">
        <f>IFERROR(VLOOKUP(C331,'[1]TB DIN'!$B:$D,3,0),"AGUARDANDO ANEXO")</f>
        <v>0</v>
      </c>
      <c r="P331" s="22">
        <f>IFERROR(VLOOKUP(C331,'[1]TB DIN INCLUIDOS'!$B:$H,3,0),"AGUARDANDO ANEXO")</f>
        <v>0</v>
      </c>
      <c r="Q331" s="26" cm="1">
        <f t="array" ref="Q331">_xlfn.IFS((P331&gt;N331),(N331*2),(P331&lt;=N331),(P331*2))</f>
        <v>0</v>
      </c>
      <c r="R331" s="22"/>
      <c r="S331" s="26">
        <f>IFERROR(VLOOKUP(T331,Apoio!A:B,2,0),"")</f>
        <v>2</v>
      </c>
      <c r="T331" s="22">
        <f>IFERROR(VLOOKUP(C331,'[1]TB DIN'!$B:$H,4,0),"AGUARDANDO ANEXO")</f>
        <v>49</v>
      </c>
      <c r="U331" s="22">
        <f>IFERROR(VLOOKUP(C331,'[1]TB DIN INCLUIDOS'!$B:$H,4,0),"AGUARDANDO ANEXO")</f>
        <v>0</v>
      </c>
      <c r="V331" s="26" cm="1">
        <f t="array" ref="V331">_xlfn.IFS((U331&gt;S331),(S331*2),(U331&lt;=S331),(U331*2))</f>
        <v>0</v>
      </c>
      <c r="W331" s="22"/>
      <c r="X331" s="26">
        <f>IFERROR(VLOOKUP(Y331,Apoio!A:B,2,0),"")</f>
        <v>4</v>
      </c>
      <c r="Y331" s="22">
        <v>84</v>
      </c>
      <c r="Z331" s="22">
        <f>IFERROR(VLOOKUP(C331,'[1]TB DIN INCLUIDOS'!$B:$H,5,0),"AGUARDANDO ANEXO")</f>
        <v>0</v>
      </c>
      <c r="AA331" s="26" cm="1">
        <f t="array" ref="AA331">_xlfn.IFS((Z331&gt;X331),(X331*2),(Z331&lt;=X331),(Z331*2))</f>
        <v>0</v>
      </c>
      <c r="AB331" s="22"/>
      <c r="AC331" s="26">
        <f>IFERROR(VLOOKUP(AD331,Apoio!A:B,2,0),"")</f>
        <v>5</v>
      </c>
      <c r="AD331" s="22">
        <v>105</v>
      </c>
      <c r="AE331" s="22">
        <f>IFERROR(VLOOKUP(C331,'[1]TB DIN INCLUIDOS'!$B:$H,6,0),"AGUARDANDO ANEXO")</f>
        <v>0</v>
      </c>
      <c r="AF331" s="26" cm="1">
        <f t="array" ref="AF331">_xlfn.IFS((AE331&gt;AC331),(AC331*2),(AE331&lt;=AC331),(AE331*2))</f>
        <v>0</v>
      </c>
      <c r="AG331" s="22"/>
      <c r="AH331" s="28">
        <f t="shared" si="35"/>
        <v>238</v>
      </c>
      <c r="AI331" s="28">
        <f t="shared" si="36"/>
        <v>0</v>
      </c>
      <c r="AJ331" s="28">
        <f t="shared" si="37"/>
        <v>0</v>
      </c>
      <c r="AK331" s="28">
        <f t="shared" si="38"/>
        <v>12</v>
      </c>
      <c r="AL331" s="28">
        <f t="shared" si="39"/>
        <v>0</v>
      </c>
      <c r="AM331" s="23" t="s">
        <v>1707</v>
      </c>
      <c r="AN331" s="37">
        <f>VLOOKUP(C331,'[2]MARÇO-2024'!$B:$M,12,0)</f>
        <v>250</v>
      </c>
      <c r="AO331" s="37">
        <f t="shared" si="40"/>
        <v>12</v>
      </c>
      <c r="AP331" s="37" t="str">
        <f t="shared" si="41"/>
        <v/>
      </c>
    </row>
    <row r="332" spans="1:42" ht="13.5" customHeight="1" x14ac:dyDescent="0.25">
      <c r="A332" s="17">
        <v>10</v>
      </c>
      <c r="B332" s="17">
        <v>58</v>
      </c>
      <c r="C332" s="29">
        <v>10072</v>
      </c>
      <c r="D332" s="38">
        <v>33192987</v>
      </c>
      <c r="E332" s="18" t="s">
        <v>538</v>
      </c>
      <c r="F332" s="68" t="s">
        <v>848</v>
      </c>
      <c r="G332" s="64" t="s">
        <v>350</v>
      </c>
      <c r="H332" s="19" t="s">
        <v>1116</v>
      </c>
      <c r="I332" s="19" t="s">
        <v>1238</v>
      </c>
      <c r="J332" s="19" t="s">
        <v>1522</v>
      </c>
      <c r="K332" s="20" t="s">
        <v>1630</v>
      </c>
      <c r="L332" s="21">
        <v>125</v>
      </c>
      <c r="M332" s="21"/>
      <c r="N332" s="26" t="str">
        <f>IFERROR(VLOOKUP(O332,Apoio!A:B,2,0),"")</f>
        <v/>
      </c>
      <c r="O332" s="22">
        <f>IFERROR(VLOOKUP(C332,'[1]TB DIN'!$B:$D,3,0),"AGUARDANDO ANEXO")</f>
        <v>0</v>
      </c>
      <c r="P332" s="22">
        <f>IFERROR(VLOOKUP(C332,'[1]TB DIN INCLUIDOS'!$B:$H,3,0),"AGUARDANDO ANEXO")</f>
        <v>0</v>
      </c>
      <c r="Q332" s="26" cm="1">
        <f t="array" ref="Q332">_xlfn.IFS((P332&gt;N332),(N332*2),(P332&lt;=N332),(P332*2))</f>
        <v>0</v>
      </c>
      <c r="R332" s="22"/>
      <c r="S332" s="26">
        <f>IFERROR(VLOOKUP(T332,Apoio!A:B,2,0),"")</f>
        <v>2</v>
      </c>
      <c r="T332" s="22">
        <f>IFERROR(VLOOKUP(C332,'[1]TB DIN'!$B:$H,4,0),"AGUARDANDO ANEXO")</f>
        <v>48</v>
      </c>
      <c r="U332" s="22">
        <f>IFERROR(VLOOKUP(C332,'[1]TB DIN INCLUIDOS'!$B:$H,4,0),"AGUARDANDO ANEXO")</f>
        <v>0</v>
      </c>
      <c r="V332" s="26" cm="1">
        <f t="array" ref="V332">_xlfn.IFS((U332&gt;S332),(S332*2),(U332&lt;=S332),(U332*2))</f>
        <v>0</v>
      </c>
      <c r="W332" s="22"/>
      <c r="X332" s="26">
        <f>IFERROR(VLOOKUP(Y332,Apoio!A:B,2,0),"")</f>
        <v>2</v>
      </c>
      <c r="Y332" s="22">
        <f>IFERROR(VLOOKUP(C332,'[1]TB DIN'!$B:$H,5,0),"AGUARDANDO ANEXO")</f>
        <v>45</v>
      </c>
      <c r="Z332" s="22">
        <f>IFERROR(VLOOKUP(C332,'[1]TB DIN INCLUIDOS'!$B:$H,5,0),"AGUARDANDO ANEXO")</f>
        <v>0</v>
      </c>
      <c r="AA332" s="26" cm="1">
        <f t="array" ref="AA332">_xlfn.IFS((Z332&gt;X332),(X332*2),(Z332&lt;=X332),(Z332*2))</f>
        <v>0</v>
      </c>
      <c r="AB332" s="22"/>
      <c r="AC332" s="26">
        <f>IFERROR(VLOOKUP(AD332,Apoio!A:B,2,0),"")</f>
        <v>2</v>
      </c>
      <c r="AD332" s="22">
        <f>IFERROR(VLOOKUP(C332,'[1]TB DIN'!$B:$H,6,0),"AGUARDANDO ANEXO")</f>
        <v>32</v>
      </c>
      <c r="AE332" s="22">
        <f>IFERROR(VLOOKUP(C332,'[1]TB DIN INCLUIDOS'!$B:$H,6,0),"AGUARDANDO ANEXO")</f>
        <v>0</v>
      </c>
      <c r="AF332" s="26" cm="1">
        <f t="array" ref="AF332">_xlfn.IFS((AE332&gt;AC332),(AC332*2),(AE332&lt;=AC332),(AE332*2))</f>
        <v>0</v>
      </c>
      <c r="AG332" s="22"/>
      <c r="AH332" s="28">
        <f t="shared" si="35"/>
        <v>125</v>
      </c>
      <c r="AI332" s="28">
        <f t="shared" si="36"/>
        <v>0</v>
      </c>
      <c r="AJ332" s="28">
        <f t="shared" si="37"/>
        <v>0</v>
      </c>
      <c r="AK332" s="28">
        <f t="shared" si="38"/>
        <v>0</v>
      </c>
      <c r="AL332" s="28">
        <f t="shared" si="39"/>
        <v>0</v>
      </c>
      <c r="AM332" s="23" t="s">
        <v>1707</v>
      </c>
      <c r="AN332" s="37">
        <f>VLOOKUP(C332,'[2]MARÇO-2024'!$B:$M,12,0)</f>
        <v>125</v>
      </c>
      <c r="AO332" s="37">
        <f t="shared" si="40"/>
        <v>0</v>
      </c>
      <c r="AP332" s="37" t="str">
        <f t="shared" si="41"/>
        <v/>
      </c>
    </row>
    <row r="333" spans="1:42" ht="13.5" customHeight="1" x14ac:dyDescent="0.25">
      <c r="A333" s="17">
        <v>10</v>
      </c>
      <c r="B333" s="17">
        <v>59</v>
      </c>
      <c r="C333" s="29">
        <v>10073</v>
      </c>
      <c r="D333" s="38">
        <v>33196060</v>
      </c>
      <c r="E333" s="18" t="s">
        <v>565</v>
      </c>
      <c r="F333" s="68" t="s">
        <v>850</v>
      </c>
      <c r="G333" s="64" t="s">
        <v>352</v>
      </c>
      <c r="H333" s="19" t="s">
        <v>58</v>
      </c>
      <c r="I333" s="19" t="s">
        <v>59</v>
      </c>
      <c r="J333" s="19" t="s">
        <v>1524</v>
      </c>
      <c r="K333" s="20" t="s">
        <v>1628</v>
      </c>
      <c r="L333" s="21">
        <v>152</v>
      </c>
      <c r="M333" s="21"/>
      <c r="N333" s="26" t="str">
        <f>IFERROR(VLOOKUP(O333,Apoio!A:B,2,0),"")</f>
        <v/>
      </c>
      <c r="O333" s="22">
        <f>IFERROR(VLOOKUP(C333,'[1]TB DIN'!$B:$D,3,0),"AGUARDANDO ANEXO")</f>
        <v>0</v>
      </c>
      <c r="P333" s="22">
        <f>IFERROR(VLOOKUP(C333,'[1]TB DIN INCLUIDOS'!$B:$H,3,0),"AGUARDANDO ANEXO")</f>
        <v>0</v>
      </c>
      <c r="Q333" s="26" cm="1">
        <f t="array" ref="Q333">_xlfn.IFS((P333&gt;N333),(N333*2),(P333&lt;=N333),(P333*2))</f>
        <v>0</v>
      </c>
      <c r="R333" s="22"/>
      <c r="S333" s="26">
        <f>IFERROR(VLOOKUP(T333,Apoio!A:B,2,0),"")</f>
        <v>1</v>
      </c>
      <c r="T333" s="22">
        <f>IFERROR(VLOOKUP(C333,'[1]TB DIN'!$B:$H,4,0),"AGUARDANDO ANEXO")</f>
        <v>18</v>
      </c>
      <c r="U333" s="22">
        <f>IFERROR(VLOOKUP(C333,'[1]TB DIN INCLUIDOS'!$B:$H,4,0),"AGUARDANDO ANEXO")</f>
        <v>0</v>
      </c>
      <c r="V333" s="26" cm="1">
        <f t="array" ref="V333">_xlfn.IFS((U333&gt;S333),(S333*2),(U333&lt;=S333),(U333*2))</f>
        <v>0</v>
      </c>
      <c r="W333" s="22"/>
      <c r="X333" s="26">
        <f>IFERROR(VLOOKUP(Y333,Apoio!A:B,2,0),"")</f>
        <v>2</v>
      </c>
      <c r="Y333" s="22">
        <f>IFERROR(VLOOKUP(C333,'[1]TB DIN'!$B:$H,5,0),"AGUARDANDO ANEXO")</f>
        <v>50</v>
      </c>
      <c r="Z333" s="22">
        <f>IFERROR(VLOOKUP(C333,'[1]TB DIN INCLUIDOS'!$B:$H,5,0),"AGUARDANDO ANEXO")</f>
        <v>0</v>
      </c>
      <c r="AA333" s="26" cm="1">
        <f t="array" ref="AA333">_xlfn.IFS((Z333&gt;X333),(X333*2),(Z333&lt;=X333),(Z333*2))</f>
        <v>0</v>
      </c>
      <c r="AB333" s="22"/>
      <c r="AC333" s="26">
        <f>IFERROR(VLOOKUP(AD333,Apoio!A:B,2,0),"")</f>
        <v>4</v>
      </c>
      <c r="AD333" s="22">
        <v>84</v>
      </c>
      <c r="AE333" s="22">
        <f>IFERROR(VLOOKUP(C333,'[1]TB DIN INCLUIDOS'!$B:$H,6,0),"AGUARDANDO ANEXO")</f>
        <v>0</v>
      </c>
      <c r="AF333" s="26" cm="1">
        <f t="array" ref="AF333">_xlfn.IFS((AE333&gt;AC333),(AC333*2),(AE333&lt;=AC333),(AE333*2))</f>
        <v>0</v>
      </c>
      <c r="AG333" s="22"/>
      <c r="AH333" s="28">
        <f t="shared" si="35"/>
        <v>152</v>
      </c>
      <c r="AI333" s="28">
        <f t="shared" si="36"/>
        <v>0</v>
      </c>
      <c r="AJ333" s="28">
        <f t="shared" si="37"/>
        <v>0</v>
      </c>
      <c r="AK333" s="28">
        <f t="shared" si="38"/>
        <v>0</v>
      </c>
      <c r="AL333" s="28">
        <f t="shared" si="39"/>
        <v>0</v>
      </c>
      <c r="AM333" s="23" t="s">
        <v>1707</v>
      </c>
      <c r="AN333" s="37">
        <f>VLOOKUP(C333,'[2]MARÇO-2024'!$B:$M,12,0)</f>
        <v>152</v>
      </c>
      <c r="AO333" s="37">
        <f t="shared" si="40"/>
        <v>0</v>
      </c>
      <c r="AP333" s="37" t="str">
        <f t="shared" si="41"/>
        <v/>
      </c>
    </row>
    <row r="334" spans="1:42" ht="13.5" customHeight="1" x14ac:dyDescent="0.25">
      <c r="A334" s="17">
        <v>10</v>
      </c>
      <c r="B334" s="17">
        <v>60</v>
      </c>
      <c r="C334" s="29">
        <v>10074</v>
      </c>
      <c r="D334" s="38">
        <v>33194823</v>
      </c>
      <c r="E334" s="18" t="s">
        <v>497</v>
      </c>
      <c r="F334" s="68" t="s">
        <v>849</v>
      </c>
      <c r="G334" s="64" t="s">
        <v>1867</v>
      </c>
      <c r="H334" s="19" t="s">
        <v>869</v>
      </c>
      <c r="I334" s="19" t="s">
        <v>47</v>
      </c>
      <c r="J334" s="19" t="s">
        <v>1523</v>
      </c>
      <c r="K334" s="20" t="s">
        <v>1627</v>
      </c>
      <c r="L334" s="21">
        <v>120</v>
      </c>
      <c r="M334" s="21"/>
      <c r="N334" s="26" t="str">
        <f>IFERROR(VLOOKUP(O334,Apoio!A:B,2,0),"")</f>
        <v/>
      </c>
      <c r="O334" s="22">
        <f>IFERROR(VLOOKUP(C334,'[1]TB DIN'!$B:$D,3,0),"AGUARDANDO ANEXO")</f>
        <v>0</v>
      </c>
      <c r="P334" s="22">
        <f>IFERROR(VLOOKUP(C334,'[1]TB DIN INCLUIDOS'!$B:$H,3,0),"AGUARDANDO ANEXO")</f>
        <v>0</v>
      </c>
      <c r="Q334" s="26" cm="1">
        <f t="array" ref="Q334">_xlfn.IFS((P334&gt;N334),(N334*2),(P334&lt;=N334),(P334*2))</f>
        <v>0</v>
      </c>
      <c r="R334" s="22"/>
      <c r="S334" s="26">
        <f>IFERROR(VLOOKUP(T334,Apoio!A:B,2,0),"")</f>
        <v>1</v>
      </c>
      <c r="T334" s="22">
        <f>IFERROR(VLOOKUP(C334,'[1]TB DIN'!$B:$H,4,0),"AGUARDANDO ANEXO")</f>
        <v>20</v>
      </c>
      <c r="U334" s="22">
        <f>IFERROR(VLOOKUP(C334,'[1]TB DIN INCLUIDOS'!$B:$H,4,0),"AGUARDANDO ANEXO")</f>
        <v>0</v>
      </c>
      <c r="V334" s="26" cm="1">
        <f t="array" ref="V334">_xlfn.IFS((U334&gt;S334),(S334*2),(U334&lt;=S334),(U334*2))</f>
        <v>0</v>
      </c>
      <c r="W334" s="22"/>
      <c r="X334" s="26">
        <f>IFERROR(VLOOKUP(Y334,Apoio!A:B,2,0),"")</f>
        <v>2</v>
      </c>
      <c r="Y334" s="22">
        <f>IFERROR(VLOOKUP(C334,'[1]TB DIN'!$B:$H,5,0),"AGUARDANDO ANEXO")</f>
        <v>38</v>
      </c>
      <c r="Z334" s="22">
        <f>IFERROR(VLOOKUP(C334,'[1]TB DIN INCLUIDOS'!$B:$H,5,0),"AGUARDANDO ANEXO")</f>
        <v>0</v>
      </c>
      <c r="AA334" s="26" cm="1">
        <f t="array" ref="AA334">_xlfn.IFS((Z334&gt;X334),(X334*2),(Z334&lt;=X334),(Z334*2))</f>
        <v>0</v>
      </c>
      <c r="AB334" s="22"/>
      <c r="AC334" s="26">
        <f>IFERROR(VLOOKUP(AD334,Apoio!A:B,2,0),"")</f>
        <v>3</v>
      </c>
      <c r="AD334" s="22">
        <v>60</v>
      </c>
      <c r="AE334" s="22">
        <v>1</v>
      </c>
      <c r="AF334" s="26" cm="1">
        <f t="array" ref="AF334">_xlfn.IFS((AE334&gt;AC334),(AC334*2),(AE334&lt;=AC334),(AE334*2))</f>
        <v>2</v>
      </c>
      <c r="AG334" s="22"/>
      <c r="AH334" s="28">
        <f t="shared" si="35"/>
        <v>118</v>
      </c>
      <c r="AI334" s="28">
        <f t="shared" si="36"/>
        <v>1</v>
      </c>
      <c r="AJ334" s="28">
        <f t="shared" si="37"/>
        <v>2</v>
      </c>
      <c r="AK334" s="28">
        <f t="shared" si="38"/>
        <v>0</v>
      </c>
      <c r="AL334" s="28">
        <f t="shared" si="39"/>
        <v>0</v>
      </c>
      <c r="AM334" s="23" t="s">
        <v>1707</v>
      </c>
      <c r="AN334" s="37">
        <f>VLOOKUP(C334,'[2]MARÇO-2024'!$B:$M,12,0)</f>
        <v>120</v>
      </c>
      <c r="AO334" s="37">
        <f t="shared" si="40"/>
        <v>2</v>
      </c>
      <c r="AP334" s="37" t="str">
        <f t="shared" si="41"/>
        <v/>
      </c>
    </row>
    <row r="335" spans="1:42" ht="13.5" customHeight="1" x14ac:dyDescent="0.25">
      <c r="A335" s="17">
        <v>10</v>
      </c>
      <c r="B335" s="17">
        <v>61</v>
      </c>
      <c r="C335" s="29">
        <v>10075</v>
      </c>
      <c r="D335" s="38">
        <v>33194815</v>
      </c>
      <c r="E335" s="18" t="s">
        <v>566</v>
      </c>
      <c r="F335" s="68" t="s">
        <v>851</v>
      </c>
      <c r="G335" s="64" t="s">
        <v>353</v>
      </c>
      <c r="H335" s="19" t="s">
        <v>61</v>
      </c>
      <c r="I335" s="19" t="s">
        <v>60</v>
      </c>
      <c r="J335" s="19" t="s">
        <v>1525</v>
      </c>
      <c r="K335" s="20" t="s">
        <v>1626</v>
      </c>
      <c r="L335" s="21">
        <v>60</v>
      </c>
      <c r="M335" s="21"/>
      <c r="N335" s="26">
        <f>IFERROR(VLOOKUP(O335,Apoio!A:B,2,0),"")</f>
        <v>1</v>
      </c>
      <c r="O335" s="22">
        <f>IFERROR(VLOOKUP(C335,'[1]TB DIN'!$B:$D,3,0),"AGUARDANDO ANEXO")</f>
        <v>1</v>
      </c>
      <c r="P335" s="22">
        <f>IFERROR(VLOOKUP(C335,'[1]TB DIN INCLUIDOS'!$B:$H,3,0),"AGUARDANDO ANEXO")</f>
        <v>0</v>
      </c>
      <c r="Q335" s="26" cm="1">
        <f t="array" ref="Q335">_xlfn.IFS((P335&gt;N335),(N335*2),(P335&lt;=N335),(P335*2))</f>
        <v>0</v>
      </c>
      <c r="R335" s="22"/>
      <c r="S335" s="26" t="str">
        <f>IFERROR(VLOOKUP(T335,Apoio!A:B,2,0),"")</f>
        <v/>
      </c>
      <c r="T335" s="22">
        <f>IFERROR(VLOOKUP(C335,'[1]TB DIN'!$B:$H,4,0),"AGUARDANDO ANEXO")</f>
        <v>0</v>
      </c>
      <c r="U335" s="22">
        <f>IFERROR(VLOOKUP(C335,'[1]TB DIN INCLUIDOS'!$B:$H,4,0),"AGUARDANDO ANEXO")</f>
        <v>0</v>
      </c>
      <c r="V335" s="26" cm="1">
        <f t="array" ref="V335">_xlfn.IFS((U335&gt;S335),(S335*2),(U335&lt;=S335),(U335*2))</f>
        <v>0</v>
      </c>
      <c r="W335" s="22"/>
      <c r="X335" s="26">
        <f>IFERROR(VLOOKUP(Y335,Apoio!A:B,2,0),"")</f>
        <v>1</v>
      </c>
      <c r="Y335" s="22">
        <f>IFERROR(VLOOKUP(C335,'[1]TB DIN'!$B:$H,5,0),"AGUARDANDO ANEXO")</f>
        <v>19</v>
      </c>
      <c r="Z335" s="22">
        <f>IFERROR(VLOOKUP(C335,'[1]TB DIN INCLUIDOS'!$B:$H,5,0),"AGUARDANDO ANEXO")</f>
        <v>0</v>
      </c>
      <c r="AA335" s="26" cm="1">
        <f t="array" ref="AA335">_xlfn.IFS((Z335&gt;X335),(X335*2),(Z335&lt;=X335),(Z335*2))</f>
        <v>0</v>
      </c>
      <c r="AB335" s="22"/>
      <c r="AC335" s="26">
        <f>IFERROR(VLOOKUP(AD335,Apoio!A:B,2,0),"")</f>
        <v>2</v>
      </c>
      <c r="AD335" s="22">
        <f>IFERROR(VLOOKUP(C335,'[1]TB DIN'!$B:$H,6,0),"AGUARDANDO ANEXO")</f>
        <v>41</v>
      </c>
      <c r="AE335" s="22">
        <f>IFERROR(VLOOKUP(C335,'[1]TB DIN INCLUIDOS'!$B:$H,6,0),"AGUARDANDO ANEXO")</f>
        <v>0</v>
      </c>
      <c r="AF335" s="26" cm="1">
        <f t="array" ref="AF335">_xlfn.IFS((AE335&gt;AC335),(AC335*2),(AE335&lt;=AC335),(AE335*2))</f>
        <v>0</v>
      </c>
      <c r="AG335" s="22"/>
      <c r="AH335" s="28">
        <f t="shared" si="35"/>
        <v>61</v>
      </c>
      <c r="AI335" s="28">
        <f t="shared" si="36"/>
        <v>0</v>
      </c>
      <c r="AJ335" s="28">
        <f t="shared" si="37"/>
        <v>0</v>
      </c>
      <c r="AK335" s="28">
        <f t="shared" si="38"/>
        <v>0</v>
      </c>
      <c r="AL335" s="28">
        <f t="shared" si="39"/>
        <v>-1</v>
      </c>
      <c r="AM335" s="23" t="s">
        <v>1707</v>
      </c>
      <c r="AN335" s="37">
        <f>VLOOKUP(C335,'[2]MARÇO-2024'!$B:$M,12,0)</f>
        <v>61</v>
      </c>
      <c r="AO335" s="37">
        <f t="shared" si="40"/>
        <v>0</v>
      </c>
      <c r="AP335" s="37" t="str">
        <f t="shared" si="41"/>
        <v>Qt de aluno maior que a meta</v>
      </c>
    </row>
    <row r="336" spans="1:42" ht="13.5" customHeight="1" x14ac:dyDescent="0.25">
      <c r="A336" s="17">
        <v>10</v>
      </c>
      <c r="B336" s="17">
        <v>62</v>
      </c>
      <c r="C336" s="29">
        <v>10076</v>
      </c>
      <c r="D336" s="38">
        <v>33195056</v>
      </c>
      <c r="E336" s="18" t="s">
        <v>558</v>
      </c>
      <c r="F336" s="68" t="s">
        <v>852</v>
      </c>
      <c r="G336" s="64" t="s">
        <v>1741</v>
      </c>
      <c r="H336" s="19" t="s">
        <v>62</v>
      </c>
      <c r="I336" s="19" t="s">
        <v>63</v>
      </c>
      <c r="J336" s="19" t="s">
        <v>1526</v>
      </c>
      <c r="K336" s="20" t="s">
        <v>1626</v>
      </c>
      <c r="L336" s="21">
        <v>60</v>
      </c>
      <c r="M336" s="21"/>
      <c r="N336" s="26" t="str">
        <f>IFERROR(VLOOKUP(O336,Apoio!A:B,2,0),"")</f>
        <v/>
      </c>
      <c r="O336" s="22">
        <v>0</v>
      </c>
      <c r="P336" s="22">
        <f>IFERROR(VLOOKUP(C336,'[1]TB DIN INCLUIDOS'!$B:$H,3,0),"AGUARDANDO ANEXO")</f>
        <v>0</v>
      </c>
      <c r="Q336" s="26" cm="1">
        <f t="array" ref="Q336">_xlfn.IFS((P336&gt;N336),(N336*2),(P336&lt;=N336),(P336*2))</f>
        <v>0</v>
      </c>
      <c r="R336" s="22"/>
      <c r="S336" s="26">
        <f>IFERROR(VLOOKUP(T336,Apoio!A:B,2,0),"")</f>
        <v>1</v>
      </c>
      <c r="T336" s="22">
        <v>20</v>
      </c>
      <c r="U336" s="22">
        <f>IFERROR(VLOOKUP(C336,'[1]TB DIN INCLUIDOS'!$B:$H,4,0),"AGUARDANDO ANEXO")</f>
        <v>0</v>
      </c>
      <c r="V336" s="26" cm="1">
        <f t="array" ref="V336">_xlfn.IFS((U336&gt;S336),(S336*2),(U336&lt;=S336),(U336*2))</f>
        <v>0</v>
      </c>
      <c r="W336" s="22"/>
      <c r="X336" s="26">
        <f>IFERROR(VLOOKUP(Y336,Apoio!A:B,2,0),"")</f>
        <v>1</v>
      </c>
      <c r="Y336" s="22">
        <f>IFERROR(VLOOKUP(C336,'[1]TB DIN'!$B:$H,5,0),"AGUARDANDO ANEXO")</f>
        <v>14</v>
      </c>
      <c r="Z336" s="22">
        <f>IFERROR(VLOOKUP(C336,'[1]TB DIN INCLUIDOS'!$B:$H,5,0),"AGUARDANDO ANEXO")</f>
        <v>0</v>
      </c>
      <c r="AA336" s="26" cm="1">
        <f t="array" ref="AA336">_xlfn.IFS((Z336&gt;X336),(X336*2),(Z336&lt;=X336),(Z336*2))</f>
        <v>0</v>
      </c>
      <c r="AB336" s="22"/>
      <c r="AC336" s="26">
        <f>IFERROR(VLOOKUP(AD336,Apoio!A:B,2,0),"")</f>
        <v>2</v>
      </c>
      <c r="AD336" s="22">
        <f>IFERROR(VLOOKUP(C336,'[1]TB DIN'!$B:$H,6,0),"AGUARDANDO ANEXO")</f>
        <v>26</v>
      </c>
      <c r="AE336" s="22">
        <f>IFERROR(VLOOKUP(C336,'[1]TB DIN INCLUIDOS'!$B:$H,6,0),"AGUARDANDO ANEXO")</f>
        <v>0</v>
      </c>
      <c r="AF336" s="26" cm="1">
        <f t="array" ref="AF336">_xlfn.IFS((AE336&gt;AC336),(AC336*2),(AE336&lt;=AC336),(AE336*2))</f>
        <v>0</v>
      </c>
      <c r="AG336" s="22"/>
      <c r="AH336" s="28">
        <f t="shared" si="35"/>
        <v>60</v>
      </c>
      <c r="AI336" s="28">
        <f t="shared" si="36"/>
        <v>0</v>
      </c>
      <c r="AJ336" s="28">
        <f t="shared" si="37"/>
        <v>0</v>
      </c>
      <c r="AK336" s="28">
        <f t="shared" si="38"/>
        <v>0</v>
      </c>
      <c r="AL336" s="28">
        <f t="shared" si="39"/>
        <v>0</v>
      </c>
      <c r="AM336" s="23" t="s">
        <v>1707</v>
      </c>
      <c r="AN336" s="37">
        <f>VLOOKUP(C336,'[2]MARÇO-2024'!$B:$M,12,0)</f>
        <v>60</v>
      </c>
      <c r="AO336" s="37">
        <f t="shared" si="40"/>
        <v>0</v>
      </c>
      <c r="AP336" s="37" t="str">
        <f t="shared" si="41"/>
        <v/>
      </c>
    </row>
    <row r="337" spans="1:42" ht="13.5" customHeight="1" x14ac:dyDescent="0.25">
      <c r="A337" s="17">
        <v>10</v>
      </c>
      <c r="B337" s="17">
        <v>63</v>
      </c>
      <c r="C337" s="29">
        <v>10077</v>
      </c>
      <c r="D337" s="38">
        <v>33194963</v>
      </c>
      <c r="E337" s="18" t="s">
        <v>567</v>
      </c>
      <c r="F337" s="68" t="s">
        <v>853</v>
      </c>
      <c r="G337" s="64" t="s">
        <v>355</v>
      </c>
      <c r="H337" s="19" t="s">
        <v>64</v>
      </c>
      <c r="I337" s="19" t="s">
        <v>64</v>
      </c>
      <c r="J337" s="19" t="s">
        <v>1527</v>
      </c>
      <c r="K337" s="20" t="s">
        <v>1626</v>
      </c>
      <c r="L337" s="21">
        <v>40</v>
      </c>
      <c r="M337" s="21"/>
      <c r="N337" s="26" t="str">
        <f>IFERROR(VLOOKUP(O337,Apoio!A:B,2,0),"")</f>
        <v/>
      </c>
      <c r="O337" s="22">
        <f>IFERROR(VLOOKUP(C337,'[1]TB DIN'!$B:$D,3,0),"AGUARDANDO ANEXO")</f>
        <v>0</v>
      </c>
      <c r="P337" s="22">
        <f>IFERROR(VLOOKUP(C337,'[1]TB DIN INCLUIDOS'!$B:$H,3,0),"AGUARDANDO ANEXO")</f>
        <v>0</v>
      </c>
      <c r="Q337" s="26" cm="1">
        <f t="array" ref="Q337">_xlfn.IFS((P337&gt;N337),(N337*2),(P337&lt;=N337),(P337*2))</f>
        <v>0</v>
      </c>
      <c r="R337" s="22"/>
      <c r="S337" s="26" t="str">
        <f>IFERROR(VLOOKUP(T337,Apoio!A:B,2,0),"")</f>
        <v/>
      </c>
      <c r="T337" s="22">
        <f>IFERROR(VLOOKUP(C337,'[1]TB DIN'!$B:$H,4,0),"AGUARDANDO ANEXO")</f>
        <v>0</v>
      </c>
      <c r="U337" s="22">
        <f>IFERROR(VLOOKUP(C337,'[1]TB DIN INCLUIDOS'!$B:$H,4,0),"AGUARDANDO ANEXO")</f>
        <v>0</v>
      </c>
      <c r="V337" s="26" cm="1">
        <f t="array" ref="V337">_xlfn.IFS((U337&gt;S337),(S337*2),(U337&lt;=S337),(U337*2))</f>
        <v>0</v>
      </c>
      <c r="W337" s="22"/>
      <c r="X337" s="26">
        <f>IFERROR(VLOOKUP(Y337,Apoio!A:B,2,0),"")</f>
        <v>1</v>
      </c>
      <c r="Y337" s="22">
        <f>IFERROR(VLOOKUP(C337,'[1]TB DIN'!$B:$H,5,0),"AGUARDANDO ANEXO")</f>
        <v>17</v>
      </c>
      <c r="Z337" s="22">
        <f>IFERROR(VLOOKUP(C337,'[1]TB DIN INCLUIDOS'!$B:$H,5,0),"AGUARDANDO ANEXO")</f>
        <v>0</v>
      </c>
      <c r="AA337" s="26" cm="1">
        <f t="array" ref="AA337">_xlfn.IFS((Z337&gt;X337),(X337*2),(Z337&lt;=X337),(Z337*2))</f>
        <v>0</v>
      </c>
      <c r="AB337" s="22"/>
      <c r="AC337" s="26">
        <f>IFERROR(VLOOKUP(AD337,Apoio!A:B,2,0),"")</f>
        <v>1</v>
      </c>
      <c r="AD337" s="22">
        <f>IFERROR(VLOOKUP(C337,'[1]TB DIN'!$B:$H,6,0),"AGUARDANDO ANEXO")</f>
        <v>23</v>
      </c>
      <c r="AE337" s="22">
        <v>0</v>
      </c>
      <c r="AF337" s="26" cm="1">
        <f t="array" ref="AF337">_xlfn.IFS((AE337&gt;AC337),(AC337*2),(AE337&lt;=AC337),(AE337*2))</f>
        <v>0</v>
      </c>
      <c r="AG337" s="22"/>
      <c r="AH337" s="28">
        <f t="shared" si="35"/>
        <v>40</v>
      </c>
      <c r="AI337" s="28">
        <f t="shared" si="36"/>
        <v>0</v>
      </c>
      <c r="AJ337" s="28">
        <f t="shared" si="37"/>
        <v>0</v>
      </c>
      <c r="AK337" s="28">
        <f t="shared" si="38"/>
        <v>0</v>
      </c>
      <c r="AL337" s="28">
        <f t="shared" si="39"/>
        <v>0</v>
      </c>
      <c r="AM337" s="23" t="s">
        <v>1707</v>
      </c>
      <c r="AN337" s="37">
        <f>VLOOKUP(C337,'[2]MARÇO-2024'!$B:$M,12,0)</f>
        <v>37</v>
      </c>
      <c r="AO337" s="37">
        <f t="shared" si="40"/>
        <v>-3</v>
      </c>
      <c r="AP337" s="37" t="str">
        <f t="shared" si="41"/>
        <v/>
      </c>
    </row>
    <row r="338" spans="1:42" ht="13.5" customHeight="1" x14ac:dyDescent="0.25">
      <c r="A338" s="17">
        <v>10</v>
      </c>
      <c r="B338" s="17">
        <v>64</v>
      </c>
      <c r="C338" s="29">
        <v>10078</v>
      </c>
      <c r="D338" s="38">
        <v>33194998</v>
      </c>
      <c r="E338" s="18" t="s">
        <v>568</v>
      </c>
      <c r="F338" s="68" t="s">
        <v>854</v>
      </c>
      <c r="G338" s="64" t="s">
        <v>356</v>
      </c>
      <c r="H338" s="19" t="s">
        <v>1117</v>
      </c>
      <c r="I338" s="19" t="s">
        <v>65</v>
      </c>
      <c r="J338" s="19" t="s">
        <v>1528</v>
      </c>
      <c r="K338" s="20" t="s">
        <v>1626</v>
      </c>
      <c r="L338" s="21">
        <v>40</v>
      </c>
      <c r="M338" s="21"/>
      <c r="N338" s="26">
        <f>IFERROR(VLOOKUP(O338,Apoio!A:B,2,0),"")</f>
        <v>1</v>
      </c>
      <c r="O338" s="22">
        <v>6</v>
      </c>
      <c r="P338" s="22">
        <f>IFERROR(VLOOKUP(C338,'[1]TB DIN INCLUIDOS'!$B:$H,3,0),"AGUARDANDO ANEXO")</f>
        <v>0</v>
      </c>
      <c r="Q338" s="26" cm="1">
        <f t="array" ref="Q338">_xlfn.IFS((P338&gt;N338),(N338*2),(P338&lt;=N338),(P338*2))</f>
        <v>0</v>
      </c>
      <c r="R338" s="22"/>
      <c r="S338" s="26">
        <f>IFERROR(VLOOKUP(T338,Apoio!A:B,2,0),"")</f>
        <v>1</v>
      </c>
      <c r="T338" s="22">
        <f>IFERROR(VLOOKUP(C338,'[1]TB DIN'!$B:$H,4,0),"AGUARDANDO ANEXO")</f>
        <v>14</v>
      </c>
      <c r="U338" s="22">
        <f>IFERROR(VLOOKUP(C338,'[1]TB DIN INCLUIDOS'!$B:$H,4,0),"AGUARDANDO ANEXO")</f>
        <v>0</v>
      </c>
      <c r="V338" s="26" cm="1">
        <f t="array" ref="V338">_xlfn.IFS((U338&gt;S338),(S338*2),(U338&lt;=S338),(U338*2))</f>
        <v>0</v>
      </c>
      <c r="W338" s="22"/>
      <c r="X338" s="26">
        <f>IFERROR(VLOOKUP(Y338,Apoio!A:B,2,0),"")</f>
        <v>1</v>
      </c>
      <c r="Y338" s="22">
        <v>11</v>
      </c>
      <c r="Z338" s="22">
        <f>IFERROR(VLOOKUP(C338,'[1]TB DIN INCLUIDOS'!$B:$H,5,0),"AGUARDANDO ANEXO")</f>
        <v>0</v>
      </c>
      <c r="AA338" s="26" cm="1">
        <f t="array" ref="AA338">_xlfn.IFS((Z338&gt;X338),(X338*2),(Z338&lt;=X338),(Z338*2))</f>
        <v>0</v>
      </c>
      <c r="AB338" s="22"/>
      <c r="AC338" s="26">
        <f>IFERROR(VLOOKUP(AD338,Apoio!A:B,2,0),"")</f>
        <v>1</v>
      </c>
      <c r="AD338" s="22">
        <f>IFERROR(VLOOKUP(C338,'[1]TB DIN'!$B:$H,6,0),"AGUARDANDO ANEXO")</f>
        <v>9</v>
      </c>
      <c r="AE338" s="22">
        <f>IFERROR(VLOOKUP(C338,'[1]TB DIN INCLUIDOS'!$B:$H,6,0),"AGUARDANDO ANEXO")</f>
        <v>0</v>
      </c>
      <c r="AF338" s="26" cm="1">
        <f t="array" ref="AF338">_xlfn.IFS((AE338&gt;AC338),(AC338*2),(AE338&lt;=AC338),(AE338*2))</f>
        <v>0</v>
      </c>
      <c r="AG338" s="22"/>
      <c r="AH338" s="28">
        <f t="shared" si="35"/>
        <v>40</v>
      </c>
      <c r="AI338" s="28">
        <f t="shared" si="36"/>
        <v>0</v>
      </c>
      <c r="AJ338" s="28">
        <f t="shared" si="37"/>
        <v>0</v>
      </c>
      <c r="AK338" s="28">
        <f t="shared" si="38"/>
        <v>0</v>
      </c>
      <c r="AL338" s="28">
        <f t="shared" si="39"/>
        <v>0</v>
      </c>
      <c r="AM338" s="23" t="s">
        <v>1707</v>
      </c>
      <c r="AN338" s="37">
        <f>VLOOKUP(C338,'[2]MARÇO-2024'!$B:$M,12,0)</f>
        <v>40</v>
      </c>
      <c r="AO338" s="37">
        <f t="shared" si="40"/>
        <v>0</v>
      </c>
      <c r="AP338" s="37" t="str">
        <f t="shared" si="41"/>
        <v/>
      </c>
    </row>
    <row r="339" spans="1:42" ht="13.5" customHeight="1" x14ac:dyDescent="0.25">
      <c r="A339" s="17">
        <v>10</v>
      </c>
      <c r="B339" s="17">
        <v>65</v>
      </c>
      <c r="C339" s="29">
        <v>10079</v>
      </c>
      <c r="D339" s="43">
        <v>33196842</v>
      </c>
      <c r="E339" s="18" t="s">
        <v>538</v>
      </c>
      <c r="F339" s="68" t="s">
        <v>809</v>
      </c>
      <c r="G339" s="64" t="s">
        <v>311</v>
      </c>
      <c r="H339" s="19" t="s">
        <v>1077</v>
      </c>
      <c r="I339" s="19" t="s">
        <v>1076</v>
      </c>
      <c r="J339" s="19" t="s">
        <v>1483</v>
      </c>
      <c r="K339" s="20" t="s">
        <v>1629</v>
      </c>
      <c r="L339" s="21">
        <v>225</v>
      </c>
      <c r="M339" s="21"/>
      <c r="N339" s="26" t="str">
        <f>IFERROR(VLOOKUP(O339,Apoio!A:B,2,0),"")</f>
        <v/>
      </c>
      <c r="O339" s="22">
        <f>IFERROR(VLOOKUP(C339,'[1]TB DIN'!$B:$D,3,0),"AGUARDANDO ANEXO")</f>
        <v>0</v>
      </c>
      <c r="P339" s="22">
        <f>IFERROR(VLOOKUP(C339,'[1]TB DIN INCLUIDOS'!$B:$H,3,0),"AGUARDANDO ANEXO")</f>
        <v>0</v>
      </c>
      <c r="Q339" s="26" cm="1">
        <f t="array" ref="Q339">_xlfn.IFS((P339&gt;N339),(N339*2),(P339&lt;=N339),(P339*2))</f>
        <v>0</v>
      </c>
      <c r="R339" s="22"/>
      <c r="S339" s="26">
        <f>IFERROR(VLOOKUP(T339,Apoio!A:B,2,0),"")</f>
        <v>3</v>
      </c>
      <c r="T339" s="22">
        <f>IFERROR(VLOOKUP(C339,'[1]TB DIN'!$B:$H,4,0),"AGUARDANDO ANEXO")</f>
        <v>72</v>
      </c>
      <c r="U339" s="22">
        <f>IFERROR(VLOOKUP(C339,'[1]TB DIN INCLUIDOS'!$B:$H,4,0),"AGUARDANDO ANEXO")</f>
        <v>0</v>
      </c>
      <c r="V339" s="26" cm="1">
        <f t="array" ref="V339">_xlfn.IFS((U339&gt;S339),(S339*2),(U339&lt;=S339),(U339*2))</f>
        <v>0</v>
      </c>
      <c r="W339" s="22"/>
      <c r="X339" s="26">
        <f>IFERROR(VLOOKUP(Y339,Apoio!A:B,2,0),"")</f>
        <v>3</v>
      </c>
      <c r="Y339" s="22">
        <f>IFERROR(VLOOKUP(C339,'[1]TB DIN'!$B:$H,5,0),"AGUARDANDO ANEXO")</f>
        <v>67</v>
      </c>
      <c r="Z339" s="22">
        <f>IFERROR(VLOOKUP(C339,'[1]TB DIN INCLUIDOS'!$B:$H,5,0),"AGUARDANDO ANEXO")</f>
        <v>0</v>
      </c>
      <c r="AA339" s="26" cm="1">
        <f t="array" ref="AA339">_xlfn.IFS((Z339&gt;X339),(X339*2),(Z339&lt;=X339),(Z339*2))</f>
        <v>0</v>
      </c>
      <c r="AB339" s="22"/>
      <c r="AC339" s="26">
        <f>IFERROR(VLOOKUP(AD339,Apoio!A:B,2,0),"")</f>
        <v>4</v>
      </c>
      <c r="AD339" s="22">
        <f>IFERROR(VLOOKUP(C339,'[1]TB DIN'!$B:$H,6,0),"AGUARDANDO ANEXO")</f>
        <v>86</v>
      </c>
      <c r="AE339" s="22">
        <f>IFERROR(VLOOKUP(C339,'[1]TB DIN INCLUIDOS'!$B:$H,6,0),"AGUARDANDO ANEXO")</f>
        <v>0</v>
      </c>
      <c r="AF339" s="26" cm="1">
        <f t="array" ref="AF339">_xlfn.IFS((AE339&gt;AC339),(AC339*2),(AE339&lt;=AC339),(AE339*2))</f>
        <v>0</v>
      </c>
      <c r="AG339" s="22"/>
      <c r="AH339" s="28">
        <f t="shared" si="35"/>
        <v>225</v>
      </c>
      <c r="AI339" s="28">
        <f t="shared" si="36"/>
        <v>0</v>
      </c>
      <c r="AJ339" s="28">
        <f t="shared" si="37"/>
        <v>0</v>
      </c>
      <c r="AK339" s="28">
        <f t="shared" si="38"/>
        <v>0</v>
      </c>
      <c r="AL339" s="28">
        <f t="shared" si="39"/>
        <v>0</v>
      </c>
      <c r="AM339" s="23" t="s">
        <v>1707</v>
      </c>
      <c r="AN339" s="37">
        <f>VLOOKUP(C339,'[2]MARÇO-2024'!$B:$M,12,0)</f>
        <v>225</v>
      </c>
      <c r="AO339" s="37">
        <f t="shared" si="40"/>
        <v>0</v>
      </c>
      <c r="AP339" s="37" t="str">
        <f t="shared" si="41"/>
        <v/>
      </c>
    </row>
    <row r="340" spans="1:42" ht="13.5" customHeight="1" x14ac:dyDescent="0.25">
      <c r="A340" s="17">
        <v>10</v>
      </c>
      <c r="B340" s="17">
        <v>66</v>
      </c>
      <c r="C340" s="29">
        <v>10080</v>
      </c>
      <c r="D340" s="38">
        <v>33199574</v>
      </c>
      <c r="E340" s="18"/>
      <c r="F340" s="68"/>
      <c r="G340" s="66" t="s">
        <v>1699</v>
      </c>
      <c r="H340" s="19" t="s">
        <v>1699</v>
      </c>
      <c r="I340" s="19" t="s">
        <v>1174</v>
      </c>
      <c r="J340" s="19" t="s">
        <v>1814</v>
      </c>
      <c r="K340" s="20" t="s">
        <v>1630</v>
      </c>
      <c r="L340" s="21">
        <v>100</v>
      </c>
      <c r="M340" s="21"/>
      <c r="N340" s="26" t="str">
        <f>IFERROR(VLOOKUP(O340,Apoio!A:B,2,0),"")</f>
        <v/>
      </c>
      <c r="O340" s="22">
        <f>IFERROR(VLOOKUP(C340,'[1]TB DIN'!$B:$D,3,0),"AGUARDANDO ANEXO")</f>
        <v>0</v>
      </c>
      <c r="P340" s="22">
        <f>IFERROR(VLOOKUP(C340,'[1]TB DIN INCLUIDOS'!$B:$H,3,0),"AGUARDANDO ANEXO")</f>
        <v>0</v>
      </c>
      <c r="Q340" s="26" cm="1">
        <f t="array" ref="Q340">_xlfn.IFS((P340&gt;N340),(N340*2),(P340&lt;=N340),(P340*2))</f>
        <v>0</v>
      </c>
      <c r="R340" s="22"/>
      <c r="S340" s="26">
        <f>IFERROR(VLOOKUP(T340,Apoio!A:B,2,0),"")</f>
        <v>2</v>
      </c>
      <c r="T340" s="22">
        <v>30</v>
      </c>
      <c r="U340" s="22">
        <f>IFERROR(VLOOKUP(C340,'[1]TB DIN INCLUIDOS'!$B:$H,4,0),"AGUARDANDO ANEXO")</f>
        <v>0</v>
      </c>
      <c r="V340" s="26" cm="1">
        <f t="array" ref="V340">_xlfn.IFS((U340&gt;S340),(S340*2),(U340&lt;=S340),(U340*2))</f>
        <v>0</v>
      </c>
      <c r="W340" s="22"/>
      <c r="X340" s="26">
        <f>IFERROR(VLOOKUP(Y340,Apoio!A:B,2,0),"")</f>
        <v>2</v>
      </c>
      <c r="Y340" s="22">
        <v>26</v>
      </c>
      <c r="Z340" s="22">
        <f>IFERROR(VLOOKUP(C340,'[1]TB DIN INCLUIDOS'!$B:$H,5,0),"AGUARDANDO ANEXO")</f>
        <v>0</v>
      </c>
      <c r="AA340" s="26" cm="1">
        <f t="array" ref="AA340">_xlfn.IFS((Z340&gt;X340),(X340*2),(Z340&lt;=X340),(Z340*2))</f>
        <v>0</v>
      </c>
      <c r="AB340" s="22"/>
      <c r="AC340" s="26">
        <f>IFERROR(VLOOKUP(AD340,Apoio!A:B,2,0),"")</f>
        <v>1</v>
      </c>
      <c r="AD340" s="22">
        <f>IFERROR(VLOOKUP(C340,'[1]TB DIN'!$B:$H,6,0),"AGUARDANDO ANEXO")</f>
        <v>20</v>
      </c>
      <c r="AE340" s="22">
        <f>IFERROR(VLOOKUP(C340,'[1]TB DIN INCLUIDOS'!$B:$H,6,0),"AGUARDANDO ANEXO")</f>
        <v>1</v>
      </c>
      <c r="AF340" s="26" cm="1">
        <f t="array" ref="AF340">_xlfn.IFS((AE340&gt;AC340),(AC340*2),(AE340&lt;=AC340),(AE340*2))</f>
        <v>2</v>
      </c>
      <c r="AG340" s="22"/>
      <c r="AH340" s="28">
        <f t="shared" si="35"/>
        <v>76</v>
      </c>
      <c r="AI340" s="28">
        <f t="shared" si="36"/>
        <v>1</v>
      </c>
      <c r="AJ340" s="28">
        <f t="shared" si="37"/>
        <v>2</v>
      </c>
      <c r="AK340" s="28">
        <f t="shared" si="38"/>
        <v>22</v>
      </c>
      <c r="AL340" s="28">
        <f t="shared" si="39"/>
        <v>0</v>
      </c>
      <c r="AM340" s="23" t="s">
        <v>1708</v>
      </c>
      <c r="AN340" s="37">
        <f>VLOOKUP(C340,'[2]MARÇO-2024'!$B:$M,12,0)</f>
        <v>46</v>
      </c>
      <c r="AO340" s="37">
        <f t="shared" si="40"/>
        <v>-30</v>
      </c>
      <c r="AP340" s="37" t="str">
        <f t="shared" si="41"/>
        <v/>
      </c>
    </row>
    <row r="341" spans="1:42" ht="13.5" customHeight="1" x14ac:dyDescent="0.25">
      <c r="A341" s="17">
        <v>10</v>
      </c>
      <c r="B341" s="17">
        <v>67</v>
      </c>
      <c r="C341" s="29">
        <v>10081</v>
      </c>
      <c r="D341" s="38">
        <v>33199590</v>
      </c>
      <c r="E341" s="18"/>
      <c r="F341" s="68"/>
      <c r="G341" s="64" t="s">
        <v>1719</v>
      </c>
      <c r="H341" s="19" t="s">
        <v>1700</v>
      </c>
      <c r="I341" s="19" t="s">
        <v>1769</v>
      </c>
      <c r="J341" s="19" t="s">
        <v>1815</v>
      </c>
      <c r="K341" s="20" t="s">
        <v>1628</v>
      </c>
      <c r="L341" s="21">
        <v>100</v>
      </c>
      <c r="M341" s="21"/>
      <c r="N341" s="26" t="str">
        <f>IFERROR(VLOOKUP(O341,Apoio!A:B,2,0),"")</f>
        <v/>
      </c>
      <c r="O341" s="22">
        <f>IFERROR(VLOOKUP(C341,'[1]TB DIN'!$B:$D,3,0),"AGUARDANDO ANEXO")</f>
        <v>0</v>
      </c>
      <c r="P341" s="22">
        <f>IFERROR(VLOOKUP(C341,'[1]TB DIN INCLUIDOS'!$B:$H,3,0),"AGUARDANDO ANEXO")</f>
        <v>0</v>
      </c>
      <c r="Q341" s="26" cm="1">
        <f t="array" ref="Q341">_xlfn.IFS((P341&gt;N341),(N341*2),(P341&lt;=N341),(P341*2))</f>
        <v>0</v>
      </c>
      <c r="R341" s="22"/>
      <c r="S341" s="26">
        <f>IFERROR(VLOOKUP(T341,Apoio!A:B,2,0),"")</f>
        <v>1</v>
      </c>
      <c r="T341" s="22">
        <f>IFERROR(VLOOKUP(C341,'[1]TB DIN'!$B:$H,4,0),"AGUARDANDO ANEXO")</f>
        <v>24</v>
      </c>
      <c r="U341" s="22">
        <f>IFERROR(VLOOKUP(C341,'[1]TB DIN INCLUIDOS'!$B:$H,4,0),"AGUARDANDO ANEXO")</f>
        <v>1</v>
      </c>
      <c r="V341" s="26" cm="1">
        <f t="array" ref="V341">_xlfn.IFS((U341&gt;S341),(S341*2),(U341&lt;=S341),(U341*2))</f>
        <v>2</v>
      </c>
      <c r="W341" s="22"/>
      <c r="X341" s="26">
        <f>IFERROR(VLOOKUP(Y341,Apoio!A:B,2,0),"")</f>
        <v>2</v>
      </c>
      <c r="Y341" s="22">
        <f>IFERROR(VLOOKUP(C341,'[1]TB DIN'!$B:$H,5,0),"AGUARDANDO ANEXO")</f>
        <v>40</v>
      </c>
      <c r="Z341" s="22">
        <f>IFERROR(VLOOKUP(C341,'[1]TB DIN INCLUIDOS'!$B:$H,5,0),"AGUARDANDO ANEXO")</f>
        <v>1</v>
      </c>
      <c r="AA341" s="26" cm="1">
        <f t="array" ref="AA341">_xlfn.IFS((Z341&gt;X341),(X341*2),(Z341&lt;=X341),(Z341*2))</f>
        <v>2</v>
      </c>
      <c r="AB341" s="22"/>
      <c r="AC341" s="26">
        <f>IFERROR(VLOOKUP(AD341,Apoio!A:B,2,0),"")</f>
        <v>2</v>
      </c>
      <c r="AD341" s="22">
        <f>IFERROR(VLOOKUP(C341,'[1]TB DIN'!$B:$H,6,0),"AGUARDANDO ANEXO")</f>
        <v>36</v>
      </c>
      <c r="AE341" s="22">
        <f>IFERROR(VLOOKUP(C341,'[1]TB DIN INCLUIDOS'!$B:$H,6,0),"AGUARDANDO ANEXO")</f>
        <v>3</v>
      </c>
      <c r="AF341" s="26" cm="1">
        <f t="array" ref="AF341">_xlfn.IFS((AE341&gt;AC341),(AC341*2),(AE341&lt;=AC341),(AE341*2))</f>
        <v>4</v>
      </c>
      <c r="AG341" s="22"/>
      <c r="AH341" s="28">
        <f t="shared" si="35"/>
        <v>100</v>
      </c>
      <c r="AI341" s="28">
        <f t="shared" si="36"/>
        <v>5</v>
      </c>
      <c r="AJ341" s="28">
        <f t="shared" si="37"/>
        <v>8</v>
      </c>
      <c r="AK341" s="28">
        <f t="shared" si="38"/>
        <v>0</v>
      </c>
      <c r="AL341" s="28">
        <f t="shared" si="39"/>
        <v>-8</v>
      </c>
      <c r="AM341" s="23" t="s">
        <v>1708</v>
      </c>
      <c r="AN341" s="37">
        <f>VLOOKUP(C341,'[2]MARÇO-2024'!$B:$M,12,0)</f>
        <v>100</v>
      </c>
      <c r="AO341" s="37">
        <f t="shared" si="40"/>
        <v>0</v>
      </c>
      <c r="AP341" s="37" t="str">
        <f t="shared" si="41"/>
        <v/>
      </c>
    </row>
    <row r="342" spans="1:42" ht="13.5" customHeight="1" x14ac:dyDescent="0.25">
      <c r="A342" s="17">
        <v>10</v>
      </c>
      <c r="B342" s="17">
        <v>68</v>
      </c>
      <c r="C342" s="29">
        <v>10082</v>
      </c>
      <c r="D342" s="41"/>
      <c r="E342" s="18"/>
      <c r="F342" s="68"/>
      <c r="G342" s="64" t="s">
        <v>1701</v>
      </c>
      <c r="H342" s="19" t="s">
        <v>1701</v>
      </c>
      <c r="I342" s="19" t="s">
        <v>1845</v>
      </c>
      <c r="J342" s="19" t="s">
        <v>1816</v>
      </c>
      <c r="K342" s="20" t="s">
        <v>1627</v>
      </c>
      <c r="L342" s="21">
        <v>31</v>
      </c>
      <c r="M342" s="21"/>
      <c r="N342" s="26" t="str">
        <f>IFERROR(VLOOKUP(O342,Apoio!A:B,2,0),"")</f>
        <v/>
      </c>
      <c r="O342" s="22">
        <f>IFERROR(VLOOKUP(C342,'[1]TB DIN'!$B:$D,3,0),"AGUARDANDO ANEXO")</f>
        <v>0</v>
      </c>
      <c r="P342" s="22">
        <f>IFERROR(VLOOKUP(C342,'[1]TB DIN INCLUIDOS'!$B:$H,3,0),"AGUARDANDO ANEXO")</f>
        <v>0</v>
      </c>
      <c r="Q342" s="26" cm="1">
        <f t="array" ref="Q342">_xlfn.IFS((P342&gt;N342),(N342*2),(P342&lt;=N342),(P342*2))</f>
        <v>0</v>
      </c>
      <c r="R342" s="22"/>
      <c r="S342" s="26">
        <f>IFERROR(VLOOKUP(T342,Apoio!A:B,2,0),"")</f>
        <v>1</v>
      </c>
      <c r="T342" s="22">
        <f>IFERROR(VLOOKUP(C342,'[1]TB DIN'!$B:$H,4,0),"AGUARDANDO ANEXO")</f>
        <v>17</v>
      </c>
      <c r="U342" s="22">
        <f>IFERROR(VLOOKUP(C342,'[1]TB DIN INCLUIDOS'!$B:$H,4,0),"AGUARDANDO ANEXO")</f>
        <v>0</v>
      </c>
      <c r="V342" s="26" cm="1">
        <f t="array" ref="V342">_xlfn.IFS((U342&gt;S342),(S342*2),(U342&lt;=S342),(U342*2))</f>
        <v>0</v>
      </c>
      <c r="W342" s="22"/>
      <c r="X342" s="26">
        <f>IFERROR(VLOOKUP(Y342,Apoio!A:B,2,0),"")</f>
        <v>1</v>
      </c>
      <c r="Y342" s="22">
        <f>IFERROR(VLOOKUP(C342,'[1]TB DIN'!$B:$H,5,0),"AGUARDANDO ANEXO")</f>
        <v>8</v>
      </c>
      <c r="Z342" s="22">
        <f>IFERROR(VLOOKUP(C342,'[1]TB DIN INCLUIDOS'!$B:$H,5,0),"AGUARDANDO ANEXO")</f>
        <v>0</v>
      </c>
      <c r="AA342" s="26" cm="1">
        <f t="array" ref="AA342">_xlfn.IFS((Z342&gt;X342),(X342*2),(Z342&lt;=X342),(Z342*2))</f>
        <v>0</v>
      </c>
      <c r="AB342" s="22"/>
      <c r="AC342" s="26">
        <f>IFERROR(VLOOKUP(AD342,Apoio!A:B,2,0),"")</f>
        <v>1</v>
      </c>
      <c r="AD342" s="22">
        <f>IFERROR(VLOOKUP(C342,'[1]TB DIN'!$B:$H,6,0),"AGUARDANDO ANEXO")</f>
        <v>6</v>
      </c>
      <c r="AE342" s="22">
        <f>IFERROR(VLOOKUP(C342,'[1]TB DIN INCLUIDOS'!$B:$H,6,0),"AGUARDANDO ANEXO")</f>
        <v>0</v>
      </c>
      <c r="AF342" s="26" cm="1">
        <f t="array" ref="AF342">_xlfn.IFS((AE342&gt;AC342),(AC342*2),(AE342&lt;=AC342),(AE342*2))</f>
        <v>0</v>
      </c>
      <c r="AG342" s="22"/>
      <c r="AH342" s="28">
        <f t="shared" si="35"/>
        <v>31</v>
      </c>
      <c r="AI342" s="28">
        <f t="shared" si="36"/>
        <v>0</v>
      </c>
      <c r="AJ342" s="28">
        <f t="shared" si="37"/>
        <v>0</v>
      </c>
      <c r="AK342" s="28">
        <f t="shared" si="38"/>
        <v>0</v>
      </c>
      <c r="AL342" s="28">
        <f t="shared" si="39"/>
        <v>0</v>
      </c>
      <c r="AM342" s="23" t="s">
        <v>1708</v>
      </c>
      <c r="AN342" s="37">
        <f>VLOOKUP(C342,'[2]MARÇO-2024'!$B:$M,12,0)</f>
        <v>31</v>
      </c>
      <c r="AO342" s="37">
        <f t="shared" si="40"/>
        <v>0</v>
      </c>
      <c r="AP342" s="37" t="str">
        <f t="shared" si="41"/>
        <v/>
      </c>
    </row>
    <row r="343" spans="1:42" ht="13.5" customHeight="1" x14ac:dyDescent="0.25">
      <c r="A343" s="17">
        <v>10</v>
      </c>
      <c r="B343" s="17">
        <v>69</v>
      </c>
      <c r="C343" s="29">
        <v>10083</v>
      </c>
      <c r="D343" s="43">
        <v>33198535</v>
      </c>
      <c r="E343" s="18"/>
      <c r="F343" s="68"/>
      <c r="G343" s="64" t="s">
        <v>1702</v>
      </c>
      <c r="H343" s="19" t="s">
        <v>1702</v>
      </c>
      <c r="I343" s="19" t="s">
        <v>1846</v>
      </c>
      <c r="J343" s="19" t="s">
        <v>1817</v>
      </c>
      <c r="K343" s="20" t="s">
        <v>1628</v>
      </c>
      <c r="L343" s="21">
        <v>40</v>
      </c>
      <c r="M343" s="21"/>
      <c r="N343" s="26" t="str">
        <f>IFERROR(VLOOKUP(O343,Apoio!A:B,2,0),"")</f>
        <v/>
      </c>
      <c r="O343" s="22">
        <f>IFERROR(VLOOKUP(C343,'[1]TB DIN'!$B:$D,3,0),"AGUARDANDO ANEXO")</f>
        <v>0</v>
      </c>
      <c r="P343" s="22">
        <f>IFERROR(VLOOKUP(C343,'[1]TB DIN INCLUIDOS'!$B:$H,3,0),"AGUARDANDO ANEXO")</f>
        <v>0</v>
      </c>
      <c r="Q343" s="26" cm="1">
        <f t="array" ref="Q343">_xlfn.IFS((P343&gt;N343),(N343*2),(P343&lt;=N343),(P343*2))</f>
        <v>0</v>
      </c>
      <c r="R343" s="22"/>
      <c r="S343" s="26">
        <f>IFERROR(VLOOKUP(T343,Apoio!A:B,2,0),"")</f>
        <v>1</v>
      </c>
      <c r="T343" s="22">
        <v>18</v>
      </c>
      <c r="U343" s="22">
        <f>IFERROR(VLOOKUP(C343,'[1]TB DIN INCLUIDOS'!$B:$H,4,0),"AGUARDANDO ANEXO")</f>
        <v>0</v>
      </c>
      <c r="V343" s="26" cm="1">
        <f t="array" ref="V343">_xlfn.IFS((U343&gt;S343),(S343*2),(U343&lt;=S343),(U343*2))</f>
        <v>0</v>
      </c>
      <c r="W343" s="22"/>
      <c r="X343" s="26">
        <f>IFERROR(VLOOKUP(Y343,Apoio!A:B,2,0),"")</f>
        <v>1</v>
      </c>
      <c r="Y343" s="22">
        <v>22</v>
      </c>
      <c r="Z343" s="22">
        <f>IFERROR(VLOOKUP(C343,'[1]TB DIN INCLUIDOS'!$B:$H,5,0),"AGUARDANDO ANEXO")</f>
        <v>0</v>
      </c>
      <c r="AA343" s="26" cm="1">
        <f t="array" ref="AA343">_xlfn.IFS((Z343&gt;X343),(X343*2),(Z343&lt;=X343),(Z343*2))</f>
        <v>0</v>
      </c>
      <c r="AB343" s="22"/>
      <c r="AC343" s="26" t="str">
        <f>IFERROR(VLOOKUP(AD343,Apoio!A:B,2,0),"")</f>
        <v/>
      </c>
      <c r="AD343" s="22">
        <f>IFERROR(VLOOKUP(C343,'[1]TB DIN'!$B:$H,6,0),"AGUARDANDO ANEXO")</f>
        <v>0</v>
      </c>
      <c r="AE343" s="22">
        <f>IFERROR(VLOOKUP(C343,'[1]TB DIN INCLUIDOS'!$B:$H,6,0),"AGUARDANDO ANEXO")</f>
        <v>0</v>
      </c>
      <c r="AF343" s="26" cm="1">
        <f t="array" ref="AF343">_xlfn.IFS((AE343&gt;AC343),(AC343*2),(AE343&lt;=AC343),(AE343*2))</f>
        <v>0</v>
      </c>
      <c r="AG343" s="22"/>
      <c r="AH343" s="28">
        <f t="shared" si="35"/>
        <v>40</v>
      </c>
      <c r="AI343" s="28">
        <f t="shared" si="36"/>
        <v>0</v>
      </c>
      <c r="AJ343" s="28">
        <f t="shared" si="37"/>
        <v>0</v>
      </c>
      <c r="AK343" s="28">
        <f t="shared" si="38"/>
        <v>0</v>
      </c>
      <c r="AL343" s="28">
        <f t="shared" si="39"/>
        <v>0</v>
      </c>
      <c r="AM343" s="23" t="s">
        <v>1708</v>
      </c>
      <c r="AN343" s="37">
        <f>VLOOKUP(C343,'[2]MARÇO-2024'!$B:$M,12,0)</f>
        <v>40</v>
      </c>
      <c r="AO343" s="37">
        <f t="shared" si="40"/>
        <v>0</v>
      </c>
      <c r="AP343" s="37" t="str">
        <f t="shared" si="41"/>
        <v/>
      </c>
    </row>
    <row r="344" spans="1:42" ht="13.5" customHeight="1" x14ac:dyDescent="0.25">
      <c r="A344" s="17">
        <v>10</v>
      </c>
      <c r="B344" s="17">
        <v>70</v>
      </c>
      <c r="C344" s="29">
        <v>10084</v>
      </c>
      <c r="D344" s="38">
        <v>33199523</v>
      </c>
      <c r="E344" s="18"/>
      <c r="F344" s="68"/>
      <c r="G344" s="64" t="s">
        <v>1703</v>
      </c>
      <c r="H344" s="19" t="s">
        <v>1703</v>
      </c>
      <c r="I344" s="19" t="s">
        <v>1847</v>
      </c>
      <c r="J344" s="19" t="s">
        <v>1818</v>
      </c>
      <c r="K344" s="20" t="s">
        <v>1628</v>
      </c>
      <c r="L344" s="21">
        <v>45</v>
      </c>
      <c r="M344" s="21"/>
      <c r="N344" s="26" t="str">
        <f>IFERROR(VLOOKUP(O344,Apoio!A:B,2,0),"")</f>
        <v/>
      </c>
      <c r="O344" s="22">
        <f>IFERROR(VLOOKUP(C344,'[1]TB DIN'!$B:$D,3,0),"AGUARDANDO ANEXO")</f>
        <v>0</v>
      </c>
      <c r="P344" s="22">
        <f>IFERROR(VLOOKUP(C344,'[1]TB DIN INCLUIDOS'!$B:$H,3,0),"AGUARDANDO ANEXO")</f>
        <v>0</v>
      </c>
      <c r="Q344" s="26" cm="1">
        <f t="array" ref="Q344">_xlfn.IFS((P344&gt;N344),(N344*2),(P344&lt;=N344),(P344*2))</f>
        <v>0</v>
      </c>
      <c r="R344" s="22"/>
      <c r="S344" s="26">
        <f>IFERROR(VLOOKUP(T344,Apoio!A:B,2,0),"")</f>
        <v>1</v>
      </c>
      <c r="T344" s="22">
        <v>10</v>
      </c>
      <c r="U344" s="22">
        <f>IFERROR(VLOOKUP(C344,'[1]TB DIN INCLUIDOS'!$B:$H,4,0),"AGUARDANDO ANEXO")</f>
        <v>0</v>
      </c>
      <c r="V344" s="26" cm="1">
        <f t="array" ref="V344">_xlfn.IFS((U344&gt;S344),(S344*2),(U344&lt;=S344),(U344*2))</f>
        <v>0</v>
      </c>
      <c r="W344" s="22"/>
      <c r="X344" s="26">
        <f>IFERROR(VLOOKUP(Y344,Apoio!A:B,2,0),"")</f>
        <v>1</v>
      </c>
      <c r="Y344" s="22">
        <f>IFERROR(VLOOKUP(C344,'[1]TB DIN'!$B:$H,5,0),"AGUARDANDO ANEXO")</f>
        <v>18</v>
      </c>
      <c r="Z344" s="22">
        <f>IFERROR(VLOOKUP(C344,'[1]TB DIN INCLUIDOS'!$B:$H,5,0),"AGUARDANDO ANEXO")</f>
        <v>0</v>
      </c>
      <c r="AA344" s="26" cm="1">
        <f t="array" ref="AA344">_xlfn.IFS((Z344&gt;X344),(X344*2),(Z344&lt;=X344),(Z344*2))</f>
        <v>0</v>
      </c>
      <c r="AB344" s="22"/>
      <c r="AC344" s="26">
        <f>IFERROR(VLOOKUP(AD344,Apoio!A:B,2,0),"")</f>
        <v>1</v>
      </c>
      <c r="AD344" s="22">
        <f>IFERROR(VLOOKUP(C344,'[1]TB DIN'!$B:$H,6,0),"AGUARDANDO ANEXO")</f>
        <v>17</v>
      </c>
      <c r="AE344" s="22">
        <f>IFERROR(VLOOKUP(C344,'[1]TB DIN INCLUIDOS'!$B:$H,6,0),"AGUARDANDO ANEXO")</f>
        <v>0</v>
      </c>
      <c r="AF344" s="26" cm="1">
        <f t="array" ref="AF344">_xlfn.IFS((AE344&gt;AC344),(AC344*2),(AE344&lt;=AC344),(AE344*2))</f>
        <v>0</v>
      </c>
      <c r="AG344" s="22"/>
      <c r="AH344" s="28">
        <f t="shared" si="35"/>
        <v>45</v>
      </c>
      <c r="AI344" s="28">
        <f t="shared" si="36"/>
        <v>0</v>
      </c>
      <c r="AJ344" s="28">
        <f t="shared" si="37"/>
        <v>0</v>
      </c>
      <c r="AK344" s="28">
        <f t="shared" si="38"/>
        <v>0</v>
      </c>
      <c r="AL344" s="28">
        <f t="shared" si="39"/>
        <v>0</v>
      </c>
      <c r="AM344" s="23" t="s">
        <v>1708</v>
      </c>
      <c r="AN344" s="37">
        <f>VLOOKUP(C344,'[2]MARÇO-2024'!$B:$M,12,0)</f>
        <v>41</v>
      </c>
      <c r="AO344" s="37">
        <f t="shared" si="40"/>
        <v>-4</v>
      </c>
      <c r="AP344" s="37" t="str">
        <f t="shared" si="41"/>
        <v/>
      </c>
    </row>
    <row r="345" spans="1:42" ht="13.5" customHeight="1" x14ac:dyDescent="0.25">
      <c r="A345" s="17">
        <v>10</v>
      </c>
      <c r="B345" s="17">
        <v>71</v>
      </c>
      <c r="C345" s="29">
        <v>10085</v>
      </c>
      <c r="D345" s="44"/>
      <c r="E345" s="18"/>
      <c r="F345" s="68"/>
      <c r="G345" s="64" t="s">
        <v>1704</v>
      </c>
      <c r="H345" s="19" t="s">
        <v>1704</v>
      </c>
      <c r="I345" s="19" t="s">
        <v>1773</v>
      </c>
      <c r="J345" s="19" t="s">
        <v>1819</v>
      </c>
      <c r="K345" s="20" t="s">
        <v>1628</v>
      </c>
      <c r="L345" s="21">
        <v>60</v>
      </c>
      <c r="M345" s="21"/>
      <c r="N345" s="26" t="str">
        <f>IFERROR(VLOOKUP(O345,Apoio!A:B,2,0),"")</f>
        <v/>
      </c>
      <c r="O345" s="22">
        <f>IFERROR(VLOOKUP(C345,'[1]TB DIN'!$B:$D,3,0),"AGUARDANDO ANEXO")</f>
        <v>0</v>
      </c>
      <c r="P345" s="22">
        <f>IFERROR(VLOOKUP(C345,'[1]TB DIN INCLUIDOS'!$B:$H,3,0),"AGUARDANDO ANEXO")</f>
        <v>0</v>
      </c>
      <c r="Q345" s="26" cm="1">
        <f t="array" ref="Q345">_xlfn.IFS((P345&gt;N345),(N345*2),(P345&lt;=N345),(P345*2))</f>
        <v>0</v>
      </c>
      <c r="R345" s="22"/>
      <c r="S345" s="26" t="str">
        <f>IFERROR(VLOOKUP(T345,Apoio!A:B,2,0),"")</f>
        <v/>
      </c>
      <c r="T345" s="22">
        <f>IFERROR(VLOOKUP(C345,'[1]TB DIN'!$B:$H,4,0),"AGUARDANDO ANEXO")</f>
        <v>0</v>
      </c>
      <c r="U345" s="22">
        <f>IFERROR(VLOOKUP(C345,'[1]TB DIN INCLUIDOS'!$B:$H,4,0),"AGUARDANDO ANEXO")</f>
        <v>0</v>
      </c>
      <c r="V345" s="26" cm="1">
        <f t="array" ref="V345">_xlfn.IFS((U345&gt;S345),(S345*2),(U345&lt;=S345),(U345*2))</f>
        <v>0</v>
      </c>
      <c r="W345" s="22"/>
      <c r="X345" s="26">
        <f>IFERROR(VLOOKUP(Y345,Apoio!A:B,2,0),"")</f>
        <v>1</v>
      </c>
      <c r="Y345" s="22">
        <f>IFERROR(VLOOKUP(C345,'[1]TB DIN'!$B:$H,5,0),"AGUARDANDO ANEXO")</f>
        <v>25</v>
      </c>
      <c r="Z345" s="22">
        <f>IFERROR(VLOOKUP(C345,'[1]TB DIN INCLUIDOS'!$B:$H,5,0),"AGUARDANDO ANEXO")</f>
        <v>1</v>
      </c>
      <c r="AA345" s="26" cm="1">
        <f t="array" ref="AA345">_xlfn.IFS((Z345&gt;X345),(X345*2),(Z345&lt;=X345),(Z345*2))</f>
        <v>2</v>
      </c>
      <c r="AB345" s="22"/>
      <c r="AC345" s="26">
        <f>IFERROR(VLOOKUP(AD345,Apoio!A:B,2,0),"")</f>
        <v>2</v>
      </c>
      <c r="AD345" s="22">
        <f>IFERROR(VLOOKUP(C345,'[1]TB DIN'!$B:$H,6,0),"AGUARDANDO ANEXO")</f>
        <v>31</v>
      </c>
      <c r="AE345" s="22">
        <f>IFERROR(VLOOKUP(C345,'[1]TB DIN INCLUIDOS'!$B:$H,6,0),"AGUARDANDO ANEXO")</f>
        <v>1</v>
      </c>
      <c r="AF345" s="26" cm="1">
        <f t="array" ref="AF345">_xlfn.IFS((AE345&gt;AC345),(AC345*2),(AE345&lt;=AC345),(AE345*2))</f>
        <v>2</v>
      </c>
      <c r="AG345" s="22"/>
      <c r="AH345" s="28">
        <f t="shared" si="35"/>
        <v>56</v>
      </c>
      <c r="AI345" s="28">
        <f t="shared" si="36"/>
        <v>2</v>
      </c>
      <c r="AJ345" s="28">
        <f t="shared" si="37"/>
        <v>4</v>
      </c>
      <c r="AK345" s="28">
        <f t="shared" si="38"/>
        <v>0</v>
      </c>
      <c r="AL345" s="28">
        <f t="shared" si="39"/>
        <v>0</v>
      </c>
      <c r="AM345" s="23" t="s">
        <v>1708</v>
      </c>
      <c r="AN345" s="37">
        <f>VLOOKUP(C345,'[2]MARÇO-2024'!$B:$M,12,0)</f>
        <v>56</v>
      </c>
      <c r="AO345" s="37">
        <f t="shared" si="40"/>
        <v>0</v>
      </c>
      <c r="AP345" s="37" t="str">
        <f t="shared" si="41"/>
        <v/>
      </c>
    </row>
    <row r="346" spans="1:42" ht="13.5" customHeight="1" x14ac:dyDescent="0.25">
      <c r="A346" s="17">
        <v>11</v>
      </c>
      <c r="B346" s="17">
        <v>1</v>
      </c>
      <c r="C346" s="29">
        <v>11001</v>
      </c>
      <c r="D346" s="38">
        <v>33095728</v>
      </c>
      <c r="E346" s="18" t="s">
        <v>571</v>
      </c>
      <c r="F346" s="68" t="s">
        <v>858</v>
      </c>
      <c r="G346" s="64" t="s">
        <v>69</v>
      </c>
      <c r="H346" s="19" t="s">
        <v>1121</v>
      </c>
      <c r="I346" s="19" t="s">
        <v>1239</v>
      </c>
      <c r="J346" s="19" t="s">
        <v>1532</v>
      </c>
      <c r="K346" s="20" t="s">
        <v>1634</v>
      </c>
      <c r="L346" s="21">
        <v>105</v>
      </c>
      <c r="M346" s="21"/>
      <c r="N346" s="26" t="str">
        <f>IFERROR(VLOOKUP(O346,Apoio!A:B,2,0),"")</f>
        <v/>
      </c>
      <c r="O346" s="22">
        <f>IFERROR(VLOOKUP(C346,'[1]TB DIN'!$B:$D,3,0),"AGUARDANDO ANEXO")</f>
        <v>0</v>
      </c>
      <c r="P346" s="22">
        <f>IFERROR(VLOOKUP(C346,'[1]TB DIN INCLUIDOS'!$B:$H,3,0),"AGUARDANDO ANEXO")</f>
        <v>0</v>
      </c>
      <c r="Q346" s="26" cm="1">
        <f t="array" ref="Q346">_xlfn.IFS((P346&gt;N346),(N346*2),(P346&lt;=N346),(P346*2))</f>
        <v>0</v>
      </c>
      <c r="R346" s="22"/>
      <c r="S346" s="26">
        <f>IFERROR(VLOOKUP(T346,Apoio!A:B,2,0),"")</f>
        <v>1</v>
      </c>
      <c r="T346" s="22">
        <f>IFERROR(VLOOKUP(C346,'[1]TB DIN'!$B:$H,4,0),"AGUARDANDO ANEXO")</f>
        <v>18</v>
      </c>
      <c r="U346" s="22">
        <f>IFERROR(VLOOKUP(C346,'[1]TB DIN INCLUIDOS'!$B:$H,4,0),"AGUARDANDO ANEXO")</f>
        <v>0</v>
      </c>
      <c r="V346" s="26" cm="1">
        <f t="array" ref="V346">_xlfn.IFS((U346&gt;S346),(S346*2),(U346&lt;=S346),(U346*2))</f>
        <v>0</v>
      </c>
      <c r="W346" s="22"/>
      <c r="X346" s="26">
        <f>IFERROR(VLOOKUP(Y346,Apoio!A:B,2,0),"")</f>
        <v>2</v>
      </c>
      <c r="Y346" s="22">
        <f>IFERROR(VLOOKUP(C346,'[1]TB DIN'!$B:$H,5,0),"AGUARDANDO ANEXO")</f>
        <v>43</v>
      </c>
      <c r="Z346" s="22">
        <f>IFERROR(VLOOKUP(C346,'[1]TB DIN INCLUIDOS'!$B:$H,5,0),"AGUARDANDO ANEXO")</f>
        <v>0</v>
      </c>
      <c r="AA346" s="26" cm="1">
        <f t="array" ref="AA346">_xlfn.IFS((Z346&gt;X346),(X346*2),(Z346&lt;=X346),(Z346*2))</f>
        <v>0</v>
      </c>
      <c r="AB346" s="22"/>
      <c r="AC346" s="26">
        <f>IFERROR(VLOOKUP(AD346,Apoio!A:B,2,0),"")</f>
        <v>2</v>
      </c>
      <c r="AD346" s="22">
        <f>IFERROR(VLOOKUP(C346,'[1]TB DIN'!$B:$H,6,0),"AGUARDANDO ANEXO")</f>
        <v>44</v>
      </c>
      <c r="AE346" s="22">
        <f>IFERROR(VLOOKUP(C346,'[1]TB DIN INCLUIDOS'!$B:$H,6,0),"AGUARDANDO ANEXO")</f>
        <v>0</v>
      </c>
      <c r="AF346" s="26" cm="1">
        <f t="array" ref="AF346">_xlfn.IFS((AE346&gt;AC346),(AC346*2),(AE346&lt;=AC346),(AE346*2))</f>
        <v>0</v>
      </c>
      <c r="AG346" s="22"/>
      <c r="AH346" s="28">
        <f t="shared" si="35"/>
        <v>105</v>
      </c>
      <c r="AI346" s="28">
        <f t="shared" si="36"/>
        <v>0</v>
      </c>
      <c r="AJ346" s="28">
        <f t="shared" si="37"/>
        <v>0</v>
      </c>
      <c r="AK346" s="28">
        <f t="shared" si="38"/>
        <v>0</v>
      </c>
      <c r="AL346" s="28">
        <f t="shared" si="39"/>
        <v>0</v>
      </c>
      <c r="AM346" s="23" t="s">
        <v>1707</v>
      </c>
      <c r="AN346" s="37">
        <f>VLOOKUP(C346,'[2]MARÇO-2024'!$B:$M,12,0)</f>
        <v>105</v>
      </c>
      <c r="AO346" s="37">
        <f t="shared" si="40"/>
        <v>0</v>
      </c>
      <c r="AP346" s="37" t="str">
        <f t="shared" si="41"/>
        <v/>
      </c>
    </row>
    <row r="347" spans="1:42" ht="13.5" customHeight="1" x14ac:dyDescent="0.25">
      <c r="A347" s="17">
        <v>11</v>
      </c>
      <c r="B347" s="17">
        <v>2</v>
      </c>
      <c r="C347" s="29">
        <v>11003</v>
      </c>
      <c r="D347" s="38">
        <v>33096279</v>
      </c>
      <c r="E347" s="18" t="s">
        <v>569</v>
      </c>
      <c r="F347" s="68" t="s">
        <v>855</v>
      </c>
      <c r="G347" s="64" t="s">
        <v>66</v>
      </c>
      <c r="H347" s="19" t="s">
        <v>1118</v>
      </c>
      <c r="I347" s="19" t="s">
        <v>1118</v>
      </c>
      <c r="J347" s="19" t="s">
        <v>1529</v>
      </c>
      <c r="K347" s="20" t="s">
        <v>1631</v>
      </c>
      <c r="L347" s="21">
        <v>110</v>
      </c>
      <c r="M347" s="21"/>
      <c r="N347" s="26" t="str">
        <f>IFERROR(VLOOKUP(O347,Apoio!A:B,2,0),"")</f>
        <v/>
      </c>
      <c r="O347" s="22">
        <f>IFERROR(VLOOKUP(C347,'[1]TB DIN'!$B:$D,3,0),"AGUARDANDO ANEXO")</f>
        <v>0</v>
      </c>
      <c r="P347" s="22">
        <f>IFERROR(VLOOKUP(C347,'[1]TB DIN INCLUIDOS'!$B:$H,3,0),"AGUARDANDO ANEXO")</f>
        <v>0</v>
      </c>
      <c r="Q347" s="26" cm="1">
        <f t="array" ref="Q347">_xlfn.IFS((P347&gt;N347),(N347*2),(P347&lt;=N347),(P347*2))</f>
        <v>0</v>
      </c>
      <c r="R347" s="22"/>
      <c r="S347" s="26">
        <f>IFERROR(VLOOKUP(T347,Apoio!A:B,2,0),"")</f>
        <v>1</v>
      </c>
      <c r="T347" s="22">
        <v>18</v>
      </c>
      <c r="U347" s="22">
        <f>IFERROR(VLOOKUP(C347,'[1]TB DIN INCLUIDOS'!$B:$H,4,0),"AGUARDANDO ANEXO")</f>
        <v>1</v>
      </c>
      <c r="V347" s="26" cm="1">
        <f t="array" ref="V347">_xlfn.IFS((U347&gt;S347),(S347*2),(U347&lt;=S347),(U347*2))</f>
        <v>2</v>
      </c>
      <c r="W347" s="22"/>
      <c r="X347" s="26">
        <f>IFERROR(VLOOKUP(Y347,Apoio!A:B,2,0),"")</f>
        <v>2</v>
      </c>
      <c r="Y347" s="22">
        <v>45</v>
      </c>
      <c r="Z347" s="22">
        <f>IFERROR(VLOOKUP(C347,'[1]TB DIN INCLUIDOS'!$B:$H,5,0),"AGUARDANDO ANEXO")</f>
        <v>1</v>
      </c>
      <c r="AA347" s="26" cm="1">
        <f t="array" ref="AA347">_xlfn.IFS((Z347&gt;X347),(X347*2),(Z347&lt;=X347),(Z347*2))</f>
        <v>2</v>
      </c>
      <c r="AB347" s="22"/>
      <c r="AC347" s="26">
        <f>IFERROR(VLOOKUP(AD347,Apoio!A:B,2,0),"")</f>
        <v>2</v>
      </c>
      <c r="AD347" s="22">
        <v>42</v>
      </c>
      <c r="AE347" s="22">
        <v>3</v>
      </c>
      <c r="AF347" s="26" cm="1">
        <f t="array" ref="AF347">_xlfn.IFS((AE347&gt;AC347),(AC347*2),(AE347&lt;=AC347),(AE347*2))</f>
        <v>4</v>
      </c>
      <c r="AG347" s="22"/>
      <c r="AH347" s="28">
        <f t="shared" si="35"/>
        <v>105</v>
      </c>
      <c r="AI347" s="28">
        <f t="shared" si="36"/>
        <v>5</v>
      </c>
      <c r="AJ347" s="28">
        <f t="shared" si="37"/>
        <v>8</v>
      </c>
      <c r="AK347" s="28">
        <f t="shared" si="38"/>
        <v>0</v>
      </c>
      <c r="AL347" s="28">
        <f t="shared" si="39"/>
        <v>-3</v>
      </c>
      <c r="AM347" s="23" t="s">
        <v>1707</v>
      </c>
      <c r="AN347" s="37">
        <f>VLOOKUP(C347,'[2]MARÇO-2024'!$B:$M,12,0)</f>
        <v>107</v>
      </c>
      <c r="AO347" s="37">
        <f t="shared" si="40"/>
        <v>2</v>
      </c>
      <c r="AP347" s="37" t="str">
        <f t="shared" si="41"/>
        <v/>
      </c>
    </row>
    <row r="348" spans="1:42" ht="13.5" customHeight="1" x14ac:dyDescent="0.25">
      <c r="A348" s="17">
        <v>11</v>
      </c>
      <c r="B348" s="17">
        <v>3</v>
      </c>
      <c r="C348" s="29">
        <v>11004</v>
      </c>
      <c r="D348" s="38">
        <v>33122733</v>
      </c>
      <c r="E348" s="18" t="s">
        <v>570</v>
      </c>
      <c r="F348" s="68" t="s">
        <v>856</v>
      </c>
      <c r="G348" s="64" t="s">
        <v>67</v>
      </c>
      <c r="H348" s="19" t="s">
        <v>1119</v>
      </c>
      <c r="I348" s="19" t="s">
        <v>1119</v>
      </c>
      <c r="J348" s="19" t="s">
        <v>1530</v>
      </c>
      <c r="K348" s="20" t="s">
        <v>1632</v>
      </c>
      <c r="L348" s="21">
        <v>135</v>
      </c>
      <c r="M348" s="21"/>
      <c r="N348" s="26" t="str">
        <f>IFERROR(VLOOKUP(O348,Apoio!A:B,2,0),"")</f>
        <v/>
      </c>
      <c r="O348" s="22">
        <f>IFERROR(VLOOKUP(C348,'[1]TB DIN'!$B:$D,3,0),"AGUARDANDO ANEXO")</f>
        <v>0</v>
      </c>
      <c r="P348" s="22">
        <f>IFERROR(VLOOKUP(C348,'[1]TB DIN INCLUIDOS'!$B:$H,3,0),"AGUARDANDO ANEXO")</f>
        <v>0</v>
      </c>
      <c r="Q348" s="26" cm="1">
        <f t="array" ref="Q348">_xlfn.IFS((P348&gt;N348),(N348*2),(P348&lt;=N348),(P348*2))</f>
        <v>0</v>
      </c>
      <c r="R348" s="22"/>
      <c r="S348" s="26">
        <f>IFERROR(VLOOKUP(T348,Apoio!A:B,2,0),"")</f>
        <v>1</v>
      </c>
      <c r="T348" s="22">
        <f>IFERROR(VLOOKUP(C348,'[1]TB DIN'!$B:$H,4,0),"AGUARDANDO ANEXO")</f>
        <v>23</v>
      </c>
      <c r="U348" s="22">
        <f>IFERROR(VLOOKUP(C348,'[1]TB DIN INCLUIDOS'!$B:$H,4,0),"AGUARDANDO ANEXO")</f>
        <v>0</v>
      </c>
      <c r="V348" s="26" cm="1">
        <f t="array" ref="V348">_xlfn.IFS((U348&gt;S348),(S348*2),(U348&lt;=S348),(U348*2))</f>
        <v>0</v>
      </c>
      <c r="W348" s="22"/>
      <c r="X348" s="26">
        <f>IFERROR(VLOOKUP(Y348,Apoio!A:B,2,0),"")</f>
        <v>3</v>
      </c>
      <c r="Y348" s="22">
        <v>67</v>
      </c>
      <c r="Z348" s="22">
        <f>IFERROR(VLOOKUP(C348,'[1]TB DIN INCLUIDOS'!$B:$H,5,0),"AGUARDANDO ANEXO")</f>
        <v>2</v>
      </c>
      <c r="AA348" s="26" cm="1">
        <f t="array" ref="AA348">_xlfn.IFS((Z348&gt;X348),(X348*2),(Z348&lt;=X348),(Z348*2))</f>
        <v>4</v>
      </c>
      <c r="AB348" s="22"/>
      <c r="AC348" s="26">
        <f>IFERROR(VLOOKUP(AD348,Apoio!A:B,2,0),"")</f>
        <v>2</v>
      </c>
      <c r="AD348" s="22">
        <v>50</v>
      </c>
      <c r="AE348" s="22">
        <f>IFERROR(VLOOKUP(C348,'[1]TB DIN INCLUIDOS'!$B:$H,6,0),"AGUARDANDO ANEXO")</f>
        <v>2</v>
      </c>
      <c r="AF348" s="26" cm="1">
        <f t="array" ref="AF348">_xlfn.IFS((AE348&gt;AC348),(AC348*2),(AE348&lt;=AC348),(AE348*2))</f>
        <v>4</v>
      </c>
      <c r="AG348" s="22"/>
      <c r="AH348" s="28">
        <f t="shared" si="35"/>
        <v>140</v>
      </c>
      <c r="AI348" s="28">
        <f t="shared" si="36"/>
        <v>4</v>
      </c>
      <c r="AJ348" s="28">
        <f t="shared" si="37"/>
        <v>8</v>
      </c>
      <c r="AK348" s="28">
        <f t="shared" si="38"/>
        <v>0</v>
      </c>
      <c r="AL348" s="28">
        <f t="shared" si="39"/>
        <v>-13</v>
      </c>
      <c r="AM348" s="23" t="s">
        <v>1707</v>
      </c>
      <c r="AN348" s="37">
        <f>VLOOKUP(C348,'[2]MARÇO-2024'!$B:$M,12,0)</f>
        <v>133</v>
      </c>
      <c r="AO348" s="37">
        <f t="shared" si="40"/>
        <v>-7</v>
      </c>
      <c r="AP348" s="37" t="str">
        <f t="shared" si="41"/>
        <v>Qt de aluno maior que a meta</v>
      </c>
    </row>
    <row r="349" spans="1:42" ht="13.5" customHeight="1" x14ac:dyDescent="0.25">
      <c r="A349" s="17">
        <v>11</v>
      </c>
      <c r="B349" s="17">
        <v>4</v>
      </c>
      <c r="C349" s="29">
        <v>11006</v>
      </c>
      <c r="D349" s="38">
        <v>33162123</v>
      </c>
      <c r="E349" s="18" t="s">
        <v>359</v>
      </c>
      <c r="F349" s="68" t="s">
        <v>857</v>
      </c>
      <c r="G349" s="64" t="s">
        <v>68</v>
      </c>
      <c r="H349" s="19" t="s">
        <v>1120</v>
      </c>
      <c r="I349" s="19" t="s">
        <v>1164</v>
      </c>
      <c r="J349" s="19" t="s">
        <v>1531</v>
      </c>
      <c r="K349" s="20" t="s">
        <v>1633</v>
      </c>
      <c r="L349" s="21">
        <v>310</v>
      </c>
      <c r="M349" s="21"/>
      <c r="N349" s="26" t="str">
        <f>IFERROR(VLOOKUP(O349,Apoio!A:B,2,0),"")</f>
        <v/>
      </c>
      <c r="O349" s="22">
        <f>IFERROR(VLOOKUP(C349,'[1]TB DIN'!$B:$D,3,0),"AGUARDANDO ANEXO")</f>
        <v>0</v>
      </c>
      <c r="P349" s="22">
        <f>IFERROR(VLOOKUP(C349,'[1]TB DIN INCLUIDOS'!$B:$H,3,0),"AGUARDANDO ANEXO")</f>
        <v>0</v>
      </c>
      <c r="Q349" s="26" cm="1">
        <f t="array" ref="Q349">_xlfn.IFS((P349&gt;N349),(N349*2),(P349&lt;=N349),(P349*2))</f>
        <v>0</v>
      </c>
      <c r="R349" s="22"/>
      <c r="S349" s="26">
        <f>IFERROR(VLOOKUP(T349,Apoio!A:B,2,0),"")</f>
        <v>3</v>
      </c>
      <c r="T349" s="22">
        <f>IFERROR(VLOOKUP(C349,'[1]TB DIN'!$B:$H,4,0),"AGUARDANDO ANEXO")</f>
        <v>72</v>
      </c>
      <c r="U349" s="22">
        <f>IFERROR(VLOOKUP(C349,'[1]TB DIN INCLUIDOS'!$B:$H,4,0),"AGUARDANDO ANEXO")</f>
        <v>0</v>
      </c>
      <c r="V349" s="26" cm="1">
        <f t="array" ref="V349">_xlfn.IFS((U349&gt;S349),(S349*2),(U349&lt;=S349),(U349*2))</f>
        <v>0</v>
      </c>
      <c r="W349" s="22"/>
      <c r="X349" s="26">
        <f>IFERROR(VLOOKUP(Y349,Apoio!A:B,2,0),"")</f>
        <v>5</v>
      </c>
      <c r="Y349" s="22">
        <f>IFERROR(VLOOKUP(C349,'[1]TB DIN'!$B:$H,5,0),"AGUARDANDO ANEXO")</f>
        <v>116</v>
      </c>
      <c r="Z349" s="22">
        <f>IFERROR(VLOOKUP(C349,'[1]TB DIN INCLUIDOS'!$B:$H,5,0),"AGUARDANDO ANEXO")</f>
        <v>0</v>
      </c>
      <c r="AA349" s="26" cm="1">
        <f t="array" ref="AA349">_xlfn.IFS((Z349&gt;X349),(X349*2),(Z349&lt;=X349),(Z349*2))</f>
        <v>0</v>
      </c>
      <c r="AB349" s="22"/>
      <c r="AC349" s="26">
        <f>IFERROR(VLOOKUP(AD349,Apoio!A:B,2,0),"")</f>
        <v>5</v>
      </c>
      <c r="AD349" s="22">
        <f>IFERROR(VLOOKUP(C349,'[1]TB DIN'!$B:$H,6,0),"AGUARDANDO ANEXO")</f>
        <v>122</v>
      </c>
      <c r="AE349" s="22">
        <f>IFERROR(VLOOKUP(C349,'[1]TB DIN INCLUIDOS'!$B:$H,6,0),"AGUARDANDO ANEXO")</f>
        <v>0</v>
      </c>
      <c r="AF349" s="26" cm="1">
        <f t="array" ref="AF349">_xlfn.IFS((AE349&gt;AC349),(AC349*2),(AE349&lt;=AC349),(AE349*2))</f>
        <v>0</v>
      </c>
      <c r="AG349" s="22"/>
      <c r="AH349" s="28">
        <f t="shared" si="35"/>
        <v>310</v>
      </c>
      <c r="AI349" s="28">
        <f t="shared" si="36"/>
        <v>0</v>
      </c>
      <c r="AJ349" s="28">
        <f t="shared" si="37"/>
        <v>0</v>
      </c>
      <c r="AK349" s="28">
        <f t="shared" si="38"/>
        <v>0</v>
      </c>
      <c r="AL349" s="28">
        <f t="shared" si="39"/>
        <v>0</v>
      </c>
      <c r="AM349" s="23" t="s">
        <v>1707</v>
      </c>
      <c r="AN349" s="37">
        <f>VLOOKUP(C349,'[2]MARÇO-2024'!$B:$M,12,0)</f>
        <v>310</v>
      </c>
      <c r="AO349" s="37">
        <f t="shared" si="40"/>
        <v>0</v>
      </c>
      <c r="AP349" s="37" t="str">
        <f t="shared" si="41"/>
        <v/>
      </c>
    </row>
    <row r="350" spans="1:42" ht="13.5" customHeight="1" x14ac:dyDescent="0.25">
      <c r="A350" s="17">
        <v>11</v>
      </c>
      <c r="B350" s="17">
        <v>5</v>
      </c>
      <c r="C350" s="29">
        <v>11007</v>
      </c>
      <c r="D350" s="38">
        <v>33179328</v>
      </c>
      <c r="E350" s="18" t="s">
        <v>572</v>
      </c>
      <c r="F350" s="68" t="s">
        <v>859</v>
      </c>
      <c r="G350" s="64" t="s">
        <v>70</v>
      </c>
      <c r="H350" s="19" t="s">
        <v>1122</v>
      </c>
      <c r="I350" s="19" t="s">
        <v>1240</v>
      </c>
      <c r="J350" s="19" t="s">
        <v>1533</v>
      </c>
      <c r="K350" s="20" t="s">
        <v>1635</v>
      </c>
      <c r="L350" s="21">
        <v>78</v>
      </c>
      <c r="M350" s="21"/>
      <c r="N350" s="26" t="str">
        <f>IFERROR(VLOOKUP(O350,Apoio!A:B,2,0),"")</f>
        <v/>
      </c>
      <c r="O350" s="22">
        <f>IFERROR(VLOOKUP(C350,'[1]TB DIN'!$B:$D,3,0),"AGUARDANDO ANEXO")</f>
        <v>0</v>
      </c>
      <c r="P350" s="22">
        <f>IFERROR(VLOOKUP(C350,'[1]TB DIN INCLUIDOS'!$B:$H,3,0),"AGUARDANDO ANEXO")</f>
        <v>0</v>
      </c>
      <c r="Q350" s="26" cm="1">
        <f t="array" ref="Q350">_xlfn.IFS((P350&gt;N350),(N350*2),(P350&lt;=N350),(P350*2))</f>
        <v>0</v>
      </c>
      <c r="R350" s="22"/>
      <c r="S350" s="26">
        <f>IFERROR(VLOOKUP(T350,Apoio!A:B,2,0),"")</f>
        <v>2</v>
      </c>
      <c r="T350" s="22">
        <f>IFERROR(VLOOKUP(C350,'[1]TB DIN'!$B:$H,4,0),"AGUARDANDO ANEXO")</f>
        <v>26</v>
      </c>
      <c r="U350" s="22">
        <f>IFERROR(VLOOKUP(C350,'[1]TB DIN INCLUIDOS'!$B:$H,4,0),"AGUARDANDO ANEXO")</f>
        <v>0</v>
      </c>
      <c r="V350" s="26" cm="1">
        <f t="array" ref="V350">_xlfn.IFS((U350&gt;S350),(S350*2),(U350&lt;=S350),(U350*2))</f>
        <v>0</v>
      </c>
      <c r="W350" s="22"/>
      <c r="X350" s="26">
        <f>IFERROR(VLOOKUP(Y350,Apoio!A:B,2,0),"")</f>
        <v>2</v>
      </c>
      <c r="Y350" s="22">
        <f>IFERROR(VLOOKUP(C350,'[1]TB DIN'!$B:$H,5,0),"AGUARDANDO ANEXO")</f>
        <v>26</v>
      </c>
      <c r="Z350" s="22">
        <f>IFERROR(VLOOKUP(C350,'[1]TB DIN INCLUIDOS'!$B:$H,5,0),"AGUARDANDO ANEXO")</f>
        <v>1</v>
      </c>
      <c r="AA350" s="26" cm="1">
        <f t="array" ref="AA350">_xlfn.IFS((Z350&gt;X350),(X350*2),(Z350&lt;=X350),(Z350*2))</f>
        <v>2</v>
      </c>
      <c r="AB350" s="22"/>
      <c r="AC350" s="26">
        <f>IFERROR(VLOOKUP(AD350,Apoio!A:B,2,0),"")</f>
        <v>1</v>
      </c>
      <c r="AD350" s="22">
        <v>24</v>
      </c>
      <c r="AE350" s="22">
        <v>4</v>
      </c>
      <c r="AF350" s="26" cm="1">
        <f t="array" ref="AF350">_xlfn.IFS((AE350&gt;AC350),(AC350*2),(AE350&lt;=AC350),(AE350*2))</f>
        <v>2</v>
      </c>
      <c r="AG350" s="22"/>
      <c r="AH350" s="28">
        <f t="shared" si="35"/>
        <v>76</v>
      </c>
      <c r="AI350" s="28">
        <f t="shared" si="36"/>
        <v>5</v>
      </c>
      <c r="AJ350" s="28">
        <f t="shared" si="37"/>
        <v>4</v>
      </c>
      <c r="AK350" s="28">
        <f t="shared" si="38"/>
        <v>0</v>
      </c>
      <c r="AL350" s="28">
        <f t="shared" si="39"/>
        <v>-2</v>
      </c>
      <c r="AM350" s="23" t="s">
        <v>1707</v>
      </c>
      <c r="AN350" s="37">
        <f>VLOOKUP(C350,'[2]MARÇO-2024'!$B:$M,12,0)</f>
        <v>78</v>
      </c>
      <c r="AO350" s="37">
        <f t="shared" si="40"/>
        <v>2</v>
      </c>
      <c r="AP350" s="37" t="str">
        <f t="shared" si="41"/>
        <v/>
      </c>
    </row>
    <row r="351" spans="1:42" ht="13.5" customHeight="1" x14ac:dyDescent="0.25">
      <c r="A351" s="17">
        <v>11</v>
      </c>
      <c r="B351" s="17">
        <v>6</v>
      </c>
      <c r="C351" s="29">
        <v>11008</v>
      </c>
      <c r="D351" s="38">
        <v>33192510</v>
      </c>
      <c r="E351" s="18" t="s">
        <v>359</v>
      </c>
      <c r="F351" s="68" t="s">
        <v>860</v>
      </c>
      <c r="G351" s="64" t="s">
        <v>71</v>
      </c>
      <c r="H351" s="19" t="s">
        <v>1123</v>
      </c>
      <c r="I351" s="19" t="s">
        <v>1164</v>
      </c>
      <c r="J351" s="19" t="s">
        <v>1534</v>
      </c>
      <c r="K351" s="20" t="s">
        <v>1635</v>
      </c>
      <c r="L351" s="21">
        <v>104</v>
      </c>
      <c r="M351" s="21"/>
      <c r="N351" s="26" t="str">
        <f>IFERROR(VLOOKUP(O351,Apoio!A:B,2,0),"")</f>
        <v/>
      </c>
      <c r="O351" s="22">
        <f>IFERROR(VLOOKUP(C351,'[1]TB DIN'!$B:$D,3,0),"AGUARDANDO ANEXO")</f>
        <v>0</v>
      </c>
      <c r="P351" s="22">
        <f>IFERROR(VLOOKUP(C351,'[1]TB DIN INCLUIDOS'!$B:$H,3,0),"AGUARDANDO ANEXO")</f>
        <v>0</v>
      </c>
      <c r="Q351" s="26" cm="1">
        <f t="array" ref="Q351">_xlfn.IFS((P351&gt;N351),(N351*2),(P351&lt;=N351),(P351*2))</f>
        <v>0</v>
      </c>
      <c r="R351" s="22"/>
      <c r="S351" s="26">
        <f>IFERROR(VLOOKUP(T351,Apoio!A:B,2,0),"")</f>
        <v>1</v>
      </c>
      <c r="T351" s="22">
        <f>IFERROR(VLOOKUP(C351,'[1]TB DIN'!$B:$H,4,0),"AGUARDANDO ANEXO")</f>
        <v>24</v>
      </c>
      <c r="U351" s="22">
        <f>IFERROR(VLOOKUP(C351,'[1]TB DIN INCLUIDOS'!$B:$H,4,0),"AGUARDANDO ANEXO")</f>
        <v>1</v>
      </c>
      <c r="V351" s="26" cm="1">
        <f t="array" ref="V351">_xlfn.IFS((U351&gt;S351),(S351*2),(U351&lt;=S351),(U351*2))</f>
        <v>2</v>
      </c>
      <c r="W351" s="22"/>
      <c r="X351" s="26">
        <f>IFERROR(VLOOKUP(Y351,Apoio!A:B,2,0),"")</f>
        <v>2</v>
      </c>
      <c r="Y351" s="22">
        <f>IFERROR(VLOOKUP(C351,'[1]TB DIN'!$B:$H,5,0),"AGUARDANDO ANEXO")</f>
        <v>26</v>
      </c>
      <c r="Z351" s="22">
        <f>IFERROR(VLOOKUP(C351,'[1]TB DIN INCLUIDOS'!$B:$H,5,0),"AGUARDANDO ANEXO")</f>
        <v>0</v>
      </c>
      <c r="AA351" s="26" cm="1">
        <f t="array" ref="AA351">_xlfn.IFS((Z351&gt;X351),(X351*2),(Z351&lt;=X351),(Z351*2))</f>
        <v>0</v>
      </c>
      <c r="AB351" s="22"/>
      <c r="AC351" s="26">
        <f>IFERROR(VLOOKUP(AD351,Apoio!A:B,2,0),"")</f>
        <v>3</v>
      </c>
      <c r="AD351" s="22">
        <f>IFERROR(VLOOKUP(C351,'[1]TB DIN'!$B:$H,6,0),"AGUARDANDO ANEXO")</f>
        <v>54</v>
      </c>
      <c r="AE351" s="22">
        <f>IFERROR(VLOOKUP(C351,'[1]TB DIN INCLUIDOS'!$B:$H,6,0),"AGUARDANDO ANEXO")</f>
        <v>0</v>
      </c>
      <c r="AF351" s="26" cm="1">
        <f t="array" ref="AF351">_xlfn.IFS((AE351&gt;AC351),(AC351*2),(AE351&lt;=AC351),(AE351*2))</f>
        <v>0</v>
      </c>
      <c r="AG351" s="22"/>
      <c r="AH351" s="28">
        <f t="shared" si="35"/>
        <v>104</v>
      </c>
      <c r="AI351" s="28">
        <f t="shared" si="36"/>
        <v>1</v>
      </c>
      <c r="AJ351" s="28">
        <f t="shared" si="37"/>
        <v>2</v>
      </c>
      <c r="AK351" s="28">
        <f t="shared" si="38"/>
        <v>0</v>
      </c>
      <c r="AL351" s="28">
        <f t="shared" si="39"/>
        <v>-2</v>
      </c>
      <c r="AM351" s="23" t="s">
        <v>1707</v>
      </c>
      <c r="AN351" s="37">
        <f>VLOOKUP(C351,'[2]MARÇO-2024'!$B:$M,12,0)</f>
        <v>104</v>
      </c>
      <c r="AO351" s="37">
        <f t="shared" si="40"/>
        <v>0</v>
      </c>
      <c r="AP351" s="37" t="str">
        <f t="shared" si="41"/>
        <v/>
      </c>
    </row>
    <row r="352" spans="1:42" ht="13.5" customHeight="1" x14ac:dyDescent="0.25">
      <c r="A352" s="17">
        <v>11</v>
      </c>
      <c r="B352" s="17">
        <v>7</v>
      </c>
      <c r="C352" s="29">
        <v>11009</v>
      </c>
      <c r="D352" s="45">
        <v>33197857</v>
      </c>
      <c r="E352" s="18"/>
      <c r="F352" s="67"/>
      <c r="G352" s="64" t="s">
        <v>1868</v>
      </c>
      <c r="H352" s="19" t="s">
        <v>1705</v>
      </c>
      <c r="I352" s="19" t="s">
        <v>1705</v>
      </c>
      <c r="J352" s="19" t="s">
        <v>1820</v>
      </c>
      <c r="K352" s="20" t="s">
        <v>1821</v>
      </c>
      <c r="L352" s="21">
        <v>40</v>
      </c>
      <c r="M352" s="21"/>
      <c r="N352" s="26">
        <f>IFERROR(VLOOKUP(O352,Apoio!A:B,2,0),"")</f>
        <v>1</v>
      </c>
      <c r="O352" s="22">
        <v>12</v>
      </c>
      <c r="P352" s="22">
        <f>IFERROR(VLOOKUP(C352,'[1]TB DIN INCLUIDOS'!$B:$H,3,0),"AGUARDANDO ANEXO")</f>
        <v>0</v>
      </c>
      <c r="Q352" s="26" cm="1">
        <f t="array" ref="Q352">_xlfn.IFS((P352&gt;N352),(N352*2),(P352&lt;=N352),(P352*2))</f>
        <v>0</v>
      </c>
      <c r="R352" s="22"/>
      <c r="S352" s="26">
        <f>IFERROR(VLOOKUP(T352,Apoio!A:B,2,0),"")</f>
        <v>1</v>
      </c>
      <c r="T352" s="22">
        <v>6</v>
      </c>
      <c r="U352" s="22">
        <f>IFERROR(VLOOKUP(C352,'[1]TB DIN INCLUIDOS'!$B:$H,4,0),"AGUARDANDO ANEXO")</f>
        <v>0</v>
      </c>
      <c r="V352" s="26" cm="1">
        <f t="array" ref="V352">_xlfn.IFS((U352&gt;S352),(S352*2),(U352&lt;=S352),(U352*2))</f>
        <v>0</v>
      </c>
      <c r="W352" s="22"/>
      <c r="X352" s="26">
        <f>IFERROR(VLOOKUP(Y352,Apoio!A:B,2,0),"")</f>
        <v>1</v>
      </c>
      <c r="Y352" s="22">
        <f>IFERROR(VLOOKUP(C352,'[1]TB DIN'!$B:$H,5,0),"AGUARDANDO ANEXO")</f>
        <v>14</v>
      </c>
      <c r="Z352" s="22">
        <f>IFERROR(VLOOKUP(C352,'[1]TB DIN INCLUIDOS'!$B:$H,5,0),"AGUARDANDO ANEXO")</f>
        <v>1</v>
      </c>
      <c r="AA352" s="26" cm="1">
        <f t="array" ref="AA352">_xlfn.IFS((Z352&gt;X352),(X352*2),(Z352&lt;=X352),(Z352*2))</f>
        <v>2</v>
      </c>
      <c r="AB352" s="22"/>
      <c r="AC352" s="26">
        <f>IFERROR(VLOOKUP(AD352,Apoio!A:B,2,0),"")</f>
        <v>1</v>
      </c>
      <c r="AD352" s="22">
        <f>IFERROR(VLOOKUP(C352,'[1]TB DIN'!$B:$H,6,0),"AGUARDANDO ANEXO")</f>
        <v>16</v>
      </c>
      <c r="AE352" s="22">
        <f>IFERROR(VLOOKUP(C352,'[1]TB DIN INCLUIDOS'!$B:$H,6,0),"AGUARDANDO ANEXO")</f>
        <v>1</v>
      </c>
      <c r="AF352" s="26" cm="1">
        <f t="array" ref="AF352">_xlfn.IFS((AE352&gt;AC352),(AC352*2),(AE352&lt;=AC352),(AE352*2))</f>
        <v>2</v>
      </c>
      <c r="AG352" s="22"/>
      <c r="AH352" s="28">
        <f t="shared" si="35"/>
        <v>48</v>
      </c>
      <c r="AI352" s="28">
        <f t="shared" si="36"/>
        <v>2</v>
      </c>
      <c r="AJ352" s="28">
        <f t="shared" si="37"/>
        <v>4</v>
      </c>
      <c r="AK352" s="28">
        <f t="shared" si="38"/>
        <v>0</v>
      </c>
      <c r="AL352" s="28">
        <f t="shared" si="39"/>
        <v>-12</v>
      </c>
      <c r="AM352" s="23" t="s">
        <v>1708</v>
      </c>
      <c r="AN352" s="37">
        <f>VLOOKUP(C352,'[2]MARÇO-2024'!$B:$M,12,0)</f>
        <v>48</v>
      </c>
      <c r="AO352" s="37">
        <f t="shared" si="40"/>
        <v>0</v>
      </c>
      <c r="AP352" s="37" t="str">
        <f t="shared" si="41"/>
        <v>Qt de aluno maior que a meta</v>
      </c>
    </row>
    <row r="353" spans="1:42" ht="13.5" customHeight="1" x14ac:dyDescent="0.25">
      <c r="A353" s="17">
        <v>11</v>
      </c>
      <c r="B353" s="17">
        <v>8</v>
      </c>
      <c r="C353" s="29">
        <v>11010</v>
      </c>
      <c r="D353" s="23">
        <v>33198772</v>
      </c>
      <c r="E353" s="18"/>
      <c r="F353" s="67"/>
      <c r="G353" s="64" t="s">
        <v>1722</v>
      </c>
      <c r="H353" s="19" t="s">
        <v>1706</v>
      </c>
      <c r="I353" s="19" t="s">
        <v>1848</v>
      </c>
      <c r="J353" s="19" t="s">
        <v>1822</v>
      </c>
      <c r="K353" s="20" t="s">
        <v>1823</v>
      </c>
      <c r="L353" s="21">
        <v>50</v>
      </c>
      <c r="M353" s="21"/>
      <c r="N353" s="26">
        <f>IFERROR(VLOOKUP(O353,Apoio!A:B,2,0),"")</f>
        <v>1</v>
      </c>
      <c r="O353" s="22">
        <v>9</v>
      </c>
      <c r="P353" s="22">
        <f>IFERROR(VLOOKUP(C353,'[1]TB DIN INCLUIDOS'!$B:$H,3,0),"AGUARDANDO ANEXO")</f>
        <v>0</v>
      </c>
      <c r="Q353" s="26" cm="1">
        <f t="array" ref="Q353">_xlfn.IFS((P353&gt;N353),(N353*2),(P353&lt;=N353),(P353*2))</f>
        <v>0</v>
      </c>
      <c r="R353" s="22"/>
      <c r="S353" s="26">
        <f>IFERROR(VLOOKUP(T353,Apoio!A:B,2,0),"")</f>
        <v>1</v>
      </c>
      <c r="T353" s="22">
        <f>IFERROR(VLOOKUP(C353,'[1]TB DIN'!$B:$H,4,0),"AGUARDANDO ANEXO")</f>
        <v>15</v>
      </c>
      <c r="U353" s="22">
        <f>IFERROR(VLOOKUP(C353,'[1]TB DIN INCLUIDOS'!$B:$H,4,0),"AGUARDANDO ANEXO")</f>
        <v>0</v>
      </c>
      <c r="V353" s="26" cm="1">
        <f t="array" ref="V353">_xlfn.IFS((U353&gt;S353),(S353*2),(U353&lt;=S353),(U353*2))</f>
        <v>0</v>
      </c>
      <c r="W353" s="22"/>
      <c r="X353" s="26">
        <f>IFERROR(VLOOKUP(Y353,Apoio!A:B,2,0),"")</f>
        <v>1</v>
      </c>
      <c r="Y353" s="22">
        <f>IFERROR(VLOOKUP(C353,'[1]TB DIN'!$B:$H,5,0),"AGUARDANDO ANEXO")</f>
        <v>12</v>
      </c>
      <c r="Z353" s="22">
        <f>IFERROR(VLOOKUP(C353,'[1]TB DIN INCLUIDOS'!$B:$H,5,0),"AGUARDANDO ANEXO")</f>
        <v>1</v>
      </c>
      <c r="AA353" s="26" cm="1">
        <f t="array" ref="AA353">_xlfn.IFS((Z353&gt;X353),(X353*2),(Z353&lt;=X353),(Z353*2))</f>
        <v>2</v>
      </c>
      <c r="AB353" s="22"/>
      <c r="AC353" s="26">
        <f>IFERROR(VLOOKUP(AD353,Apoio!A:B,2,0),"")</f>
        <v>1</v>
      </c>
      <c r="AD353" s="22">
        <f>IFERROR(VLOOKUP(C353,'[1]TB DIN'!$B:$H,6,0),"AGUARDANDO ANEXO")</f>
        <v>12</v>
      </c>
      <c r="AE353" s="22">
        <f>IFERROR(VLOOKUP(C353,'[1]TB DIN INCLUIDOS'!$B:$H,6,0),"AGUARDANDO ANEXO")</f>
        <v>0</v>
      </c>
      <c r="AF353" s="26" cm="1">
        <f t="array" ref="AF353">_xlfn.IFS((AE353&gt;AC353),(AC353*2),(AE353&lt;=AC353),(AE353*2))</f>
        <v>0</v>
      </c>
      <c r="AG353" s="22"/>
      <c r="AH353" s="28">
        <f t="shared" si="35"/>
        <v>48</v>
      </c>
      <c r="AI353" s="28">
        <f t="shared" si="36"/>
        <v>1</v>
      </c>
      <c r="AJ353" s="28">
        <f t="shared" si="37"/>
        <v>2</v>
      </c>
      <c r="AK353" s="28">
        <f t="shared" si="38"/>
        <v>0</v>
      </c>
      <c r="AL353" s="28">
        <f t="shared" si="39"/>
        <v>0</v>
      </c>
      <c r="AM353" s="23" t="s">
        <v>1708</v>
      </c>
      <c r="AN353" s="37">
        <f>VLOOKUP(C353,'[2]MARÇO-2024'!$B:$M,12,0)</f>
        <v>47</v>
      </c>
      <c r="AO353" s="37">
        <f t="shared" si="40"/>
        <v>-1</v>
      </c>
      <c r="AP353" s="37" t="str">
        <f t="shared" si="41"/>
        <v/>
      </c>
    </row>
  </sheetData>
  <sheetProtection algorithmName="SHA-512" hashValue="Azu1PSfCbYEdLcV8Dcg/urK5z2lXft9sOQvQQkAdzcTNL5ezx7eyMCjknTndMAegf93mMzFBRMTeygs00pSS4g==" saltValue="hsDBjIGvj2v6YXW1IlSbPw==" spinCount="100000" sheet="1" formatCells="0" formatColumns="0" formatRows="0" insertColumns="0" insertRows="0" deleteColumns="0" deleteRows="0" sort="0" autoFilter="0" pivotTables="0"/>
  <autoFilter ref="A4:AP353" xr:uid="{70056E75-4AD1-4329-A193-36E31634B6AA}">
    <sortState xmlns:xlrd2="http://schemas.microsoft.com/office/spreadsheetml/2017/richdata2" ref="A5:AP353">
      <sortCondition ref="C5:C353"/>
    </sortState>
  </autoFilter>
  <sortState xmlns:xlrd2="http://schemas.microsoft.com/office/spreadsheetml/2017/richdata2" ref="A5:AM313">
    <sortCondition ref="A5:A313"/>
    <sortCondition ref="C5:C313"/>
  </sortState>
  <phoneticPr fontId="2" type="noConversion"/>
  <conditionalFormatting sqref="A1:A2">
    <cfRule type="duplicateValues" dxfId="4" priority="3"/>
  </conditionalFormatting>
  <conditionalFormatting sqref="G3 C5:C1048576 G5:G61 G63:G1048576">
    <cfRule type="duplicateValues" dxfId="3" priority="14"/>
  </conditionalFormatting>
  <conditionalFormatting sqref="H5:H1048576">
    <cfRule type="duplicateValues" dxfId="2" priority="12"/>
  </conditionalFormatting>
  <conditionalFormatting sqref="I62">
    <cfRule type="duplicateValues" dxfId="1" priority="2"/>
  </conditionalFormatting>
  <conditionalFormatting sqref="AK5:AK1048576">
    <cfRule type="cellIs" dxfId="0" priority="1" operator="greaterThan">
      <formula>4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Apoio</vt:lpstr>
      <vt:lpstr>Endereços</vt:lpstr>
      <vt:lpstr>Maio-2024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Juliana Farias Correia dos Santos</dc:creator>
  <cp:keywords/>
  <dc:description/>
  <cp:lastModifiedBy>Gabrielle Freire Domingues</cp:lastModifiedBy>
  <cp:revision/>
  <cp:lastPrinted>2024-06-19T11:54:12Z</cp:lastPrinted>
  <dcterms:created xsi:type="dcterms:W3CDTF">2022-12-29T12:23:41Z</dcterms:created>
  <dcterms:modified xsi:type="dcterms:W3CDTF">2026-08-26T00:20:31Z</dcterms:modified>
  <cp:category/>
  <cp:contentStatus/>
</cp:coreProperties>
</file>