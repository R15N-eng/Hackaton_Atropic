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779890\Downloads\"/>
    </mc:Choice>
  </mc:AlternateContent>
  <xr:revisionPtr revIDLastSave="0" documentId="13_ncr:1_{F6F097E8-B674-4437-B49F-D9F5D82F4D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O" sheetId="7" r:id="rId1"/>
    <sheet name="QUADRO RESUMO" sheetId="8" r:id="rId2"/>
  </sheets>
  <definedNames>
    <definedName name="_xlnm._FilterDatabase" localSheetId="0" hidden="1">MAIO!$A$218:$W$218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" i="7" l="1"/>
  <c r="Q141" i="7"/>
  <c r="R141" i="7"/>
  <c r="S141" i="7"/>
  <c r="T141" i="7"/>
  <c r="U141" i="7"/>
  <c r="V141" i="7"/>
  <c r="Q276" i="7"/>
  <c r="R276" i="7"/>
  <c r="S276" i="7"/>
  <c r="T276" i="7"/>
  <c r="U276" i="7"/>
  <c r="V276" i="7"/>
  <c r="Q275" i="7"/>
  <c r="R275" i="7"/>
  <c r="S275" i="7"/>
  <c r="T275" i="7"/>
  <c r="U275" i="7"/>
  <c r="V275" i="7"/>
  <c r="Q216" i="7"/>
  <c r="R216" i="7"/>
  <c r="S216" i="7"/>
  <c r="T216" i="7"/>
  <c r="U216" i="7"/>
  <c r="V216" i="7"/>
  <c r="Q215" i="7"/>
  <c r="R215" i="7"/>
  <c r="S215" i="7"/>
  <c r="T215" i="7"/>
  <c r="U215" i="7"/>
  <c r="V215" i="7"/>
  <c r="Q214" i="7"/>
  <c r="R214" i="7"/>
  <c r="S214" i="7"/>
  <c r="T214" i="7"/>
  <c r="U214" i="7"/>
  <c r="V214" i="7"/>
  <c r="Q200" i="7"/>
  <c r="R200" i="7"/>
  <c r="S200" i="7"/>
  <c r="T200" i="7"/>
  <c r="U200" i="7"/>
  <c r="V200" i="7"/>
  <c r="Q199" i="7"/>
  <c r="R199" i="7"/>
  <c r="S199" i="7"/>
  <c r="T199" i="7"/>
  <c r="U199" i="7"/>
  <c r="V199" i="7"/>
  <c r="Q180" i="7"/>
  <c r="R180" i="7"/>
  <c r="S180" i="7"/>
  <c r="T180" i="7"/>
  <c r="U180" i="7"/>
  <c r="V180" i="7"/>
  <c r="Q148" i="7"/>
  <c r="R148" i="7"/>
  <c r="S148" i="7"/>
  <c r="T148" i="7"/>
  <c r="U148" i="7"/>
  <c r="V148" i="7"/>
  <c r="Q135" i="7"/>
  <c r="R135" i="7"/>
  <c r="S135" i="7"/>
  <c r="T135" i="7"/>
  <c r="U135" i="7"/>
  <c r="V135" i="7"/>
  <c r="Q134" i="7"/>
  <c r="R134" i="7"/>
  <c r="S134" i="7"/>
  <c r="T134" i="7"/>
  <c r="U134" i="7"/>
  <c r="V134" i="7"/>
  <c r="Q133" i="7"/>
  <c r="R133" i="7"/>
  <c r="S133" i="7"/>
  <c r="T133" i="7"/>
  <c r="U133" i="7"/>
  <c r="V133" i="7"/>
  <c r="Q132" i="7"/>
  <c r="R132" i="7"/>
  <c r="S132" i="7"/>
  <c r="T132" i="7"/>
  <c r="U132" i="7"/>
  <c r="V132" i="7"/>
  <c r="Q58" i="7"/>
  <c r="R58" i="7"/>
  <c r="S58" i="7"/>
  <c r="T58" i="7"/>
  <c r="U58" i="7"/>
  <c r="V58" i="7"/>
  <c r="Q8" i="7"/>
  <c r="R8" i="7"/>
  <c r="S8" i="7"/>
  <c r="T8" i="7"/>
  <c r="U8" i="7"/>
  <c r="V8" i="7"/>
  <c r="R202" i="7"/>
  <c r="R47" i="7"/>
  <c r="B18" i="8"/>
  <c r="B29" i="8" s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4" i="8"/>
  <c r="B3" i="8"/>
  <c r="T5" i="7"/>
  <c r="T6" i="7"/>
  <c r="T7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7" i="7"/>
  <c r="T138" i="7"/>
  <c r="T139" i="7"/>
  <c r="T140" i="7"/>
  <c r="T142" i="7"/>
  <c r="T143" i="7"/>
  <c r="T144" i="7"/>
  <c r="T145" i="7"/>
  <c r="T146" i="7"/>
  <c r="T147" i="7"/>
  <c r="T150" i="7"/>
  <c r="T151" i="7"/>
  <c r="T152" i="7"/>
  <c r="T153" i="7"/>
  <c r="T154" i="7"/>
  <c r="T155" i="7"/>
  <c r="T156" i="7"/>
  <c r="T157" i="7"/>
  <c r="T158" i="7"/>
  <c r="T159" i="7"/>
  <c r="T160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8" i="7"/>
  <c r="T279" i="7"/>
  <c r="T280" i="7"/>
  <c r="T281" i="7"/>
  <c r="T282" i="7"/>
  <c r="T283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7" i="7"/>
  <c r="S138" i="7"/>
  <c r="S139" i="7"/>
  <c r="S140" i="7"/>
  <c r="S142" i="7"/>
  <c r="S143" i="7"/>
  <c r="S144" i="7"/>
  <c r="S145" i="7"/>
  <c r="S146" i="7"/>
  <c r="S147" i="7"/>
  <c r="S150" i="7"/>
  <c r="S151" i="7"/>
  <c r="S152" i="7"/>
  <c r="S153" i="7"/>
  <c r="S154" i="7"/>
  <c r="S155" i="7"/>
  <c r="S156" i="7"/>
  <c r="S157" i="7"/>
  <c r="S158" i="7"/>
  <c r="S159" i="7"/>
  <c r="S160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8" i="7"/>
  <c r="S279" i="7"/>
  <c r="S280" i="7"/>
  <c r="S281" i="7"/>
  <c r="S282" i="7"/>
  <c r="S283" i="7"/>
  <c r="S5" i="7"/>
  <c r="S6" i="7"/>
  <c r="S7" i="7"/>
  <c r="T4" i="7"/>
  <c r="S4" i="7"/>
  <c r="Q5" i="7"/>
  <c r="U5" i="7"/>
  <c r="Q6" i="7"/>
  <c r="U6" i="7"/>
  <c r="Q7" i="7"/>
  <c r="U7" i="7"/>
  <c r="Q10" i="7"/>
  <c r="Q11" i="7"/>
  <c r="U11" i="7"/>
  <c r="Q12" i="7"/>
  <c r="U12" i="7"/>
  <c r="Q13" i="7"/>
  <c r="Q14" i="7"/>
  <c r="U14" i="7"/>
  <c r="Q15" i="7"/>
  <c r="U15" i="7"/>
  <c r="Q16" i="7"/>
  <c r="U16" i="7"/>
  <c r="Q17" i="7"/>
  <c r="U17" i="7"/>
  <c r="Q18" i="7"/>
  <c r="U18" i="7"/>
  <c r="Q19" i="7"/>
  <c r="U19" i="7"/>
  <c r="Q20" i="7"/>
  <c r="U20" i="7"/>
  <c r="Q21" i="7"/>
  <c r="U21" i="7"/>
  <c r="Q22" i="7"/>
  <c r="U22" i="7"/>
  <c r="Q23" i="7"/>
  <c r="U23" i="7"/>
  <c r="Q24" i="7"/>
  <c r="U24" i="7"/>
  <c r="Q25" i="7"/>
  <c r="Q26" i="7"/>
  <c r="Q27" i="7"/>
  <c r="U27" i="7"/>
  <c r="Q28" i="7"/>
  <c r="U28" i="7"/>
  <c r="Q29" i="7"/>
  <c r="Q30" i="7"/>
  <c r="U30" i="7"/>
  <c r="Q31" i="7"/>
  <c r="U31" i="7"/>
  <c r="Q32" i="7"/>
  <c r="U32" i="7"/>
  <c r="Q33" i="7"/>
  <c r="U33" i="7"/>
  <c r="Q34" i="7"/>
  <c r="Q35" i="7"/>
  <c r="U35" i="7"/>
  <c r="Q36" i="7"/>
  <c r="U36" i="7"/>
  <c r="Q37" i="7"/>
  <c r="Q38" i="7"/>
  <c r="Q39" i="7"/>
  <c r="Q40" i="7"/>
  <c r="U40" i="7"/>
  <c r="Q41" i="7"/>
  <c r="U41" i="7"/>
  <c r="Q42" i="7"/>
  <c r="Q43" i="7"/>
  <c r="U43" i="7"/>
  <c r="Q44" i="7"/>
  <c r="U44" i="7"/>
  <c r="Q45" i="7"/>
  <c r="U45" i="7"/>
  <c r="Q46" i="7"/>
  <c r="Q47" i="7"/>
  <c r="U47" i="7"/>
  <c r="Q48" i="7"/>
  <c r="U48" i="7"/>
  <c r="Q49" i="7"/>
  <c r="Q50" i="7"/>
  <c r="U50" i="7"/>
  <c r="Q51" i="7"/>
  <c r="U51" i="7"/>
  <c r="Q52" i="7"/>
  <c r="U52" i="7"/>
  <c r="Q53" i="7"/>
  <c r="U53" i="7"/>
  <c r="Q54" i="7"/>
  <c r="Q55" i="7"/>
  <c r="U55" i="7"/>
  <c r="Q56" i="7"/>
  <c r="U56" i="7"/>
  <c r="Q57" i="7"/>
  <c r="U57" i="7"/>
  <c r="U60" i="7"/>
  <c r="Q61" i="7"/>
  <c r="U61" i="7"/>
  <c r="Q62" i="7"/>
  <c r="U62" i="7"/>
  <c r="Q63" i="7"/>
  <c r="U63" i="7"/>
  <c r="Q64" i="7"/>
  <c r="U64" i="7"/>
  <c r="Q65" i="7"/>
  <c r="U65" i="7"/>
  <c r="Q66" i="7"/>
  <c r="U66" i="7"/>
  <c r="Q67" i="7"/>
  <c r="U67" i="7"/>
  <c r="Q68" i="7"/>
  <c r="U68" i="7"/>
  <c r="Q69" i="7"/>
  <c r="U69" i="7"/>
  <c r="Q70" i="7"/>
  <c r="U70" i="7"/>
  <c r="Q71" i="7"/>
  <c r="U71" i="7"/>
  <c r="Q72" i="7"/>
  <c r="U72" i="7"/>
  <c r="Q73" i="7"/>
  <c r="U73" i="7"/>
  <c r="Q74" i="7"/>
  <c r="U74" i="7"/>
  <c r="Q75" i="7"/>
  <c r="U75" i="7"/>
  <c r="Q76" i="7"/>
  <c r="U76" i="7"/>
  <c r="Q77" i="7"/>
  <c r="U77" i="7"/>
  <c r="Q78" i="7"/>
  <c r="U78" i="7"/>
  <c r="Q79" i="7"/>
  <c r="U79" i="7"/>
  <c r="Q80" i="7"/>
  <c r="U80" i="7"/>
  <c r="Q81" i="7"/>
  <c r="U81" i="7"/>
  <c r="Q82" i="7"/>
  <c r="U82" i="7"/>
  <c r="Q83" i="7"/>
  <c r="U83" i="7"/>
  <c r="Q84" i="7"/>
  <c r="U84" i="7"/>
  <c r="Q85" i="7"/>
  <c r="U85" i="7"/>
  <c r="Q86" i="7"/>
  <c r="U86" i="7"/>
  <c r="Q87" i="7"/>
  <c r="U87" i="7"/>
  <c r="Q88" i="7"/>
  <c r="U88" i="7"/>
  <c r="Q89" i="7"/>
  <c r="U89" i="7"/>
  <c r="Q90" i="7"/>
  <c r="U90" i="7"/>
  <c r="Q91" i="7"/>
  <c r="U91" i="7"/>
  <c r="Q92" i="7"/>
  <c r="U92" i="7"/>
  <c r="Q93" i="7"/>
  <c r="U93" i="7"/>
  <c r="Q94" i="7"/>
  <c r="U94" i="7"/>
  <c r="Q96" i="7"/>
  <c r="U96" i="7"/>
  <c r="Q97" i="7"/>
  <c r="U97" i="7"/>
  <c r="Q98" i="7"/>
  <c r="U98" i="7"/>
  <c r="Q99" i="7"/>
  <c r="U99" i="7"/>
  <c r="Q100" i="7"/>
  <c r="U100" i="7"/>
  <c r="Q101" i="7"/>
  <c r="U101" i="7"/>
  <c r="Q102" i="7"/>
  <c r="U102" i="7"/>
  <c r="Q103" i="7"/>
  <c r="U103" i="7"/>
  <c r="Q104" i="7"/>
  <c r="U104" i="7"/>
  <c r="Q105" i="7"/>
  <c r="U105" i="7"/>
  <c r="Q106" i="7"/>
  <c r="U106" i="7"/>
  <c r="Q107" i="7"/>
  <c r="U107" i="7"/>
  <c r="Q108" i="7"/>
  <c r="U108" i="7"/>
  <c r="Q109" i="7"/>
  <c r="U109" i="7"/>
  <c r="Q110" i="7"/>
  <c r="U110" i="7"/>
  <c r="Q111" i="7"/>
  <c r="U111" i="7"/>
  <c r="Q112" i="7"/>
  <c r="U112" i="7"/>
  <c r="Q113" i="7"/>
  <c r="U113" i="7"/>
  <c r="Q114" i="7"/>
  <c r="U114" i="7"/>
  <c r="Q115" i="7"/>
  <c r="U115" i="7"/>
  <c r="Q116" i="7"/>
  <c r="U116" i="7"/>
  <c r="Q117" i="7"/>
  <c r="U117" i="7"/>
  <c r="Q118" i="7"/>
  <c r="U118" i="7"/>
  <c r="Q119" i="7"/>
  <c r="U119" i="7"/>
  <c r="Q120" i="7"/>
  <c r="U120" i="7"/>
  <c r="Q121" i="7"/>
  <c r="U121" i="7"/>
  <c r="Q122" i="7"/>
  <c r="U122" i="7"/>
  <c r="Q123" i="7"/>
  <c r="U123" i="7"/>
  <c r="Q124" i="7"/>
  <c r="U124" i="7"/>
  <c r="Q125" i="7"/>
  <c r="U125" i="7"/>
  <c r="Q126" i="7"/>
  <c r="U126" i="7"/>
  <c r="Q127" i="7"/>
  <c r="U127" i="7"/>
  <c r="Q128" i="7"/>
  <c r="U128" i="7"/>
  <c r="Q129" i="7"/>
  <c r="U129" i="7"/>
  <c r="Q130" i="7"/>
  <c r="U130" i="7"/>
  <c r="Q131" i="7"/>
  <c r="U131" i="7"/>
  <c r="Q137" i="7"/>
  <c r="U137" i="7"/>
  <c r="Q138" i="7"/>
  <c r="U138" i="7"/>
  <c r="Q139" i="7"/>
  <c r="U139" i="7"/>
  <c r="Q140" i="7"/>
  <c r="U140" i="7"/>
  <c r="Q142" i="7"/>
  <c r="Q143" i="7"/>
  <c r="Q144" i="7"/>
  <c r="U144" i="7"/>
  <c r="V144" i="7"/>
  <c r="Q145" i="7"/>
  <c r="Q146" i="7"/>
  <c r="U146" i="7"/>
  <c r="Q147" i="7"/>
  <c r="U147" i="7"/>
  <c r="Q150" i="7"/>
  <c r="U150" i="7"/>
  <c r="Q151" i="7"/>
  <c r="U151" i="7"/>
  <c r="Q152" i="7"/>
  <c r="U152" i="7"/>
  <c r="Q153" i="7"/>
  <c r="U153" i="7"/>
  <c r="Q154" i="7"/>
  <c r="U154" i="7"/>
  <c r="Q155" i="7"/>
  <c r="U155" i="7"/>
  <c r="Q156" i="7"/>
  <c r="U156" i="7"/>
  <c r="Q157" i="7"/>
  <c r="U157" i="7"/>
  <c r="Q158" i="7"/>
  <c r="U158" i="7"/>
  <c r="Q159" i="7"/>
  <c r="U159" i="7"/>
  <c r="Q160" i="7"/>
  <c r="U160" i="7"/>
  <c r="V160" i="7"/>
  <c r="Q162" i="7"/>
  <c r="U162" i="7"/>
  <c r="Q163" i="7"/>
  <c r="U163" i="7"/>
  <c r="Q164" i="7"/>
  <c r="U164" i="7"/>
  <c r="Q165" i="7"/>
  <c r="U165" i="7"/>
  <c r="Q166" i="7"/>
  <c r="U166" i="7"/>
  <c r="Q167" i="7"/>
  <c r="U167" i="7"/>
  <c r="Q168" i="7"/>
  <c r="U168" i="7"/>
  <c r="V168" i="7"/>
  <c r="Q169" i="7"/>
  <c r="U169" i="7"/>
  <c r="Q170" i="7"/>
  <c r="U170" i="7"/>
  <c r="Q171" i="7"/>
  <c r="U171" i="7"/>
  <c r="Q172" i="7"/>
  <c r="U172" i="7"/>
  <c r="Q173" i="7"/>
  <c r="U173" i="7"/>
  <c r="Q174" i="7"/>
  <c r="U174" i="7"/>
  <c r="Q175" i="7"/>
  <c r="U175" i="7"/>
  <c r="Q176" i="7"/>
  <c r="U176" i="7"/>
  <c r="V176" i="7"/>
  <c r="Q177" i="7"/>
  <c r="U177" i="7"/>
  <c r="Q178" i="7"/>
  <c r="U178" i="7"/>
  <c r="Q179" i="7"/>
  <c r="U179" i="7"/>
  <c r="Q182" i="7"/>
  <c r="Q183" i="7"/>
  <c r="U183" i="7"/>
  <c r="Q184" i="7"/>
  <c r="U184" i="7"/>
  <c r="Q185" i="7"/>
  <c r="U185" i="7"/>
  <c r="Q186" i="7"/>
  <c r="U186" i="7"/>
  <c r="Q187" i="7"/>
  <c r="U187" i="7"/>
  <c r="Q188" i="7"/>
  <c r="U188" i="7"/>
  <c r="Q189" i="7"/>
  <c r="U189" i="7"/>
  <c r="Q190" i="7"/>
  <c r="U190" i="7"/>
  <c r="Q191" i="7"/>
  <c r="U191" i="7"/>
  <c r="V191" i="7"/>
  <c r="Q192" i="7"/>
  <c r="U192" i="7"/>
  <c r="Q193" i="7"/>
  <c r="Q194" i="7"/>
  <c r="U194" i="7"/>
  <c r="Q195" i="7"/>
  <c r="U195" i="7"/>
  <c r="Q196" i="7"/>
  <c r="U196" i="7"/>
  <c r="Q197" i="7"/>
  <c r="U197" i="7"/>
  <c r="Q198" i="7"/>
  <c r="U198" i="7"/>
  <c r="Q202" i="7"/>
  <c r="U202" i="7"/>
  <c r="Q203" i="7"/>
  <c r="Q204" i="7"/>
  <c r="Q205" i="7"/>
  <c r="U205" i="7"/>
  <c r="Q206" i="7"/>
  <c r="U206" i="7"/>
  <c r="Q207" i="7"/>
  <c r="Q208" i="7"/>
  <c r="U208" i="7"/>
  <c r="Q209" i="7"/>
  <c r="U209" i="7"/>
  <c r="Q210" i="7"/>
  <c r="U210" i="7"/>
  <c r="Q211" i="7"/>
  <c r="U211" i="7"/>
  <c r="Q212" i="7"/>
  <c r="U212" i="7"/>
  <c r="Q213" i="7"/>
  <c r="U213" i="7"/>
  <c r="Q218" i="7"/>
  <c r="U218" i="7"/>
  <c r="Q219" i="7"/>
  <c r="U219" i="7"/>
  <c r="Q220" i="7"/>
  <c r="U220" i="7"/>
  <c r="Q221" i="7"/>
  <c r="U221" i="7"/>
  <c r="Q222" i="7"/>
  <c r="U222" i="7"/>
  <c r="Q223" i="7"/>
  <c r="U223" i="7"/>
  <c r="V223" i="7"/>
  <c r="Q224" i="7"/>
  <c r="U224" i="7"/>
  <c r="Q225" i="7"/>
  <c r="U225" i="7"/>
  <c r="Q226" i="7"/>
  <c r="U226" i="7"/>
  <c r="Q227" i="7"/>
  <c r="U227" i="7"/>
  <c r="Q228" i="7"/>
  <c r="U228" i="7"/>
  <c r="Q229" i="7"/>
  <c r="U229" i="7"/>
  <c r="Q230" i="7"/>
  <c r="U230" i="7"/>
  <c r="Q231" i="7"/>
  <c r="U231" i="7"/>
  <c r="Q232" i="7"/>
  <c r="U232" i="7"/>
  <c r="Q233" i="7"/>
  <c r="U233" i="7"/>
  <c r="Q234" i="7"/>
  <c r="U234" i="7"/>
  <c r="Q235" i="7"/>
  <c r="U235" i="7"/>
  <c r="Q236" i="7"/>
  <c r="U236" i="7"/>
  <c r="Q237" i="7"/>
  <c r="U237" i="7"/>
  <c r="Q238" i="7"/>
  <c r="U238" i="7"/>
  <c r="Q239" i="7"/>
  <c r="U239" i="7"/>
  <c r="Q240" i="7"/>
  <c r="U240" i="7"/>
  <c r="Q241" i="7"/>
  <c r="U241" i="7"/>
  <c r="Q242" i="7"/>
  <c r="U242" i="7"/>
  <c r="Q243" i="7"/>
  <c r="U243" i="7"/>
  <c r="Q244" i="7"/>
  <c r="U244" i="7"/>
  <c r="Q245" i="7"/>
  <c r="U245" i="7"/>
  <c r="Q246" i="7"/>
  <c r="U246" i="7"/>
  <c r="Q247" i="7"/>
  <c r="U247" i="7"/>
  <c r="Q248" i="7"/>
  <c r="U248" i="7"/>
  <c r="Q249" i="7"/>
  <c r="U249" i="7"/>
  <c r="Q250" i="7"/>
  <c r="U250" i="7"/>
  <c r="Q251" i="7"/>
  <c r="U251" i="7"/>
  <c r="V251" i="7"/>
  <c r="Q252" i="7"/>
  <c r="U252" i="7"/>
  <c r="Q253" i="7"/>
  <c r="U253" i="7"/>
  <c r="Q254" i="7"/>
  <c r="U254" i="7"/>
  <c r="Q255" i="7"/>
  <c r="U255" i="7"/>
  <c r="Q256" i="7"/>
  <c r="U256" i="7"/>
  <c r="Q257" i="7"/>
  <c r="U257" i="7"/>
  <c r="Q258" i="7"/>
  <c r="U258" i="7"/>
  <c r="Q259" i="7"/>
  <c r="U259" i="7"/>
  <c r="V259" i="7"/>
  <c r="Q260" i="7"/>
  <c r="U260" i="7"/>
  <c r="Q261" i="7"/>
  <c r="U261" i="7"/>
  <c r="Q262" i="7"/>
  <c r="U262" i="7"/>
  <c r="Q263" i="7"/>
  <c r="U263" i="7"/>
  <c r="Q264" i="7"/>
  <c r="U264" i="7"/>
  <c r="Q265" i="7"/>
  <c r="U265" i="7"/>
  <c r="Q266" i="7"/>
  <c r="U266" i="7"/>
  <c r="Q267" i="7"/>
  <c r="U267" i="7"/>
  <c r="Q268" i="7"/>
  <c r="U268" i="7"/>
  <c r="Q269" i="7"/>
  <c r="U269" i="7"/>
  <c r="Q270" i="7"/>
  <c r="Q271" i="7"/>
  <c r="U271" i="7"/>
  <c r="Q272" i="7"/>
  <c r="U272" i="7"/>
  <c r="Q273" i="7"/>
  <c r="U273" i="7"/>
  <c r="Q274" i="7"/>
  <c r="U274" i="7"/>
  <c r="Q278" i="7"/>
  <c r="U278" i="7"/>
  <c r="Q279" i="7"/>
  <c r="U279" i="7"/>
  <c r="Q280" i="7"/>
  <c r="U280" i="7"/>
  <c r="Q281" i="7"/>
  <c r="U281" i="7"/>
  <c r="Q282" i="7"/>
  <c r="U282" i="7"/>
  <c r="Q283" i="7"/>
  <c r="U283" i="7"/>
  <c r="V283" i="7"/>
  <c r="R283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6" i="7"/>
  <c r="R97" i="7"/>
  <c r="V97" i="7"/>
  <c r="R98" i="7"/>
  <c r="R99" i="7"/>
  <c r="R100" i="7"/>
  <c r="R101" i="7"/>
  <c r="V101" i="7"/>
  <c r="R102" i="7"/>
  <c r="R103" i="7"/>
  <c r="R104" i="7"/>
  <c r="R105" i="7"/>
  <c r="V105" i="7"/>
  <c r="R106" i="7"/>
  <c r="R107" i="7"/>
  <c r="R108" i="7"/>
  <c r="R109" i="7"/>
  <c r="V109" i="7"/>
  <c r="R110" i="7"/>
  <c r="R111" i="7"/>
  <c r="R112" i="7"/>
  <c r="R113" i="7"/>
  <c r="V113" i="7"/>
  <c r="R114" i="7"/>
  <c r="R115" i="7"/>
  <c r="R116" i="7"/>
  <c r="R117" i="7"/>
  <c r="V117" i="7"/>
  <c r="R118" i="7"/>
  <c r="R119" i="7"/>
  <c r="R120" i="7"/>
  <c r="R121" i="7"/>
  <c r="V121" i="7"/>
  <c r="R122" i="7"/>
  <c r="R123" i="7"/>
  <c r="R124" i="7"/>
  <c r="R125" i="7"/>
  <c r="V125" i="7"/>
  <c r="R126" i="7"/>
  <c r="R127" i="7"/>
  <c r="R128" i="7"/>
  <c r="R129" i="7"/>
  <c r="V129" i="7"/>
  <c r="R130" i="7"/>
  <c r="R131" i="7"/>
  <c r="R137" i="7"/>
  <c r="V137" i="7"/>
  <c r="R138" i="7"/>
  <c r="V138" i="7"/>
  <c r="R139" i="7"/>
  <c r="R140" i="7"/>
  <c r="R142" i="7"/>
  <c r="R143" i="7"/>
  <c r="R144" i="7"/>
  <c r="R145" i="7"/>
  <c r="R146" i="7"/>
  <c r="V146" i="7"/>
  <c r="R147" i="7"/>
  <c r="R150" i="7"/>
  <c r="V150" i="7"/>
  <c r="R151" i="7"/>
  <c r="R153" i="7"/>
  <c r="R154" i="7"/>
  <c r="V154" i="7"/>
  <c r="R155" i="7"/>
  <c r="R156" i="7"/>
  <c r="R157" i="7"/>
  <c r="V157" i="7"/>
  <c r="R158" i="7"/>
  <c r="V158" i="7"/>
  <c r="R159" i="7"/>
  <c r="R160" i="7"/>
  <c r="R162" i="7"/>
  <c r="V162" i="7"/>
  <c r="R163" i="7"/>
  <c r="R164" i="7"/>
  <c r="R165" i="7"/>
  <c r="R166" i="7"/>
  <c r="V166" i="7"/>
  <c r="R167" i="7"/>
  <c r="R168" i="7"/>
  <c r="R169" i="7"/>
  <c r="V169" i="7"/>
  <c r="R170" i="7"/>
  <c r="V170" i="7"/>
  <c r="R171" i="7"/>
  <c r="R172" i="7"/>
  <c r="R173" i="7"/>
  <c r="V173" i="7"/>
  <c r="R174" i="7"/>
  <c r="V174" i="7"/>
  <c r="R175" i="7"/>
  <c r="R176" i="7"/>
  <c r="R177" i="7"/>
  <c r="V177" i="7"/>
  <c r="R178" i="7"/>
  <c r="V178" i="7"/>
  <c r="R179" i="7"/>
  <c r="R182" i="7"/>
  <c r="R183" i="7"/>
  <c r="R184" i="7"/>
  <c r="R185" i="7"/>
  <c r="V185" i="7"/>
  <c r="R186" i="7"/>
  <c r="R187" i="7"/>
  <c r="R188" i="7"/>
  <c r="R189" i="7"/>
  <c r="V189" i="7"/>
  <c r="R190" i="7"/>
  <c r="R191" i="7"/>
  <c r="R192" i="7"/>
  <c r="V192" i="7"/>
  <c r="R193" i="7"/>
  <c r="R194" i="7"/>
  <c r="R195" i="7"/>
  <c r="R196" i="7"/>
  <c r="R197" i="7"/>
  <c r="V197" i="7"/>
  <c r="R198" i="7"/>
  <c r="R203" i="7"/>
  <c r="R204" i="7"/>
  <c r="R205" i="7"/>
  <c r="V205" i="7"/>
  <c r="R206" i="7"/>
  <c r="R207" i="7"/>
  <c r="R208" i="7"/>
  <c r="R209" i="7"/>
  <c r="V209" i="7"/>
  <c r="R210" i="7"/>
  <c r="R211" i="7"/>
  <c r="R212" i="7"/>
  <c r="V212" i="7"/>
  <c r="R213" i="7"/>
  <c r="V213" i="7"/>
  <c r="R218" i="7"/>
  <c r="R219" i="7"/>
  <c r="R220" i="7"/>
  <c r="V220" i="7"/>
  <c r="R221" i="7"/>
  <c r="V221" i="7"/>
  <c r="R222" i="7"/>
  <c r="R223" i="7"/>
  <c r="R224" i="7"/>
  <c r="V224" i="7"/>
  <c r="R225" i="7"/>
  <c r="V225" i="7"/>
  <c r="R226" i="7"/>
  <c r="R227" i="7"/>
  <c r="R228" i="7"/>
  <c r="R229" i="7"/>
  <c r="V229" i="7"/>
  <c r="R230" i="7"/>
  <c r="R231" i="7"/>
  <c r="V231" i="7"/>
  <c r="R232" i="7"/>
  <c r="R233" i="7"/>
  <c r="V233" i="7"/>
  <c r="R234" i="7"/>
  <c r="R235" i="7"/>
  <c r="R236" i="7"/>
  <c r="V236" i="7"/>
  <c r="R237" i="7"/>
  <c r="V237" i="7"/>
  <c r="R238" i="7"/>
  <c r="R239" i="7"/>
  <c r="R240" i="7"/>
  <c r="V240" i="7"/>
  <c r="R241" i="7"/>
  <c r="V241" i="7"/>
  <c r="R242" i="7"/>
  <c r="R243" i="7"/>
  <c r="R244" i="7"/>
  <c r="R245" i="7"/>
  <c r="V245" i="7"/>
  <c r="R246" i="7"/>
  <c r="R247" i="7"/>
  <c r="V247" i="7"/>
  <c r="R248" i="7"/>
  <c r="R249" i="7"/>
  <c r="V249" i="7"/>
  <c r="R250" i="7"/>
  <c r="R251" i="7"/>
  <c r="R252" i="7"/>
  <c r="V252" i="7"/>
  <c r="R253" i="7"/>
  <c r="V253" i="7"/>
  <c r="R254" i="7"/>
  <c r="R255" i="7"/>
  <c r="R256" i="7"/>
  <c r="V256" i="7"/>
  <c r="R257" i="7"/>
  <c r="V257" i="7"/>
  <c r="R258" i="7"/>
  <c r="R259" i="7"/>
  <c r="R260" i="7"/>
  <c r="R261" i="7"/>
  <c r="V261" i="7"/>
  <c r="R262" i="7"/>
  <c r="R263" i="7"/>
  <c r="V263" i="7"/>
  <c r="R264" i="7"/>
  <c r="R265" i="7"/>
  <c r="V265" i="7"/>
  <c r="R266" i="7"/>
  <c r="R267" i="7"/>
  <c r="R268" i="7"/>
  <c r="V268" i="7"/>
  <c r="R269" i="7"/>
  <c r="V269" i="7"/>
  <c r="R270" i="7"/>
  <c r="R271" i="7"/>
  <c r="R272" i="7"/>
  <c r="V272" i="7"/>
  <c r="R273" i="7"/>
  <c r="V273" i="7"/>
  <c r="R274" i="7"/>
  <c r="R278" i="7"/>
  <c r="R279" i="7"/>
  <c r="R280" i="7"/>
  <c r="V280" i="7"/>
  <c r="R281" i="7"/>
  <c r="V281" i="7"/>
  <c r="R282" i="7"/>
  <c r="R11" i="7"/>
  <c r="R12" i="7"/>
  <c r="R13" i="7"/>
  <c r="R14" i="7"/>
  <c r="R15" i="7"/>
  <c r="R16" i="7"/>
  <c r="V16" i="7"/>
  <c r="R17" i="7"/>
  <c r="R18" i="7"/>
  <c r="R19" i="7"/>
  <c r="R20" i="7"/>
  <c r="V20" i="7"/>
  <c r="R21" i="7"/>
  <c r="V21" i="7"/>
  <c r="R22" i="7"/>
  <c r="R23" i="7"/>
  <c r="R24" i="7"/>
  <c r="R25" i="7"/>
  <c r="R26" i="7"/>
  <c r="R27" i="7"/>
  <c r="R28" i="7"/>
  <c r="R29" i="7"/>
  <c r="R30" i="7"/>
  <c r="R31" i="7"/>
  <c r="R32" i="7"/>
  <c r="V32" i="7"/>
  <c r="R33" i="7"/>
  <c r="V33" i="7"/>
  <c r="R34" i="7"/>
  <c r="R35" i="7"/>
  <c r="R36" i="7"/>
  <c r="V36" i="7"/>
  <c r="R37" i="7"/>
  <c r="R38" i="7"/>
  <c r="R39" i="7"/>
  <c r="R40" i="7"/>
  <c r="R41" i="7"/>
  <c r="V41" i="7"/>
  <c r="R42" i="7"/>
  <c r="R43" i="7"/>
  <c r="R44" i="7"/>
  <c r="R45" i="7"/>
  <c r="V45" i="7"/>
  <c r="R46" i="7"/>
  <c r="R48" i="7"/>
  <c r="V48" i="7"/>
  <c r="R49" i="7"/>
  <c r="R50" i="7"/>
  <c r="R51" i="7"/>
  <c r="R52" i="7"/>
  <c r="V52" i="7"/>
  <c r="R53" i="7"/>
  <c r="V53" i="7"/>
  <c r="R54" i="7"/>
  <c r="R55" i="7"/>
  <c r="R56" i="7"/>
  <c r="R57" i="7"/>
  <c r="R10" i="7"/>
  <c r="R5" i="7"/>
  <c r="R6" i="7"/>
  <c r="V6" i="7"/>
  <c r="R7" i="7"/>
  <c r="R4" i="7"/>
  <c r="V274" i="7"/>
  <c r="V211" i="7"/>
  <c r="V210" i="7"/>
  <c r="V198" i="7"/>
  <c r="V196" i="7"/>
  <c r="V179" i="7"/>
  <c r="V147" i="7"/>
  <c r="V126" i="7"/>
  <c r="V130" i="7"/>
  <c r="V131" i="7"/>
  <c r="V282" i="7"/>
  <c r="V279" i="7"/>
  <c r="V278" i="7"/>
  <c r="V271" i="7"/>
  <c r="V270" i="7"/>
  <c r="V267" i="7"/>
  <c r="V266" i="7"/>
  <c r="V264" i="7"/>
  <c r="V262" i="7"/>
  <c r="V260" i="7"/>
  <c r="V258" i="7"/>
  <c r="V255" i="7"/>
  <c r="V254" i="7"/>
  <c r="V250" i="7"/>
  <c r="V248" i="7"/>
  <c r="V246" i="7"/>
  <c r="V244" i="7"/>
  <c r="V243" i="7"/>
  <c r="V242" i="7"/>
  <c r="V239" i="7"/>
  <c r="V238" i="7"/>
  <c r="V235" i="7"/>
  <c r="V234" i="7"/>
  <c r="V232" i="7"/>
  <c r="V230" i="7"/>
  <c r="V228" i="7"/>
  <c r="V227" i="7"/>
  <c r="V226" i="7"/>
  <c r="V222" i="7"/>
  <c r="V219" i="7"/>
  <c r="V218" i="7"/>
  <c r="V208" i="7"/>
  <c r="V206" i="7"/>
  <c r="V202" i="7"/>
  <c r="V195" i="7"/>
  <c r="V194" i="7"/>
  <c r="V190" i="7"/>
  <c r="V188" i="7"/>
  <c r="V186" i="7"/>
  <c r="V184" i="7"/>
  <c r="V183" i="7"/>
  <c r="V175" i="7"/>
  <c r="V172" i="7"/>
  <c r="V171" i="7"/>
  <c r="V167" i="7"/>
  <c r="V165" i="7"/>
  <c r="V163" i="7"/>
  <c r="V159" i="7"/>
  <c r="V156" i="7"/>
  <c r="V155" i="7"/>
  <c r="V153" i="7"/>
  <c r="V152" i="7"/>
  <c r="V151" i="7"/>
  <c r="V140" i="7"/>
  <c r="V139" i="7"/>
  <c r="V124" i="7"/>
  <c r="V123" i="7"/>
  <c r="V122" i="7"/>
  <c r="V120" i="7"/>
  <c r="V119" i="7"/>
  <c r="V118" i="7"/>
  <c r="V116" i="7"/>
  <c r="V115" i="7"/>
  <c r="V114" i="7"/>
  <c r="V112" i="7"/>
  <c r="V111" i="7"/>
  <c r="V110" i="7"/>
  <c r="V108" i="7"/>
  <c r="V107" i="7"/>
  <c r="V106" i="7"/>
  <c r="V104" i="7"/>
  <c r="V103" i="7"/>
  <c r="V102" i="7"/>
  <c r="V100" i="7"/>
  <c r="V99" i="7"/>
  <c r="V98" i="7"/>
  <c r="V96" i="7"/>
  <c r="V94" i="7"/>
  <c r="V93" i="7"/>
  <c r="V91" i="7"/>
  <c r="V90" i="7"/>
  <c r="V89" i="7"/>
  <c r="V87" i="7"/>
  <c r="V86" i="7"/>
  <c r="V85" i="7"/>
  <c r="V83" i="7"/>
  <c r="V82" i="7"/>
  <c r="V81" i="7"/>
  <c r="V79" i="7"/>
  <c r="V78" i="7"/>
  <c r="V77" i="7"/>
  <c r="V75" i="7"/>
  <c r="V74" i="7"/>
  <c r="V73" i="7"/>
  <c r="V71" i="7"/>
  <c r="V70" i="7"/>
  <c r="V69" i="7"/>
  <c r="V67" i="7"/>
  <c r="V66" i="7"/>
  <c r="V65" i="7"/>
  <c r="V63" i="7"/>
  <c r="V62" i="7"/>
  <c r="V61" i="7"/>
  <c r="V44" i="7"/>
  <c r="V40" i="7"/>
  <c r="V28" i="7"/>
  <c r="V24" i="7"/>
  <c r="V17" i="7"/>
  <c r="V12" i="7"/>
  <c r="Q4" i="7"/>
  <c r="U54" i="7"/>
  <c r="U49" i="7"/>
  <c r="V49" i="7"/>
  <c r="U207" i="7"/>
  <c r="U204" i="7"/>
  <c r="V204" i="7"/>
  <c r="U203" i="7"/>
  <c r="U193" i="7"/>
  <c r="V193" i="7"/>
  <c r="U182" i="7"/>
  <c r="V182" i="7"/>
  <c r="U145" i="7"/>
  <c r="V145" i="7"/>
  <c r="U143" i="7"/>
  <c r="V143" i="7"/>
  <c r="U142" i="7"/>
  <c r="V142" i="7"/>
  <c r="U46" i="7"/>
  <c r="U39" i="7"/>
  <c r="U38" i="7"/>
  <c r="U37" i="7"/>
  <c r="V37" i="7"/>
  <c r="U34" i="7"/>
  <c r="U29" i="7"/>
  <c r="V29" i="7"/>
  <c r="U26" i="7"/>
  <c r="U25" i="7"/>
  <c r="V25" i="7"/>
  <c r="U13" i="7"/>
  <c r="V13" i="7"/>
  <c r="U10" i="7"/>
  <c r="U42" i="7"/>
  <c r="V164" i="7"/>
  <c r="V92" i="7"/>
  <c r="V88" i="7"/>
  <c r="V84" i="7"/>
  <c r="V80" i="7"/>
  <c r="V76" i="7"/>
  <c r="V72" i="7"/>
  <c r="V68" i="7"/>
  <c r="V64" i="7"/>
  <c r="V60" i="7"/>
  <c r="V187" i="7"/>
  <c r="V128" i="7"/>
  <c r="V207" i="7"/>
  <c r="V203" i="7"/>
  <c r="V127" i="7"/>
  <c r="U4" i="7"/>
  <c r="V4" i="7"/>
  <c r="V7" i="7"/>
  <c r="D14" i="8"/>
  <c r="E14" i="8"/>
  <c r="F3" i="8"/>
  <c r="F4" i="8"/>
  <c r="F5" i="8"/>
  <c r="F6" i="8"/>
  <c r="F7" i="8"/>
  <c r="F8" i="8"/>
  <c r="F9" i="8"/>
  <c r="F10" i="8"/>
  <c r="F11" i="8"/>
  <c r="F12" i="8"/>
  <c r="F13" i="8"/>
  <c r="B14" i="8"/>
  <c r="B15" i="8"/>
  <c r="V5" i="7"/>
  <c r="V10" i="7"/>
  <c r="V54" i="7"/>
  <c r="V50" i="7"/>
  <c r="V46" i="7"/>
  <c r="V42" i="7"/>
  <c r="V38" i="7"/>
  <c r="V34" i="7"/>
  <c r="V30" i="7"/>
  <c r="V26" i="7"/>
  <c r="V22" i="7"/>
  <c r="V18" i="7"/>
  <c r="V14" i="7"/>
  <c r="V55" i="7"/>
  <c r="V51" i="7"/>
  <c r="V47" i="7"/>
  <c r="V43" i="7"/>
  <c r="V39" i="7"/>
  <c r="V35" i="7"/>
  <c r="V31" i="7"/>
  <c r="V27" i="7"/>
  <c r="V23" i="7"/>
  <c r="V19" i="7"/>
  <c r="V15" i="7"/>
  <c r="V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Gerência de Matrícula e Censo Escolar</author>
  </authors>
  <commentList>
    <comment ref="C164" authorId="0" shapeId="0" xr:uid="{A655A6FD-C75C-42D7-BBEC-ED7E7D2F4415}">
      <text>
        <r>
          <rPr>
            <sz val="11"/>
            <color theme="1"/>
            <rFont val="Calibri"/>
            <family val="2"/>
            <scheme val="minor"/>
          </rPr>
          <t xml:space="preserve">Gerência de Matrícula e Censo Escolar:
</t>
        </r>
      </text>
    </comment>
  </commentList>
</comments>
</file>

<file path=xl/sharedStrings.xml><?xml version="1.0" encoding="utf-8"?>
<sst xmlns="http://schemas.openxmlformats.org/spreadsheetml/2006/main" count="1379" uniqueCount="817">
  <si>
    <t>CRE</t>
  </si>
  <si>
    <t>NOME FANTASIA</t>
  </si>
  <si>
    <t>MANTENEDORA</t>
  </si>
  <si>
    <t xml:space="preserve">ENDEREÇO </t>
  </si>
  <si>
    <t>BAIRRO</t>
  </si>
  <si>
    <t>META</t>
  </si>
  <si>
    <t>FAIXA ETÁRIA</t>
  </si>
  <si>
    <t>BI</t>
  </si>
  <si>
    <t>B II</t>
  </si>
  <si>
    <t>M I</t>
  </si>
  <si>
    <t>M II</t>
  </si>
  <si>
    <t>TOTAL ALUNOS</t>
  </si>
  <si>
    <t>TOTAL INCLUÍDOS</t>
  </si>
  <si>
    <t>REDUÇÃO DE VAGAS POR INCLUÍDOS EM BERÇÁRIO</t>
  </si>
  <si>
    <t>REDUÇÃO DE VAGAS POR INCLUÍDOS EM MATERNAL</t>
  </si>
  <si>
    <t>VAGAS</t>
  </si>
  <si>
    <t>EXCENDENTE</t>
  </si>
  <si>
    <t>OBS</t>
  </si>
  <si>
    <t>Alunos</t>
  </si>
  <si>
    <t>Incluídos</t>
  </si>
  <si>
    <t>1ª</t>
  </si>
  <si>
    <t>Casa Maternal Coração De Mãe</t>
  </si>
  <si>
    <t>Instituto Missionário Comunhão E Participação</t>
  </si>
  <si>
    <t>Rua Conceição, Nº 01</t>
  </si>
  <si>
    <t>Rio Comprido</t>
  </si>
  <si>
    <t xml:space="preserve">2 anos </t>
  </si>
  <si>
    <t>Creche Cantinho Feliz De Santa Teresa</t>
  </si>
  <si>
    <t>Instituto Trilho</t>
  </si>
  <si>
    <t>Rua Almirante Alexandrina, 2495</t>
  </si>
  <si>
    <t>Santa Teresa</t>
  </si>
  <si>
    <t>Creche Tuiuti</t>
  </si>
  <si>
    <t xml:space="preserve">Núcleo De Ação Comunitária E Desenvolvimento Social - Nacodes </t>
  </si>
  <si>
    <t>Rua São Luiz Gonzaga, Nº 1612-Fundos</t>
  </si>
  <si>
    <t>Benfica</t>
  </si>
  <si>
    <t>1 ano</t>
  </si>
  <si>
    <t>Educandário N. Srª De Nazaré</t>
  </si>
  <si>
    <t>Congregação Das Pequenas Irmãs Da Divina Providência</t>
  </si>
  <si>
    <t>Rua Doutor Agra, Nº 115</t>
  </si>
  <si>
    <t>Catumbi</t>
  </si>
  <si>
    <t>Creche Comunitária Preventório Rainha Dona Amélia</t>
  </si>
  <si>
    <t>Rua Cerqueira, 16</t>
  </si>
  <si>
    <t>Paquetá</t>
  </si>
  <si>
    <t>3º chamamento</t>
  </si>
  <si>
    <t>2ª</t>
  </si>
  <si>
    <t>Abrigo Teresa De Jesus</t>
  </si>
  <si>
    <t>Rua Ibituruna, 53</t>
  </si>
  <si>
    <t>Tijuca</t>
  </si>
  <si>
    <t>6 meses</t>
  </si>
  <si>
    <t>Ação Social Padre Anchieta - Aspa</t>
  </si>
  <si>
    <t>Travessa Luz, 13</t>
  </si>
  <si>
    <t>Rocinha</t>
  </si>
  <si>
    <t xml:space="preserve">Casa Da Criança </t>
  </si>
  <si>
    <t>Rua Fernandes Guimarães, 85</t>
  </si>
  <si>
    <t>Botafogo</t>
  </si>
  <si>
    <t>Casa Espírita Cristã Maria De Nazaré</t>
  </si>
  <si>
    <t>Estr. Da Gávea, 262, Quarteirão 21, R. Um S/Nº</t>
  </si>
  <si>
    <t>0 ano</t>
  </si>
  <si>
    <t>Casa Maternal Mello Mattos</t>
  </si>
  <si>
    <t>Associação Tutelar De Menores</t>
  </si>
  <si>
    <t>Rua Faro, 80</t>
  </si>
  <si>
    <t>Jardim Botânico</t>
  </si>
  <si>
    <t>2 anos</t>
  </si>
  <si>
    <t>Centro Comunitário Alegria Das Crianças</t>
  </si>
  <si>
    <t>Rua Dois, 431</t>
  </si>
  <si>
    <t>Centro Comunitário Da Rua Um – União Faz A Força</t>
  </si>
  <si>
    <t>Estr. Da Gávea, 259 - Parte</t>
  </si>
  <si>
    <t>Centro De Educação Infantil Cristo Redentor</t>
  </si>
  <si>
    <t>Associação Palotina</t>
  </si>
  <si>
    <t>Rua Indiana, 59</t>
  </si>
  <si>
    <t>Cosme Velho</t>
  </si>
  <si>
    <t>Centro Educacional Esperança</t>
  </si>
  <si>
    <t>Primeira Igreja Batista Do Alto Da Boa Vista</t>
  </si>
  <si>
    <t>Estrada Do Biguá, 336</t>
  </si>
  <si>
    <t>Alto Da Boa Vista</t>
  </si>
  <si>
    <t>Centro Social Da Mulher Uêga</t>
  </si>
  <si>
    <t>Rua Esperança, 37 – 2º Andar</t>
  </si>
  <si>
    <t>Centro Social E Aí Como É Que Fica?</t>
  </si>
  <si>
    <t>Estr. Da Gávea, 229 – Casa 1</t>
  </si>
  <si>
    <t>Creche Berçário Maria Helena Da Rocinha</t>
  </si>
  <si>
    <t>Grupo Comunitário Creche Berçário Nova Jerusalém</t>
  </si>
  <si>
    <t>Trav. Esperança, 12</t>
  </si>
  <si>
    <t>Creche Bezerra De Menezes</t>
  </si>
  <si>
    <t>Centro Espírita Cristófilos</t>
  </si>
  <si>
    <t>Rua Martins Ferreira, 57</t>
  </si>
  <si>
    <t>Creche Casa Do Pobre De Nossa Senhora De Copacabana</t>
  </si>
  <si>
    <t>Rua Hilário De Gouvea, 36 - 4º Andar</t>
  </si>
  <si>
    <t>Copacabana</t>
  </si>
  <si>
    <t>Creche Casa Santa Marta</t>
  </si>
  <si>
    <t>Associação Dos Antigos Alunos Dos Padres Jesuítas (Asia)</t>
  </si>
  <si>
    <t>Rua Marechal Francisco De Moura, 234</t>
  </si>
  <si>
    <t>Creche Chácara Do Céu</t>
  </si>
  <si>
    <t>Ação Comunitária Pró-Favela Dr. Marcello Cândia</t>
  </si>
  <si>
    <t>Estr. Da Independência, 161</t>
  </si>
  <si>
    <t>Borel</t>
  </si>
  <si>
    <t>Creche Chapeuzinho Marrom</t>
  </si>
  <si>
    <t>Mitra Arquiepiscopal Do Rio De Janeiro</t>
  </si>
  <si>
    <t>Rua Joaquim Pizarro, 63</t>
  </si>
  <si>
    <t>Turano/Rio Comprido</t>
  </si>
  <si>
    <t>Creche Comunitária Cantinho Da Natureza</t>
  </si>
  <si>
    <t>Obra Social Da Paróquia Santa Cruz De Copacabana</t>
  </si>
  <si>
    <t>Rua Euclides Da Rocha, 370</t>
  </si>
  <si>
    <t>Creche Escadinha Do Saber</t>
  </si>
  <si>
    <t>Associação De Moradores Do Tijuaçu - Amoti</t>
  </si>
  <si>
    <t>Estr. Do Tijuaçu, 32</t>
  </si>
  <si>
    <t>Creche Escola Meninos De Luz</t>
  </si>
  <si>
    <t>Lar Paulo De Tarso</t>
  </si>
  <si>
    <t>Rua Saint Romain, 142</t>
  </si>
  <si>
    <t>Creche Espaço Semente</t>
  </si>
  <si>
    <t>Jovens Com Uma Missão – Jocum Borel</t>
  </si>
  <si>
    <t>Travessa São Luiz, 99</t>
  </si>
  <si>
    <t>Borel/Tijuca</t>
  </si>
  <si>
    <t>Creche Esperança</t>
  </si>
  <si>
    <t>Sasp – Serviço De Assistência Social Pentecostal</t>
  </si>
  <si>
    <t>Rua Adalberto Ferreira, 35</t>
  </si>
  <si>
    <t>Leblon</t>
  </si>
  <si>
    <t>Creche Maria Maria</t>
  </si>
  <si>
    <t>Grupo Comunitário Maria Maria Da Rocinha</t>
  </si>
  <si>
    <t>Estr. Da Gávea, 259, R. Um Casa 52</t>
  </si>
  <si>
    <t>Creche Monsenhor Franca</t>
  </si>
  <si>
    <t>Rua Tavares Bastos, 296</t>
  </si>
  <si>
    <t>Catete</t>
  </si>
  <si>
    <t>Creche Patinho Feliz</t>
  </si>
  <si>
    <t>Inatos – Instituto Nacional De Assis. Trabalho, Oportunidades E Saúde</t>
  </si>
  <si>
    <t>Rua Armando De Albuquerque, 168</t>
  </si>
  <si>
    <t>Vila Isabel</t>
  </si>
  <si>
    <t>Creche Pré-Escola Comunitária Do 199 Pingo De Gente</t>
  </si>
  <si>
    <t>Estr. Da Gávea, 199-Beco 1/5/65 Casa 34</t>
  </si>
  <si>
    <t>Creche Pré-Escola Comunitária Dois Irmãos</t>
  </si>
  <si>
    <t>Est. Da Gávea, 325 – Beco 1-Casa 30</t>
  </si>
  <si>
    <t>Creche Sant’Anna</t>
  </si>
  <si>
    <t>Obra Social Cristo Redentor</t>
  </si>
  <si>
    <t>Rua Professor Luiz Cantanhede, 25</t>
  </si>
  <si>
    <t>Laranjeiras</t>
  </si>
  <si>
    <t>Creche Santa Clara</t>
  </si>
  <si>
    <t>Casa De São Francisco De Assis</t>
  </si>
  <si>
    <t>Rua Alice, 308</t>
  </si>
  <si>
    <t>Creche Santa Clara De Assis Na Providência De Deus</t>
  </si>
  <si>
    <t>Rua Benedito Calixto, 92/94</t>
  </si>
  <si>
    <t>Vidigal</t>
  </si>
  <si>
    <t>Creche Santa Mônica</t>
  </si>
  <si>
    <t>Estr. Da Independência, 56</t>
  </si>
  <si>
    <t>Borel / Tijuca</t>
  </si>
  <si>
    <t>Creche São Cosme E São Damião</t>
  </si>
  <si>
    <t>Rua Leopoldo, 434</t>
  </si>
  <si>
    <t>Andaraí</t>
  </si>
  <si>
    <t>CREI – Centro De Recuperação Infantil</t>
  </si>
  <si>
    <t>Crei – Centro De Recuperação Infantil</t>
  </si>
  <si>
    <t>Rua Joana Angélica, 203</t>
  </si>
  <si>
    <t>Ipanema</t>
  </si>
  <si>
    <t>Cruzada Pela Infância Do Leme</t>
  </si>
  <si>
    <t>Rua Coelho Cintra, 380</t>
  </si>
  <si>
    <t>Dispensário Santa Terezinha Do Menino Jesus Da Gávea</t>
  </si>
  <si>
    <t>Rua General Rabelo, 09</t>
  </si>
  <si>
    <t>Gávea</t>
  </si>
  <si>
    <t xml:space="preserve">Educandário Casa De Jacira </t>
  </si>
  <si>
    <t>Casa De Jacira Auxílio À Infância</t>
  </si>
  <si>
    <t>Rua Aguiar, 72</t>
  </si>
  <si>
    <t>3 anos</t>
  </si>
  <si>
    <t>Escola Comunitária Do Cantagalo</t>
  </si>
  <si>
    <t>Rua Saint Romain, 200</t>
  </si>
  <si>
    <t>Fundação Casa Santa Ignez</t>
  </si>
  <si>
    <t>Rua Mary Pessoa, 91</t>
  </si>
  <si>
    <t>Grupo Comunitário Creche Escola Tia Maura</t>
  </si>
  <si>
    <t>Estr. Das Canoas, 720</t>
  </si>
  <si>
    <t>São Conrado</t>
  </si>
  <si>
    <t>Grupo Comunitário Morro Da Alegria</t>
  </si>
  <si>
    <t>Rua Um, 159</t>
  </si>
  <si>
    <t>Lar Cantinho Feliz</t>
  </si>
  <si>
    <t>Rua Torres Homem, 1024</t>
  </si>
  <si>
    <t>Obra Do Berço</t>
  </si>
  <si>
    <t>Rua Cícero De Góis Monteiro, 19</t>
  </si>
  <si>
    <t>Lagoa</t>
  </si>
  <si>
    <t>Obras Sociais Unidas De Santa Marta</t>
  </si>
  <si>
    <t>Beco Do Jabuti, 09 - Morro Santa Marta</t>
  </si>
  <si>
    <t>Obras Socias Padre Aleixo</t>
  </si>
  <si>
    <t>Rua Paulo Vi, 62</t>
  </si>
  <si>
    <t>Flamengo</t>
  </si>
  <si>
    <t>Organização Creche Arte Tio João</t>
  </si>
  <si>
    <t>Rua Dois, 55</t>
  </si>
  <si>
    <t>Patronato Operário Da Gávea</t>
  </si>
  <si>
    <t>Av. Lineu De Paula Machado, 795</t>
  </si>
  <si>
    <t>Sociedade Civil De Assistência A Menores-Casa Da Dinda</t>
  </si>
  <si>
    <t>Sociedade Civil De Assistência A Menores - Casa Da Dinda</t>
  </si>
  <si>
    <t>Rua Petrocochino, 74</t>
  </si>
  <si>
    <t>União De Mulheres Pró-Melhoramento Da Roupa Suja</t>
  </si>
  <si>
    <t>Rua Um, 325</t>
  </si>
  <si>
    <t>Nasceer - Núcleo De Assistência Social Cultura Educacional Ecológico Da Rocinha</t>
  </si>
  <si>
    <t>Estrada Da Gávea, 436 Fundos</t>
  </si>
  <si>
    <t>3º chamamento - META 22</t>
  </si>
  <si>
    <t xml:space="preserve">3ª </t>
  </si>
  <si>
    <t>Abrigo Maria Imaculada</t>
  </si>
  <si>
    <t>Instituto Protetor Dos Pobres E Crianças Abrigo Maria Imaculada</t>
  </si>
  <si>
    <t>Rua Ana Néri, 1422</t>
  </si>
  <si>
    <t>Rocha</t>
  </si>
  <si>
    <t>Associação Presbiteriana Cuidando Do Amanhã - Apca</t>
  </si>
  <si>
    <t>Rua Vereador Iglesias, 25</t>
  </si>
  <si>
    <t>Engenho De Dentro</t>
  </si>
  <si>
    <t>Casa De Leylá</t>
  </si>
  <si>
    <t>Cruzada Do Menor</t>
  </si>
  <si>
    <t>Rua Ana Neri, 2400</t>
  </si>
  <si>
    <t>Sampaio</t>
  </si>
  <si>
    <t>Casa São Roque</t>
  </si>
  <si>
    <t>Rua Visconde De Tocantins, 34</t>
  </si>
  <si>
    <t>Centro Comunitário Nossa Senhora Aparecida - Creche</t>
  </si>
  <si>
    <t>Rua Aristides Caire, 349</t>
  </si>
  <si>
    <t>Cachambi</t>
  </si>
  <si>
    <t>Centro Cultural Educar – Unidade II</t>
  </si>
  <si>
    <t>Centro Cultural Educar</t>
  </si>
  <si>
    <t>Rua Divino Salvador, 349</t>
  </si>
  <si>
    <t>Piedade</t>
  </si>
  <si>
    <t xml:space="preserve">Centro Educacional São Vicente De Paulo       </t>
  </si>
  <si>
    <t>Casa Caritativa São Vicente De Paulo</t>
  </si>
  <si>
    <t>Rua Antônio Austregésilo, Nº 90</t>
  </si>
  <si>
    <t>Inhaúma</t>
  </si>
  <si>
    <t>Chalé Sementinha</t>
  </si>
  <si>
    <t xml:space="preserve">Associação Chalé Sementinhas </t>
  </si>
  <si>
    <t>Rua José Rubino, 82 E 88</t>
  </si>
  <si>
    <t>Higienópolis</t>
  </si>
  <si>
    <t>Colégio Ruth Sant’Anna/Jardim De Infância Ciranda Cirandinha</t>
  </si>
  <si>
    <t>Casa De Lázaro Educandário Social De Assistência E Amparo À Criança</t>
  </si>
  <si>
    <t>Rua Torres Sobrinho, 57</t>
  </si>
  <si>
    <t>Méier</t>
  </si>
  <si>
    <t>Centro Cultural Educar IV</t>
  </si>
  <si>
    <t>Rua Mossoró, 107</t>
  </si>
  <si>
    <t>Creche Brincando Com Juninho</t>
  </si>
  <si>
    <t>Associação De Pais Da Creche Tia Alice</t>
  </si>
  <si>
    <t>Rua Camarista Meier, 972</t>
  </si>
  <si>
    <t>Creche Casa Viva</t>
  </si>
  <si>
    <t xml:space="preserve">Sociedade Espírita Caboclo Sete Flechas </t>
  </si>
  <si>
    <t>Av. Amaro Cavalcanti, 2171</t>
  </si>
  <si>
    <t>Creche Chameguinho</t>
  </si>
  <si>
    <t>Ação Comunitária Sal Da Terra</t>
  </si>
  <si>
    <t>Rua São Francisco De Assis, 15</t>
  </si>
  <si>
    <t>Lins De Vasconcelos</t>
  </si>
  <si>
    <t>Creche Comunitária Eliana Saturnino Braga</t>
  </si>
  <si>
    <t>Associação De Moradores Do Morro Da Baiana</t>
  </si>
  <si>
    <t>Rua Vista Alegre, 17</t>
  </si>
  <si>
    <t>Ramos</t>
  </si>
  <si>
    <t>Creche Comunitária João Ferreira</t>
  </si>
  <si>
    <t>Associação Dos Moradores Do Morro Do Alemão</t>
  </si>
  <si>
    <t>Av. Central, 70</t>
  </si>
  <si>
    <t>Creche Comunitária Tia Alice</t>
  </si>
  <si>
    <t>Associação De Pais Da Creche Comunitária Tia Alice</t>
  </si>
  <si>
    <t>Rua Camboriú, 205 - Fundos</t>
  </si>
  <si>
    <t>Jacaré</t>
  </si>
  <si>
    <t xml:space="preserve">Creche Do Centro Pastoral Social Padre Justino Russolillo </t>
  </si>
  <si>
    <t>Rua Valmir, S/Nº</t>
  </si>
  <si>
    <t xml:space="preserve">Creche Do Jacarezinho </t>
  </si>
  <si>
    <t>Núcleo De Ação Comunitária E Desenvolvimento Social - Nacodes</t>
  </si>
  <si>
    <t>Rua Miguel Angelo, 541</t>
  </si>
  <si>
    <t>Creche Escola Comunitária Mãe Social</t>
  </si>
  <si>
    <t>Rua Canitar, 749</t>
  </si>
  <si>
    <t>Creche Mãe Do Divino Salvador</t>
  </si>
  <si>
    <t>Rua Divino Salvador, 223</t>
  </si>
  <si>
    <t>Creche Marietta Navarro Gaio</t>
  </si>
  <si>
    <t>Instituição Maria De Nazareth – Casa Da Mãe Pobre</t>
  </si>
  <si>
    <t>Rua Frei Pinto, 75</t>
  </si>
  <si>
    <t>Creche Plantando O Amanhã</t>
  </si>
  <si>
    <t>Av. Martin Luther King Jr., 126</t>
  </si>
  <si>
    <t>Del Castilho</t>
  </si>
  <si>
    <t>Creche Risco E Rabisco</t>
  </si>
  <si>
    <t>Centro Cultural Risco E Rabisco</t>
  </si>
  <si>
    <t>Rua Maria Benjamin, Nº 485</t>
  </si>
  <si>
    <t>Pilares</t>
  </si>
  <si>
    <t>Creche São Pedro Nolasco</t>
  </si>
  <si>
    <t>Associação Beneficente Nossa Senhora Das Mercês</t>
  </si>
  <si>
    <t>Rua Itaquiri, 248</t>
  </si>
  <si>
    <t xml:space="preserve">Ramos </t>
  </si>
  <si>
    <t>Creche Ternurinha</t>
  </si>
  <si>
    <t>Rua Da Colher, 01</t>
  </si>
  <si>
    <t>Creche Tio Kito</t>
  </si>
  <si>
    <t>Av. Marechal Rondon, 264</t>
  </si>
  <si>
    <t>São Francisco Xavier</t>
  </si>
  <si>
    <t>Escola Comunitária Jardim Arco-Íris - Unidade I</t>
  </si>
  <si>
    <t>Escola Comunitária Jardim Arco-Íris</t>
  </si>
  <si>
    <t>Rua Vilela Tavares, 62</t>
  </si>
  <si>
    <t>Estrelinha Do Mar</t>
  </si>
  <si>
    <t>Centro Cultural Estrelinha Do Mar</t>
  </si>
  <si>
    <t>Fraternidade Assistencial Cristã</t>
  </si>
  <si>
    <t>Rua Propícia, 245</t>
  </si>
  <si>
    <t>Engenho Novo</t>
  </si>
  <si>
    <t>Instituto Avante Elite Do Futuro</t>
  </si>
  <si>
    <t>Rua Edmundo, 97</t>
  </si>
  <si>
    <t>Instituto Educacional Crescendo E Aprendendo Algodão Doce</t>
  </si>
  <si>
    <t>Instituto Educacional Crescendo E Aprendendo - Ieca</t>
  </si>
  <si>
    <t>Estrada Do Itacaré, 480- Complemento Rua Nova, 66</t>
  </si>
  <si>
    <t>Instituto Educacional T&amp;P Conquista</t>
  </si>
  <si>
    <t>Rua Vilela Tavares, 356</t>
  </si>
  <si>
    <t>Lar Da Criança Jesus Bom Pastor</t>
  </si>
  <si>
    <t>Rua Da Igreja, 01</t>
  </si>
  <si>
    <t>Lar De Maria Dolores</t>
  </si>
  <si>
    <t>Rua Nazário, 42</t>
  </si>
  <si>
    <t>Núcleo Recreativo Raiozinho De Sol</t>
  </si>
  <si>
    <t>Venerável Irmandade De Pilares</t>
  </si>
  <si>
    <t>Av. Dom Helder Câmara, 6653</t>
  </si>
  <si>
    <t>4ª</t>
  </si>
  <si>
    <t>Associação Centro Educacional Rebral I</t>
  </si>
  <si>
    <t>Associação Centro Educacional Rebral</t>
  </si>
  <si>
    <t>Rua Ourique, 73</t>
  </si>
  <si>
    <t>Penha</t>
  </si>
  <si>
    <t>Associação Centro Educacional Rebral II</t>
  </si>
  <si>
    <t>Rua Flora Lobo, 64</t>
  </si>
  <si>
    <t>Penha Circular</t>
  </si>
  <si>
    <t>Associação Centro Educacional Rebral IV</t>
  </si>
  <si>
    <t>Rua Xavier Pinheiro, 486</t>
  </si>
  <si>
    <t>Vigário Geral</t>
  </si>
  <si>
    <t>Associação Centro Educacional Rebral V</t>
  </si>
  <si>
    <t>Rua Nair, 192</t>
  </si>
  <si>
    <t>Olaria</t>
  </si>
  <si>
    <t>Associação Civil Centro Educacional Comunitário Estação Do Saber</t>
  </si>
  <si>
    <t>Rua Da Democracia, 31</t>
  </si>
  <si>
    <t>Parada De Lucas</t>
  </si>
  <si>
    <t xml:space="preserve">Casa De Joel </t>
  </si>
  <si>
    <t>Centro Educacional Joel Mário</t>
  </si>
  <si>
    <t>Rua Antônio João, 1381</t>
  </si>
  <si>
    <t>Cordovil</t>
  </si>
  <si>
    <t>Casa De Joel II</t>
  </si>
  <si>
    <t>Cejm - Centro Educacional Joel Mario</t>
  </si>
  <si>
    <t>Avenida Oliveira Belo, 754</t>
  </si>
  <si>
    <t>Vila Da Penha</t>
  </si>
  <si>
    <t>Centro Cultural Educar I</t>
  </si>
  <si>
    <t>Rua Uranos, 529</t>
  </si>
  <si>
    <t>Centro Cultural Educar III</t>
  </si>
  <si>
    <t>Rua Nioac, 6</t>
  </si>
  <si>
    <t>Maré/Bonsucesso</t>
  </si>
  <si>
    <t>Centro Educacional Aprendiz Da Maré</t>
  </si>
  <si>
    <t>Rua Nilton Cordeiro, 19</t>
  </si>
  <si>
    <t>Bonsucesso</t>
  </si>
  <si>
    <t>Comunidade Institucional Adulão Tempo Feliz</t>
  </si>
  <si>
    <t>Instituto Brasileiro De Ações, Pesquisas E Estudos Sociais - Ibrapes</t>
  </si>
  <si>
    <t>Rua Cabo Reis, 15</t>
  </si>
  <si>
    <t>Creche Casulo Bom Jesus Da Penha</t>
  </si>
  <si>
    <t>Av. Brás De Pina, 181</t>
  </si>
  <si>
    <t>Creche Comunitária Casulo Do Parque Proletário Da Penha</t>
  </si>
  <si>
    <t>Associação Comunitária Do Parque Proletário Da Penha</t>
  </si>
  <si>
    <t>Praça São Lucas, 01 B</t>
  </si>
  <si>
    <t>Creche Comunitária De Manguinhos</t>
  </si>
  <si>
    <t>Sociedade Independente De Cultura E Aprendizagem De Manguinhos - Sicam</t>
  </si>
  <si>
    <t>Rua Dr. Luiz Gregório De Sá, 33</t>
  </si>
  <si>
    <t>Manguinhos</t>
  </si>
  <si>
    <t>Creche Comunitária Sagrado Coração De Maria</t>
  </si>
  <si>
    <t>Sociedade Beneficente Sagrado Coração De Maria</t>
  </si>
  <si>
    <t>Rua Carmela Dutra, 24</t>
  </si>
  <si>
    <t>Creche Do Centro Comunitário Da Vila Proletária Da Penha</t>
  </si>
  <si>
    <t>Centro Comunitário Da Vila Proletária Da Penha</t>
  </si>
  <si>
    <t>Rua São Vicente De Paula, S/Nº</t>
  </si>
  <si>
    <t>Creche E Pré-Escola Nova Jerusalém</t>
  </si>
  <si>
    <t>Rua Ourique, 1111</t>
  </si>
  <si>
    <t>Creche E Pré-Escola Nova Jerusalém No Cordovil</t>
  </si>
  <si>
    <t>Rua Otinga, 186 E 186 A</t>
  </si>
  <si>
    <t>Creche Escola Mimi</t>
  </si>
  <si>
    <t>Rua João Araujo, 237</t>
  </si>
  <si>
    <t>Creche Escola Mimi (Filial)</t>
  </si>
  <si>
    <t>Rua Roberto Da Silveira, 81 Parque União</t>
  </si>
  <si>
    <t xml:space="preserve">Maré -Bonsucesso </t>
  </si>
  <si>
    <t>Creche Escola Patinho Estudioso</t>
  </si>
  <si>
    <t>Associação Educacional Patinho Estudioso</t>
  </si>
  <si>
    <t>Travessa São Bento, Rua Bulhões Marcial, 19</t>
  </si>
  <si>
    <t>Creche Giz Colorido</t>
  </si>
  <si>
    <t>Rua Itabira, 297</t>
  </si>
  <si>
    <t xml:space="preserve">Brás De Pina </t>
  </si>
  <si>
    <t>Creche Lar Irmão Francisco</t>
  </si>
  <si>
    <t>Lar Irmão Francisco</t>
  </si>
  <si>
    <t>Rua Sizenando Nabuco, 111</t>
  </si>
  <si>
    <t>Creche Sagrado Coração De Maria E De Santo Antônio</t>
  </si>
  <si>
    <t>Rua Vicente Caneco, 03</t>
  </si>
  <si>
    <t>Brás De Pina</t>
  </si>
  <si>
    <t>Creche Tia Nane</t>
  </si>
  <si>
    <t>Centro Cultural Tia Nane</t>
  </si>
  <si>
    <t>Rua Felisberto Freire, 135</t>
  </si>
  <si>
    <t>Creche Tia Nane II</t>
  </si>
  <si>
    <t>Rua Jequiriçá, 472</t>
  </si>
  <si>
    <t>Creche Vale Do Sol</t>
  </si>
  <si>
    <t>Centro Educacional Vale Do Sol</t>
  </si>
  <si>
    <t>Rua Major Rego, 300</t>
  </si>
  <si>
    <t>Creche Vale Do Sol II</t>
  </si>
  <si>
    <t>Centro Educacional Vale Do Sol Ii</t>
  </si>
  <si>
    <t>Rua Doutor Miguel Vieira Ferreira, 646</t>
  </si>
  <si>
    <t>Creche Vale Do Sol No Grotão</t>
  </si>
  <si>
    <t>Rua Ipojuca, 392</t>
  </si>
  <si>
    <t>Espaço De Educação Infantil Vila Do João</t>
  </si>
  <si>
    <t>Riosolidário – Obra Social Do Rio De Janeiro</t>
  </si>
  <si>
    <t>Av. Brasil, 4040</t>
  </si>
  <si>
    <t xml:space="preserve">Instituto De Educação Euclides Dos Santos </t>
  </si>
  <si>
    <t xml:space="preserve">Avenida Brigadeiro Trompowiski, 220 </t>
  </si>
  <si>
    <t>Instituto Educacional Luiz Antônio - Iela</t>
  </si>
  <si>
    <t xml:space="preserve">Associação Pedagógica Terapêutica Luiz Antonio </t>
  </si>
  <si>
    <t>Rua Cabo Rocha, 230</t>
  </si>
  <si>
    <t>Jardim Escola Canaã</t>
  </si>
  <si>
    <t>Centro De Inclusões Sociais Canaã</t>
  </si>
  <si>
    <t>Rua Artur Imbassaí, 172</t>
  </si>
  <si>
    <t>Recanto Da Criança Feliz</t>
  </si>
  <si>
    <t>Instituto Das Missionárias De Nossa Senhora De Fátima Do Brasil</t>
  </si>
  <si>
    <t>Rua Ismael Rocha, Lote 124</t>
  </si>
  <si>
    <t>Sociedade De Ensino Tereza Cristina</t>
  </si>
  <si>
    <t>Rua Negrão De Lima, 21 E 21A</t>
  </si>
  <si>
    <t>Solzinho</t>
  </si>
  <si>
    <t>Rua Major Rego, 46</t>
  </si>
  <si>
    <t>Associação Centro Educacional Rebral X</t>
  </si>
  <si>
    <t>Rua Charles Gounod, 671</t>
  </si>
  <si>
    <t>Jardim América</t>
  </si>
  <si>
    <t>3º Chamamento META 228</t>
  </si>
  <si>
    <t>Associação Centro Educacional Rebral VIII</t>
  </si>
  <si>
    <t>Rua General Carvalho, 711</t>
  </si>
  <si>
    <t>3º Chamamento META 412</t>
  </si>
  <si>
    <t>Associação Centro Educacional Rebral IX</t>
  </si>
  <si>
    <t>Rua Do Alpiste, 933</t>
  </si>
  <si>
    <t xml:space="preserve">Penha Circular </t>
  </si>
  <si>
    <t>4 anos</t>
  </si>
  <si>
    <t>3º Chamamento META 132</t>
  </si>
  <si>
    <t>Creche Escola Otacilio Batista</t>
  </si>
  <si>
    <t>Rua Joaquim Nabuco, 75 Nova Holanda Maré</t>
  </si>
  <si>
    <t xml:space="preserve">1 ano </t>
  </si>
  <si>
    <t>3º Chamamento META 37</t>
  </si>
  <si>
    <t>5ª</t>
  </si>
  <si>
    <t>Associação Amigos Da Criança - Creche Rocha Miranda</t>
  </si>
  <si>
    <t>Associação Amigos Da Criança</t>
  </si>
  <si>
    <t>Rua Dos Diamantes, 113 - Fundos</t>
  </si>
  <si>
    <t>Rocha Miranda</t>
  </si>
  <si>
    <t>Associação Centro Educacional Rebral VII</t>
  </si>
  <si>
    <t>Rua Fernandes Gusmão, Nº340, Lote 1, Quadra Y</t>
  </si>
  <si>
    <t>Irajá</t>
  </si>
  <si>
    <t>Associação Creche Esperança</t>
  </si>
  <si>
    <t>Rua Coronel Soares, Nº 285/295</t>
  </si>
  <si>
    <t>Associação House Baby</t>
  </si>
  <si>
    <t>Rua Carajás, 262</t>
  </si>
  <si>
    <t>Vila Cosmos</t>
  </si>
  <si>
    <t>Creche Apóstolo São Pedro</t>
  </si>
  <si>
    <t>Rua Antônio Saraiva, 23</t>
  </si>
  <si>
    <t>Cavalcante</t>
  </si>
  <si>
    <t>Creche Cardeal Câmara</t>
  </si>
  <si>
    <t>Associação Servas Dos Pobres</t>
  </si>
  <si>
    <t>Rua Cândido Benício, 546</t>
  </si>
  <si>
    <t>Campinho</t>
  </si>
  <si>
    <t>Creche Casulo São Rafael Arcanjo</t>
  </si>
  <si>
    <t>Rua Projetada B, 100</t>
  </si>
  <si>
    <t>Vista Alegre</t>
  </si>
  <si>
    <t>Creche Comunitária Flor Do Amanhã</t>
  </si>
  <si>
    <t>Centro Comunitário Flor Do Amanhã</t>
  </si>
  <si>
    <t>Rua Lourenço Marques, 70</t>
  </si>
  <si>
    <t>Marechal Hermes</t>
  </si>
  <si>
    <t>Creche Effatá</t>
  </si>
  <si>
    <t>Associação Metodista De Ação Social De Irajá</t>
  </si>
  <si>
    <t>Rua Carolina Amado, 1325</t>
  </si>
  <si>
    <t>Creche Pintinho Dourado</t>
  </si>
  <si>
    <t>Centro Comunitário Laureano Toledo</t>
  </si>
  <si>
    <t>Rua Urupema, 205</t>
  </si>
  <si>
    <t>Quintino Bocaiúva</t>
  </si>
  <si>
    <t>Instituto Geremário Dantas</t>
  </si>
  <si>
    <t>Sociedade Das Filhas De Nossa Senhora Do Sagrado Coração</t>
  </si>
  <si>
    <t>Rua Cândido Benício,  159</t>
  </si>
  <si>
    <t>Associação Centro Educacional Rebral XI</t>
  </si>
  <si>
    <t>Rua Engenheiro Lafaiete Stoockler, Nº 781</t>
  </si>
  <si>
    <t>3º Chamamento META 269</t>
  </si>
  <si>
    <t>6ª</t>
  </si>
  <si>
    <t>Associação Creche Esperança II</t>
  </si>
  <si>
    <t>Avenida Nazaré, 888</t>
  </si>
  <si>
    <t>Ricardo De Albuquerque</t>
  </si>
  <si>
    <t>Associação Crescencio</t>
  </si>
  <si>
    <t>Rua Leocárdio Figueiredo, 835</t>
  </si>
  <si>
    <t>Guadalupe</t>
  </si>
  <si>
    <t>Centro Comunitário Parque Unidos De Acari</t>
  </si>
  <si>
    <t>Rua Padre Lima, 482</t>
  </si>
  <si>
    <t>Acari</t>
  </si>
  <si>
    <t>Centro Educacional Nossa Senhora Aparecida</t>
  </si>
  <si>
    <t>Associação Filhas De Santa Maria Da Providência - Afismap</t>
  </si>
  <si>
    <t>Rua Faustino Lins, 898</t>
  </si>
  <si>
    <t>Anchieta</t>
  </si>
  <si>
    <t>Creche Abrindo Portas</t>
  </si>
  <si>
    <t>Abrindo Portas Sociedade Civil</t>
  </si>
  <si>
    <t>Rua Ipuera, 331</t>
  </si>
  <si>
    <t>Creche Comunitária Aquarela</t>
  </si>
  <si>
    <t>Oscip - Organização Social Civil De Interessse Público Centro Social Brasil</t>
  </si>
  <si>
    <t>Rua Elzo Ferreira, 129</t>
  </si>
  <si>
    <t>Parque Anchieta</t>
  </si>
  <si>
    <t>Creche Don Guanella</t>
  </si>
  <si>
    <t>Rua Caçarema, 63</t>
  </si>
  <si>
    <t>Creche Escola Comunitária Tio Patinhas</t>
  </si>
  <si>
    <t>Praça Roberto Carlos, 19</t>
  </si>
  <si>
    <t>Creche Escola Patronato Nossa Senhora Nazaré</t>
  </si>
  <si>
    <t>Associação Servos Da Caridade</t>
  </si>
  <si>
    <t>Rua José Lourenço, 181</t>
  </si>
  <si>
    <t xml:space="preserve">Creche Guadalupe </t>
  </si>
  <si>
    <t>Creche Guadalupe</t>
  </si>
  <si>
    <t>Rua Delegado Silvio Terra, 202</t>
  </si>
  <si>
    <t>Creche Nosso Lar</t>
  </si>
  <si>
    <t>Rua José Lourenço, 32</t>
  </si>
  <si>
    <t>7ª</t>
  </si>
  <si>
    <t>Casa Emilien Lacay</t>
  </si>
  <si>
    <t>Rua Edgard Werneck, 420</t>
  </si>
  <si>
    <t>Freguesia/Jacarepaguá</t>
  </si>
  <si>
    <t>Centro Integrado São José</t>
  </si>
  <si>
    <t>Movimento Educacional Josefa De Alcantara Goulart</t>
  </si>
  <si>
    <t>Rua Edgard Werneck, 1615</t>
  </si>
  <si>
    <t>Cidade De Deus/Jacarepaguá</t>
  </si>
  <si>
    <t>Creche Cantinho Feliz</t>
  </si>
  <si>
    <t>Obra Social Da Creche Cantinho Feliz</t>
  </si>
  <si>
    <t>Estr. Vereador Alceu De Carvalho, 461</t>
  </si>
  <si>
    <t>Vargem Grande</t>
  </si>
  <si>
    <t>Creche Cantinho Feliz II</t>
  </si>
  <si>
    <t>Praça Vargem Grande, Lote 52</t>
  </si>
  <si>
    <t>Creche E Pré-Escola Maria Manuela</t>
  </si>
  <si>
    <t>Rua Iriquitia, 38 - Lote 06</t>
  </si>
  <si>
    <t>Taquara</t>
  </si>
  <si>
    <t>Creche Escola Mãe Astéria</t>
  </si>
  <si>
    <t>Educandário Social Lar Frei Luiz</t>
  </si>
  <si>
    <t>Estr. Da Boiúna, 1367</t>
  </si>
  <si>
    <t>Taquara/Jacarepaguá</t>
  </si>
  <si>
    <t xml:space="preserve">Creche Nova Esperança </t>
  </si>
  <si>
    <t>Oase-Obras De Assistência Social Esperança</t>
  </si>
  <si>
    <t>Rua Tirol, 1571</t>
  </si>
  <si>
    <t>Creche Novo Palmares</t>
  </si>
  <si>
    <t>Obras Sociais Novos Palmares</t>
  </si>
  <si>
    <t>Rua Ipê, 10</t>
  </si>
  <si>
    <t>Vargem Pequena</t>
  </si>
  <si>
    <t>Creche Raimunda Nonata Da Silva</t>
  </si>
  <si>
    <t>Mitra/Paróquia De São Marcos</t>
  </si>
  <si>
    <t>Av. Célia Ribeiro Da Silva Mendes, 92</t>
  </si>
  <si>
    <t>Recreio Dos Bandeirantes</t>
  </si>
  <si>
    <t>Creche Rita Alexandrina Ferreira</t>
  </si>
  <si>
    <t>Rua Servidão, 46</t>
  </si>
  <si>
    <t>Creche Sant’Ana Irmã Ancila</t>
  </si>
  <si>
    <t>Congregação Mariana Do Hospital Colônia De Curupaiti</t>
  </si>
  <si>
    <t>Rua Godofredo Viana, 64</t>
  </si>
  <si>
    <t>Jacarepaguá</t>
  </si>
  <si>
    <t>Creche São Paulo Apóstolo</t>
  </si>
  <si>
    <t>Mitra/Paróquia Nossa Senhora Do Sagrado Coração</t>
  </si>
  <si>
    <t>Rua 1, Nº 02</t>
  </si>
  <si>
    <t>Mato Alto/Jacarepaguá</t>
  </si>
  <si>
    <t>Creche Social Estrelinha</t>
  </si>
  <si>
    <t>Centro Cultural Milenium</t>
  </si>
  <si>
    <t>Estrada De Jacarepaguá, 3.506</t>
  </si>
  <si>
    <t>Itanhangá</t>
  </si>
  <si>
    <t>Eduque</t>
  </si>
  <si>
    <t>Instituto Mariano Eduque</t>
  </si>
  <si>
    <t>Rua Urucuia, 813</t>
  </si>
  <si>
    <t>Vila Valqueire</t>
  </si>
  <si>
    <t>Espaço De Educação Infantil Cidade De Deus</t>
  </si>
  <si>
    <t>Riosolidário Obra Social Do Rio De Janeiro</t>
  </si>
  <si>
    <t>Av. Cidade De Deus, S/Nº</t>
  </si>
  <si>
    <t>Jardim Escola Crescendo E Aprendendo</t>
  </si>
  <si>
    <t>Centro Educacional Crescendo E Aprendendo</t>
  </si>
  <si>
    <t>Av. Das Alagoas, 755, Canal Esperança, 23</t>
  </si>
  <si>
    <t>Jardim Escola Turminha Da Arca - Jeta</t>
  </si>
  <si>
    <t>Associação Do Centro Educacional Evangélico Melo Costa</t>
  </si>
  <si>
    <t>Av. Isabel Domingues, 78</t>
  </si>
  <si>
    <t>Semente Do Amor</t>
  </si>
  <si>
    <t>Inpar - Instituto Presbiteriano Álvaro Reis De Assistência À Criança E Ao Adolescente</t>
  </si>
  <si>
    <t>Rua Edgard Werneck, 846</t>
  </si>
  <si>
    <t>Freguesia/Jpa</t>
  </si>
  <si>
    <t>Instituto Consuelo Pinheiro</t>
  </si>
  <si>
    <t>Rua Moisés, 33</t>
  </si>
  <si>
    <t>Cidade de Deus</t>
  </si>
  <si>
    <t>3º Chamamento</t>
  </si>
  <si>
    <t>8ª</t>
  </si>
  <si>
    <t>Associação Centro Educacional Rebral III</t>
  </si>
  <si>
    <t>Rua Imperador, 894</t>
  </si>
  <si>
    <t>Realengo</t>
  </si>
  <si>
    <t>Associação Centro Educacional Rebral VI</t>
  </si>
  <si>
    <t>Rua Santa Odília, 602</t>
  </si>
  <si>
    <t>Associação Creche Esperança III</t>
  </si>
  <si>
    <t>Avenida Frederico Faulhaber, 688</t>
  </si>
  <si>
    <t>Associação De Moradores Do Conjunto D. Pedro I E Adjacências - Amcopa</t>
  </si>
  <si>
    <t>Associação De Moradores Do Conjunto D. Pedro I E Adjacências-Amcopa</t>
  </si>
  <si>
    <t>Rua Cítara, 138</t>
  </si>
  <si>
    <t>Associação Recreativa Pinguinho De Gente</t>
  </si>
  <si>
    <t>Rua Dr. Augusto Figueiredo, 2002</t>
  </si>
  <si>
    <t>Senador Camará</t>
  </si>
  <si>
    <t>Cem Creche Escola Machado</t>
  </si>
  <si>
    <t>Rua São Dagoberto, 153</t>
  </si>
  <si>
    <t>Centro Educacional Luiza</t>
  </si>
  <si>
    <t>Associação Centro Educacional Luíza</t>
  </si>
  <si>
    <t>Rua Do Imperador, 521 - Ap 101 Fundos</t>
  </si>
  <si>
    <t>Creche Comunitária Estrelinha</t>
  </si>
  <si>
    <t>Rua Doutor Augusto Figueiredo, 93</t>
  </si>
  <si>
    <t>Creche Comunitária Nino</t>
  </si>
  <si>
    <t>Conselho De Moradores Da Vila Kennedy</t>
  </si>
  <si>
    <t>Rua Fort Lamy, S/Nº, Lote 01, Quadra 32</t>
  </si>
  <si>
    <t>Vila Kennedy</t>
  </si>
  <si>
    <t>3 meses</t>
  </si>
  <si>
    <t>Creche Criança Jabour</t>
  </si>
  <si>
    <t>Centro Social Gota De Esperança</t>
  </si>
  <si>
    <t>Rua Croácia, 05 Casa 16</t>
  </si>
  <si>
    <t>Jabour</t>
  </si>
  <si>
    <t>Creche Escola Comunitária Gente Inocente</t>
  </si>
  <si>
    <t>Creche E Escola Comunitária Gente Inocente</t>
  </si>
  <si>
    <t>Estr. Da Água Branca, 4090</t>
  </si>
  <si>
    <t>Creche Escola Comunitária Gente Inocente II</t>
  </si>
  <si>
    <t>Estr. Da Água Branca, 4296</t>
  </si>
  <si>
    <t>Bangu</t>
  </si>
  <si>
    <t>Creche Espírita Francisco De Assis</t>
  </si>
  <si>
    <t>Grupo Espírita Obreiros Da Vida Eterna</t>
  </si>
  <si>
    <t>Estr. Do Engenho Novo, 235</t>
  </si>
  <si>
    <t>Do. Ra.., A Aventureira</t>
  </si>
  <si>
    <t>Creche Comunitária Dona Raposa</t>
  </si>
  <si>
    <t>Rua Dos Estampadores, 306</t>
  </si>
  <si>
    <t>Escola Comunitária Jardim Arco-Íris - Unidade II</t>
  </si>
  <si>
    <t>Avenida Pirpirituba, 292</t>
  </si>
  <si>
    <t>Espaço De Educação Infantil Batan</t>
  </si>
  <si>
    <t>Rua Raul Azedo Neto, S/Nº</t>
  </si>
  <si>
    <t>Fundação Casa Da Joaninha - Creche</t>
  </si>
  <si>
    <t>Fundação Casa Da Joaninha</t>
  </si>
  <si>
    <t>Estr. Da Água Branca, 640</t>
  </si>
  <si>
    <t>Magalhães Bastos</t>
  </si>
  <si>
    <t>Creche Louvor Na Terra</t>
  </si>
  <si>
    <t>Rua Francisco Real N/ 1100</t>
  </si>
  <si>
    <t xml:space="preserve">Associação Recretiva Mundo Mágico Tia Naty </t>
  </si>
  <si>
    <t>Travessa Belizário De Souza N/36</t>
  </si>
  <si>
    <t>Padre Miguel</t>
  </si>
  <si>
    <t>9ª</t>
  </si>
  <si>
    <t>Creche Comunitária Ana &amp; Lu</t>
  </si>
  <si>
    <t>Rua Solon Botelho, 15 Lote 15</t>
  </si>
  <si>
    <t>Campo Grande</t>
  </si>
  <si>
    <t>Creche Comunitária Crianças De Ouro</t>
  </si>
  <si>
    <t>Rua Soldado Ernezito Chagas, 38</t>
  </si>
  <si>
    <t>Creche Comunitária Santa Rita</t>
  </si>
  <si>
    <t>Rua Orlando Ricci, Lote 02, Quadra B</t>
  </si>
  <si>
    <t>Creche Comunitária Sol Do Saber</t>
  </si>
  <si>
    <t>Rua Arceburgo, Lote 5</t>
  </si>
  <si>
    <t>Santíssimo</t>
  </si>
  <si>
    <t>Creche Comunitária Tia Neide</t>
  </si>
  <si>
    <t>Centro Social De Desenvolvimento Infantil Tia Neide</t>
  </si>
  <si>
    <t>Rua Toledo, 180 Conjunto Campinho</t>
  </si>
  <si>
    <t>Creche E Pré-Escola Cantinho Do Saber</t>
  </si>
  <si>
    <t>Colégio Ferreira Motta</t>
  </si>
  <si>
    <t>Rua Itambaraça, Lote 23, Quadra 82, Nº 670</t>
  </si>
  <si>
    <t>Santa Margarida</t>
  </si>
  <si>
    <t>1ano</t>
  </si>
  <si>
    <t>Creche Jardim Escola Rio Da Prata</t>
  </si>
  <si>
    <t>Centro Educacional Comunitário Giardinieri Campos</t>
  </si>
  <si>
    <t>Avenida Glicínia, 195 Lote 1</t>
  </si>
  <si>
    <t>Creche Nova Jerusalém Em Campo Grande</t>
  </si>
  <si>
    <t>Caminho Da Tutóia, 520</t>
  </si>
  <si>
    <t>Cosmos</t>
  </si>
  <si>
    <t>Creche Sagrada Família</t>
  </si>
  <si>
    <t>Rua Campos Altos, Lote 16, Quadra G</t>
  </si>
  <si>
    <t>Creche São Jorge</t>
  </si>
  <si>
    <t>Rua Virgílio Bahia, 15</t>
  </si>
  <si>
    <t>Vila São João</t>
  </si>
  <si>
    <t>Instituto Avelino II</t>
  </si>
  <si>
    <t>Associação Das Donas De Casa Da Estrada Da Pedra</t>
  </si>
  <si>
    <t>Rua Arcílio Papini, 17</t>
  </si>
  <si>
    <t xml:space="preserve">Instituto De Ensino Avançado </t>
  </si>
  <si>
    <t>Centro Comunitário De Ensino Avançado</t>
  </si>
  <si>
    <t xml:space="preserve">Rua Florentino Ávidos, 195 </t>
  </si>
  <si>
    <t>CRECHE BEZALEL KIDS I</t>
  </si>
  <si>
    <t>Instituto Bezalel Projeto Social</t>
  </si>
  <si>
    <t>Rua Curare Nº 541</t>
  </si>
  <si>
    <t>Creche Bezalel Kids</t>
  </si>
  <si>
    <t>Rua Vicente Francisco Dos Santos, Nº 350, Lote 2, Quadra B</t>
  </si>
  <si>
    <t>Espaço Crescer</t>
  </si>
  <si>
    <t xml:space="preserve">Rua José Francisco De Souza Porto, Nº 222 </t>
  </si>
  <si>
    <t xml:space="preserve">Campo Grande </t>
  </si>
  <si>
    <t>10ª</t>
  </si>
  <si>
    <t>Associação De Moradores Das Moradas Do Império</t>
  </si>
  <si>
    <t>Rua Ministro Adalberto Barreto, 473</t>
  </si>
  <si>
    <t>Santa Cruz</t>
  </si>
  <si>
    <t>Associação De Moradores E Amigos Do Parque Estoril Amape</t>
  </si>
  <si>
    <t>Praça Celina, S/Nº - Parque Estoril</t>
  </si>
  <si>
    <t>Paciência</t>
  </si>
  <si>
    <t>Caad – Comitê De Atendimento À Criança E Ao Adolescente</t>
  </si>
  <si>
    <t>Rua Hermes Da Silva, 03</t>
  </si>
  <si>
    <t>Caad – Unidade Rollas</t>
  </si>
  <si>
    <t>Rua Projetada Mattos, 01</t>
  </si>
  <si>
    <t>Casa Maternal Nossa Senhora De Nazaré</t>
  </si>
  <si>
    <t>Rua São Gomário, 422</t>
  </si>
  <si>
    <t>Centro Cultural De Desenvolvimento Infantil João Batista</t>
  </si>
  <si>
    <t>Rua Maricoabo, 130</t>
  </si>
  <si>
    <t>Guaratiba</t>
  </si>
  <si>
    <t>Centro Cultural Montessori</t>
  </si>
  <si>
    <t>Av. João Xxiii, 1388</t>
  </si>
  <si>
    <t>Centro Cultural Montessori II</t>
  </si>
  <si>
    <t>Rua Cesário De Mello, 10.056</t>
  </si>
  <si>
    <t>Cicim</t>
  </si>
  <si>
    <t>Centro De Integração Social Isabel Maria De Nova Sepetiba</t>
  </si>
  <si>
    <t>Rua 39, S/Nº - Conjunto Nova Sepetiba</t>
  </si>
  <si>
    <t>Sepetiba</t>
  </si>
  <si>
    <t>Cicim Ii</t>
  </si>
  <si>
    <t>Estrada De Sepetiba, S/Nº, Avenida 2, Nº 400</t>
  </si>
  <si>
    <t>Creche Casulo Agostinho</t>
  </si>
  <si>
    <t>Avenida Antares, 2991</t>
  </si>
  <si>
    <t>Creche Cantinho Caslu</t>
  </si>
  <si>
    <t>Rua Serrolandia, 480, Qd. 41, Lote 26</t>
  </si>
  <si>
    <t>Estrada Santa Veridiana, 936 A</t>
  </si>
  <si>
    <t>Rua Batista, 51</t>
  </si>
  <si>
    <t>Creche Comunitária Aquarela Do Saber</t>
  </si>
  <si>
    <t>Rua Primeira, 423, Casa 4</t>
  </si>
  <si>
    <t>Creche Comunitária Arca De Noé</t>
  </si>
  <si>
    <t>Rua Tasso Blaso, 1</t>
  </si>
  <si>
    <t>Creche Comunitária Arte &amp; Cultura</t>
  </si>
  <si>
    <t>Estrada Ateerrado Do Leme, 426</t>
  </si>
  <si>
    <t>Creche Comunitária Coração De Mãe</t>
  </si>
  <si>
    <t>Rua Soldado Valter De Souza, 133 B</t>
  </si>
  <si>
    <t>Creche Comunitária Deus É Fiel - CCDF</t>
  </si>
  <si>
    <t>Creche Comunitária Deus É Fiel - Ccdf</t>
  </si>
  <si>
    <t>Estrada De Sepetiba, 5974</t>
  </si>
  <si>
    <t>Creche Comunitária Deus É Fiel II</t>
  </si>
  <si>
    <t>Estrada Do Piaí, 5543</t>
  </si>
  <si>
    <t>Creche Comunitária Deus É Fiel VI</t>
  </si>
  <si>
    <t>Rua Soldado Prim Canes, S/Nº - Lt 22 Qd195</t>
  </si>
  <si>
    <t>Pedra De Guaratiba</t>
  </si>
  <si>
    <t>Creche Comunitária Deus É Fiel VII</t>
  </si>
  <si>
    <t>Rua Buriti Bravo, 255</t>
  </si>
  <si>
    <t>Creche Comunitária Estrela Do Amanhã</t>
  </si>
  <si>
    <t>Av. Cesário De Melo, 13855</t>
  </si>
  <si>
    <t>Creche Comunitária Gênio Do Futuro</t>
  </si>
  <si>
    <t>Rua Primeira, 26, Casa 1</t>
  </si>
  <si>
    <t>Creche Comunitária Jardim Do Conhecimento</t>
  </si>
  <si>
    <t>Rua Nestor, 822</t>
  </si>
  <si>
    <t>Creche Comunitária Jardim Esperança</t>
  </si>
  <si>
    <t>Associação De Moradores E União Das Bases De Urucânia E Adjacências</t>
  </si>
  <si>
    <t>Estrada Boa Esperança, 1173</t>
  </si>
  <si>
    <t>Creche Comunitária Jardim Pedra Azul</t>
  </si>
  <si>
    <t>Rua São Domingos, 15</t>
  </si>
  <si>
    <t>Creche Comunitária Magia Da Criança</t>
  </si>
  <si>
    <t>Fios Da Terra-Educação E Cultura, Ambiente E Energia, Trabalho E Participação</t>
  </si>
  <si>
    <t>Estrada Vitor Dumas, 1268</t>
  </si>
  <si>
    <t>Creche Comunitária Mundo Encantado Da Criança</t>
  </si>
  <si>
    <t>Avenida João Xxiii, 267 – Rua 20 – Conjunto Novo Mundo</t>
  </si>
  <si>
    <t>Creche Comunitária Mundo Mágico</t>
  </si>
  <si>
    <t>Sociedade Dos Reunidos Pelo Bem Estar Social</t>
  </si>
  <si>
    <t>Rua Elizeu Gouveia, 12</t>
  </si>
  <si>
    <t>Creche Comunitária Planeta Bebê</t>
  </si>
  <si>
    <t>Rua Conceição De Ipanema, S/N, L 17, Q4</t>
  </si>
  <si>
    <t>Creche Comunitária São João Batista</t>
  </si>
  <si>
    <t>Estrada Dos Cabuis, 15</t>
  </si>
  <si>
    <t>Centro Social De Des. Infantil Tia Neide</t>
  </si>
  <si>
    <t>Rua José Martins Brito, 165</t>
  </si>
  <si>
    <t>Creche Comunitária Universo Infantil</t>
  </si>
  <si>
    <t>Estrada Da Pedra, 468</t>
  </si>
  <si>
    <t>Creche E Escola Comunitária Gente Baixinha</t>
  </si>
  <si>
    <t>Rua Ouroana, 18</t>
  </si>
  <si>
    <t>Creche E Escola Comunitária Gente Baixinha II</t>
  </si>
  <si>
    <t xml:space="preserve">Creche Escola Comunitária Ismênia Ribeiro </t>
  </si>
  <si>
    <t>Associação Filantrópica Cristã Espírita Ismênia Ribeiro</t>
  </si>
  <si>
    <t>Travessa Aurora, 52</t>
  </si>
  <si>
    <t>Creche Escola Comunitária Malletzinho</t>
  </si>
  <si>
    <t>Praia De Sepetiba, 1656</t>
  </si>
  <si>
    <t>Creche Escola Comunitária Sítio Alegre</t>
  </si>
  <si>
    <t>Estrada De Sepetiba, 144</t>
  </si>
  <si>
    <t xml:space="preserve">Creche Escola Sossego Da Mamãe </t>
  </si>
  <si>
    <t>Creche Escola Sossego Da Mamãe</t>
  </si>
  <si>
    <t>Rua Projetada Salles, 15, Lote 23</t>
  </si>
  <si>
    <t>Creche Magia Da Criança II</t>
  </si>
  <si>
    <t>Rua Santa Bárbara, 18</t>
  </si>
  <si>
    <t>Creche Marques - Mundo Bibi</t>
  </si>
  <si>
    <t>Creche Marques</t>
  </si>
  <si>
    <t>Rua Da Conciliação, 497</t>
  </si>
  <si>
    <t>Escola Comunitária Encanto De Maria</t>
  </si>
  <si>
    <t>Rua Sapucaí, Travessa Projetada, 55</t>
  </si>
  <si>
    <t>Escola Comunitária Jardim Alexandrino</t>
  </si>
  <si>
    <t>Rua Projetada Isabel, 20</t>
  </si>
  <si>
    <t>Escola Comunitária Jardim Arco Iris</t>
  </si>
  <si>
    <t>Rua Fernanda, 2562</t>
  </si>
  <si>
    <t>Escola Comunitária Jardim Balão Mágico</t>
  </si>
  <si>
    <t>Rua Alexandre Da Silva Fagundes, 104</t>
  </si>
  <si>
    <t>Escola Comunitária Jardim De Infância Chave Do Tamanho</t>
  </si>
  <si>
    <t>Rua Justo De Moraes, 90</t>
  </si>
  <si>
    <t>Escola Comunitária Jardim De Infância Tia Anastácia</t>
  </si>
  <si>
    <t>Rua Almadina, Lote 10, Quadra A</t>
  </si>
  <si>
    <t>Espaço Criativo Era Uma Vez</t>
  </si>
  <si>
    <t>Rua Córrego Novo, 17, Qd 14, Lote 17</t>
  </si>
  <si>
    <t>Espaço De Desenvolvimento Infantil Mãe Gaia</t>
  </si>
  <si>
    <t>Espaço De Desenvolvimento Mãe Gaia</t>
  </si>
  <si>
    <t>Av. Santa Ursulina, 333</t>
  </si>
  <si>
    <t>Fundação Klingner Para O Desenvolvimento Social</t>
  </si>
  <si>
    <t>Escola Comunitária Sementes Do Amanhã</t>
  </si>
  <si>
    <t>Avenida Areia Branca, 2283</t>
  </si>
  <si>
    <t>Instituto Avelino</t>
  </si>
  <si>
    <t>Rua Professor Charley Lachmund, 290</t>
  </si>
  <si>
    <t>Jardim Escola Ernesto Fagundes Varela</t>
  </si>
  <si>
    <t>Estrada De Sepetiba, 172</t>
  </si>
  <si>
    <t>Os Beneditinhos</t>
  </si>
  <si>
    <t>Creche Comunitária Jardim Santa Cruz – Os Beneditinhos</t>
  </si>
  <si>
    <t>Rua Dos Rodoviários, 01</t>
  </si>
  <si>
    <t>Pedacinho Do Céu</t>
  </si>
  <si>
    <t>Creche Comunitária Associação Silvana Silva</t>
  </si>
  <si>
    <t xml:space="preserve">Avenida Cesário De Mello 258 (Rua 22) </t>
  </si>
  <si>
    <t>Projeto Quebra Cabeça</t>
  </si>
  <si>
    <t>Escola Comunitária Souza Pinto</t>
  </si>
  <si>
    <t>Rua Rio Grande Do Sul, 136</t>
  </si>
  <si>
    <t>Sempre Vida</t>
  </si>
  <si>
    <t>Creche Pinguinho De Gente</t>
  </si>
  <si>
    <t>Rua Arnaldo Bastos, 22</t>
  </si>
  <si>
    <t>Creche Comunitária Arte &amp; Cultura - Unidade I</t>
  </si>
  <si>
    <t>Estrada Do Catruz, Nº 317</t>
  </si>
  <si>
    <t>Creche Comunitária Deus É Fiel - Unidade X</t>
  </si>
  <si>
    <t>Rua Soldado Elizeu Hipólito, S/N - Lote 02/ Quadra 22</t>
  </si>
  <si>
    <t>11ª</t>
  </si>
  <si>
    <t>Amig – Associação Dos Moradores Da Ilha Do Governador</t>
  </si>
  <si>
    <t>Praia Das Pitangueiras, 243</t>
  </si>
  <si>
    <t>Pitangueiras / Ilha Do Governador</t>
  </si>
  <si>
    <t>Centro De Atividades Educacionais E Culturais Arca De Noé - Caecan</t>
  </si>
  <si>
    <t>Rua Mitá, 115</t>
  </si>
  <si>
    <t>Guarabu/ Ilha Do Governador</t>
  </si>
  <si>
    <t>Creche Casulo Do Dendê</t>
  </si>
  <si>
    <t>Estrada Do Dendê, 205</t>
  </si>
  <si>
    <t>Tauá/ Ilha Do Governador</t>
  </si>
  <si>
    <t>Creche Comunitária Alegria Da Criança</t>
  </si>
  <si>
    <t>Obra Social Do Parque Royal</t>
  </si>
  <si>
    <t>Rua Jornalista Alaíde Pires, 35</t>
  </si>
  <si>
    <t>Parque Royal / Ilha Do Governador</t>
  </si>
  <si>
    <t>Creche Esfera Kids</t>
  </si>
  <si>
    <t>Associação Resgate Dos Valores Humanos - Arevah</t>
  </si>
  <si>
    <t>Rua Dr. Bernardino Gomes, 280</t>
  </si>
  <si>
    <t>Ilha Do Governador</t>
  </si>
  <si>
    <t>Filial Bancários</t>
  </si>
  <si>
    <t>Rua Dr. Manuel Marreiros, 2.255</t>
  </si>
  <si>
    <t>ALUNOS MATRICULADOS</t>
  </si>
  <si>
    <t>BII</t>
  </si>
  <si>
    <t>MI</t>
  </si>
  <si>
    <t>MII</t>
  </si>
  <si>
    <t>TOTAL CRE</t>
  </si>
  <si>
    <t>3ª</t>
  </si>
  <si>
    <t>SUBTOTAL REDE</t>
  </si>
  <si>
    <t>Nº DE UNIDADES</t>
  </si>
  <si>
    <t>TOTAL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</si>
</sst>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BDD7EE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1" fillId="0" borderId="58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7" borderId="66" xfId="0" applyFont="1" applyFill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5" borderId="66" xfId="0" applyFont="1" applyFill="1" applyBorder="1" applyAlignment="1">
      <alignment horizontal="center"/>
    </xf>
    <xf numFmtId="0" fontId="2" fillId="0" borderId="6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7" borderId="73" xfId="0" applyFont="1" applyFill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5" borderId="74" xfId="0" applyFont="1" applyFill="1" applyBorder="1" applyAlignment="1">
      <alignment horizont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5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56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" fillId="0" borderId="60" xfId="0" applyFont="1" applyBorder="1" applyAlignment="1">
      <alignment horizontal="center" vertical="center" wrapText="1"/>
    </xf>
    <xf numFmtId="0" fontId="1" fillId="0" borderId="57" xfId="0" applyFont="1" applyBorder="1" applyAlignment="1">
      <alignment vertical="center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59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12" xfId="0" applyBorder="1"/>
    <xf numFmtId="0" fontId="1" fillId="0" borderId="64" xfId="0" applyFont="1" applyBorder="1" applyAlignment="1">
      <alignment horizontal="center" vertical="center" wrapText="1"/>
    </xf>
    <xf numFmtId="0" fontId="1" fillId="0" borderId="65" xfId="0" applyFont="1" applyBorder="1" applyAlignment="1">
      <alignment vertical="center"/>
    </xf>
    <xf numFmtId="0" fontId="1" fillId="0" borderId="66" xfId="0" applyFont="1" applyBorder="1" applyAlignment="1">
      <alignment vertical="center"/>
    </xf>
    <xf numFmtId="0" fontId="1" fillId="0" borderId="66" xfId="0" applyFont="1" applyBorder="1" applyAlignment="1">
      <alignment horizontal="left" vertical="center" wrapText="1"/>
    </xf>
    <xf numFmtId="0" fontId="1" fillId="0" borderId="66" xfId="0" applyFont="1" applyBorder="1" applyAlignment="1">
      <alignment horizontal="center" vertical="center" wrapText="1"/>
    </xf>
    <xf numFmtId="0" fontId="2" fillId="0" borderId="66" xfId="0" applyFont="1" applyBorder="1"/>
    <xf numFmtId="0" fontId="1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vertical="center"/>
    </xf>
    <xf numFmtId="0" fontId="1" fillId="0" borderId="73" xfId="0" applyFont="1" applyBorder="1" applyAlignment="1">
      <alignment vertical="center"/>
    </xf>
    <xf numFmtId="0" fontId="1" fillId="0" borderId="73" xfId="0" applyFont="1" applyBorder="1" applyAlignment="1">
      <alignment horizontal="left" vertical="center" wrapText="1"/>
    </xf>
    <xf numFmtId="0" fontId="1" fillId="0" borderId="73" xfId="0" applyFont="1" applyBorder="1" applyAlignment="1">
      <alignment horizontal="center" vertical="center" wrapText="1"/>
    </xf>
    <xf numFmtId="0" fontId="2" fillId="0" borderId="73" xfId="0" applyFont="1" applyBorder="1"/>
    <xf numFmtId="0" fontId="1" fillId="0" borderId="2" xfId="0" applyFont="1" applyBorder="1"/>
    <xf numFmtId="0" fontId="1" fillId="0" borderId="58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6" borderId="38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</cellXfs>
  <cellStyles count="2">
    <cellStyle name="Normal" xfId="0" builtinId="0"/>
    <cellStyle name="Normal 4" xfId="1" xr:uid="{3BF2AE09-C5F7-4855-B2DF-9819CAB768F5}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AAFDC"/>
      <color rgb="FFFFB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BC8D-07EB-4D6D-B870-12D4BCA21D92}">
  <dimension ref="A1:W302"/>
  <sheetViews>
    <sheetView tabSelected="1" topLeftCell="C1" workbookViewId="0">
      <pane ySplit="2" topLeftCell="A46" activePane="bottomLeft" state="frozen"/>
      <selection pane="bottomLeft" activeCell="B182" sqref="B182:C200"/>
    </sheetView>
  </sheetViews>
  <sheetFormatPr defaultColWidth="9.140625" defaultRowHeight="15" x14ac:dyDescent="0.25"/>
  <cols>
    <col min="1" max="2" width="6.42578125" customWidth="1"/>
    <col min="3" max="3" width="52.5703125" customWidth="1"/>
    <col min="4" max="4" width="42" customWidth="1"/>
    <col min="5" max="5" width="39" customWidth="1"/>
    <col min="6" max="6" width="27.7109375" customWidth="1"/>
    <col min="7" max="7" width="9.140625" bestFit="1" customWidth="1"/>
    <col min="8" max="8" width="13.140625" customWidth="1"/>
    <col min="9" max="9" width="7.7109375" customWidth="1"/>
    <col min="10" max="10" width="9" bestFit="1" customWidth="1"/>
    <col min="11" max="11" width="7.140625" bestFit="1" customWidth="1"/>
    <col min="12" max="12" width="9" bestFit="1" customWidth="1"/>
    <col min="13" max="13" width="7.140625" bestFit="1" customWidth="1"/>
    <col min="14" max="14" width="9" bestFit="1" customWidth="1"/>
    <col min="15" max="15" width="7.140625" bestFit="1" customWidth="1"/>
    <col min="16" max="16" width="9" bestFit="1" customWidth="1"/>
    <col min="17" max="17" width="10.28515625" customWidth="1"/>
    <col min="18" max="18" width="10.5703125" customWidth="1"/>
    <col min="19" max="20" width="13.85546875" hidden="1" customWidth="1"/>
    <col min="22" max="22" width="12.85546875" customWidth="1"/>
    <col min="23" max="23" width="29" customWidth="1"/>
    <col min="25" max="25" width="10.28515625" customWidth="1"/>
    <col min="27" max="27" width="46.85546875" customWidth="1"/>
  </cols>
  <sheetData>
    <row r="1" spans="1:23" ht="38.25" customHeight="1" x14ac:dyDescent="0.25">
      <c r="A1" s="120" t="s">
        <v>0</v>
      </c>
      <c r="B1" s="121"/>
      <c r="C1" s="118" t="s">
        <v>1</v>
      </c>
      <c r="D1" s="126" t="s">
        <v>2</v>
      </c>
      <c r="E1" s="124" t="s">
        <v>3</v>
      </c>
      <c r="F1" s="124" t="s">
        <v>4</v>
      </c>
      <c r="G1" s="124" t="s">
        <v>5</v>
      </c>
      <c r="H1" s="124" t="s">
        <v>6</v>
      </c>
      <c r="I1" s="131" t="s">
        <v>7</v>
      </c>
      <c r="J1" s="132"/>
      <c r="K1" s="131" t="s">
        <v>8</v>
      </c>
      <c r="L1" s="132"/>
      <c r="M1" s="131" t="s">
        <v>9</v>
      </c>
      <c r="N1" s="132"/>
      <c r="O1" s="131" t="s">
        <v>10</v>
      </c>
      <c r="P1" s="132"/>
      <c r="Q1" s="113" t="s">
        <v>11</v>
      </c>
      <c r="R1" s="109" t="s">
        <v>12</v>
      </c>
      <c r="S1" s="109" t="s">
        <v>13</v>
      </c>
      <c r="T1" s="109" t="s">
        <v>14</v>
      </c>
      <c r="U1" s="111" t="s">
        <v>15</v>
      </c>
      <c r="V1" s="109" t="s">
        <v>16</v>
      </c>
      <c r="W1" s="107" t="s">
        <v>17</v>
      </c>
    </row>
    <row r="2" spans="1:23" ht="21" customHeight="1" x14ac:dyDescent="0.25">
      <c r="A2" s="122"/>
      <c r="B2" s="123"/>
      <c r="C2" s="119"/>
      <c r="D2" s="127"/>
      <c r="E2" s="125"/>
      <c r="F2" s="125"/>
      <c r="G2" s="125"/>
      <c r="H2" s="125"/>
      <c r="I2" s="28" t="s">
        <v>18</v>
      </c>
      <c r="J2" s="28" t="s">
        <v>19</v>
      </c>
      <c r="K2" s="28" t="s">
        <v>18</v>
      </c>
      <c r="L2" s="28" t="s">
        <v>19</v>
      </c>
      <c r="M2" s="28" t="s">
        <v>18</v>
      </c>
      <c r="N2" s="28" t="s">
        <v>19</v>
      </c>
      <c r="O2" s="28" t="s">
        <v>18</v>
      </c>
      <c r="P2" s="28" t="s">
        <v>19</v>
      </c>
      <c r="Q2" s="114"/>
      <c r="R2" s="110"/>
      <c r="S2" s="110"/>
      <c r="T2" s="110"/>
      <c r="U2" s="112"/>
      <c r="V2" s="110"/>
      <c r="W2" s="108"/>
    </row>
    <row r="3" spans="1:23" x14ac:dyDescent="0.25">
      <c r="A3" s="3"/>
      <c r="B3" s="3"/>
      <c r="Q3" s="1"/>
      <c r="R3" s="1"/>
      <c r="S3" s="1"/>
      <c r="T3" s="1"/>
      <c r="U3" s="1"/>
      <c r="V3" s="1"/>
      <c r="W3" s="2"/>
    </row>
    <row r="4" spans="1:23" ht="13.5" customHeight="1" thickBot="1" x14ac:dyDescent="0.3">
      <c r="A4" s="128" t="s">
        <v>20</v>
      </c>
      <c r="B4" s="62">
        <v>1</v>
      </c>
      <c r="C4" s="63" t="s">
        <v>21</v>
      </c>
      <c r="D4" s="64" t="s">
        <v>22</v>
      </c>
      <c r="E4" s="64" t="s">
        <v>23</v>
      </c>
      <c r="F4" s="65" t="s">
        <v>24</v>
      </c>
      <c r="G4" s="66">
        <v>40</v>
      </c>
      <c r="H4" s="66" t="s">
        <v>25</v>
      </c>
      <c r="I4" s="67"/>
      <c r="J4" s="67"/>
      <c r="K4" s="67"/>
      <c r="L4" s="67"/>
      <c r="M4" s="67">
        <v>20</v>
      </c>
      <c r="N4" s="67"/>
      <c r="O4" s="67">
        <v>19</v>
      </c>
      <c r="P4" s="67">
        <v>1</v>
      </c>
      <c r="Q4" s="45">
        <f>SUM(I4,K4,M4,O4)</f>
        <v>39</v>
      </c>
      <c r="R4" s="30">
        <f>SUM(J4,L4,N4,P4)</f>
        <v>1</v>
      </c>
      <c r="S4" s="30">
        <f>IF((J4+L4)&gt;=1,2,0)</f>
        <v>0</v>
      </c>
      <c r="T4" s="30">
        <f>IF((N4+P4)&gt;=1,2,0)</f>
        <v>2</v>
      </c>
      <c r="U4" s="40">
        <f>SUM(G4-Q4-((S4*1)+(T4*1)))</f>
        <v>-1</v>
      </c>
      <c r="V4" s="30">
        <f>IF(U4&lt;0,U4,0)</f>
        <v>-1</v>
      </c>
      <c r="W4" s="31"/>
    </row>
    <row r="5" spans="1:23" ht="13.5" customHeight="1" thickBot="1" x14ac:dyDescent="0.3">
      <c r="A5" s="129"/>
      <c r="B5" s="68">
        <v>2</v>
      </c>
      <c r="C5" s="69" t="s">
        <v>26</v>
      </c>
      <c r="D5" s="70" t="s">
        <v>27</v>
      </c>
      <c r="E5" s="70" t="s">
        <v>28</v>
      </c>
      <c r="F5" s="71" t="s">
        <v>29</v>
      </c>
      <c r="G5" s="72">
        <v>50</v>
      </c>
      <c r="H5" s="72" t="s">
        <v>25</v>
      </c>
      <c r="I5" s="73"/>
      <c r="J5" s="73"/>
      <c r="K5" s="73"/>
      <c r="L5" s="73"/>
      <c r="M5" s="73">
        <v>24</v>
      </c>
      <c r="N5" s="73"/>
      <c r="O5" s="73">
        <v>25</v>
      </c>
      <c r="P5" s="73"/>
      <c r="Q5" s="46">
        <f t="shared" ref="Q5:Q68" si="0">SUM(I5,K5,M5,O5)</f>
        <v>49</v>
      </c>
      <c r="R5" s="29">
        <f t="shared" ref="R5:R8" si="1">SUM(J5,L5,N5,P5)</f>
        <v>0</v>
      </c>
      <c r="S5" s="29">
        <f t="shared" ref="S5:S7" si="2">IF((J5+L5)&gt;=1,2,0)</f>
        <v>0</v>
      </c>
      <c r="T5" s="29">
        <f t="shared" ref="T5:T68" si="3">IF((N5+P5)&gt;=1,2,0)</f>
        <v>0</v>
      </c>
      <c r="U5" s="40">
        <f t="shared" ref="U5:U68" si="4">SUM(G5-Q5-((S5*1)+(T5*1)))</f>
        <v>1</v>
      </c>
      <c r="V5" s="29">
        <f>IF(U5&lt;0,U5,0)</f>
        <v>0</v>
      </c>
      <c r="W5" s="32"/>
    </row>
    <row r="6" spans="1:23" ht="13.5" customHeight="1" thickBot="1" x14ac:dyDescent="0.3">
      <c r="A6" s="129"/>
      <c r="B6" s="68">
        <v>3</v>
      </c>
      <c r="C6" s="69" t="s">
        <v>30</v>
      </c>
      <c r="D6" s="70" t="s">
        <v>31</v>
      </c>
      <c r="E6" s="70" t="s">
        <v>32</v>
      </c>
      <c r="F6" s="71" t="s">
        <v>33</v>
      </c>
      <c r="G6" s="72">
        <v>147</v>
      </c>
      <c r="H6" s="72" t="s">
        <v>34</v>
      </c>
      <c r="I6" s="73"/>
      <c r="J6" s="73"/>
      <c r="K6" s="73">
        <v>44</v>
      </c>
      <c r="L6" s="73"/>
      <c r="M6" s="73">
        <v>57</v>
      </c>
      <c r="N6" s="73"/>
      <c r="O6" s="73">
        <v>46</v>
      </c>
      <c r="P6" s="73"/>
      <c r="Q6" s="46">
        <f t="shared" si="0"/>
        <v>147</v>
      </c>
      <c r="R6" s="29">
        <f t="shared" si="1"/>
        <v>0</v>
      </c>
      <c r="S6" s="29">
        <f t="shared" si="2"/>
        <v>0</v>
      </c>
      <c r="T6" s="29">
        <f t="shared" si="3"/>
        <v>0</v>
      </c>
      <c r="U6" s="40">
        <f t="shared" si="4"/>
        <v>0</v>
      </c>
      <c r="V6" s="29">
        <f>IF(U6&lt;0,U6,0)</f>
        <v>0</v>
      </c>
      <c r="W6" s="32"/>
    </row>
    <row r="7" spans="1:23" ht="13.5" customHeight="1" x14ac:dyDescent="0.25">
      <c r="A7" s="129"/>
      <c r="B7" s="68">
        <v>4</v>
      </c>
      <c r="C7" s="69" t="s">
        <v>35</v>
      </c>
      <c r="D7" s="70" t="s">
        <v>36</v>
      </c>
      <c r="E7" s="70" t="s">
        <v>37</v>
      </c>
      <c r="F7" s="71" t="s">
        <v>38</v>
      </c>
      <c r="G7" s="72">
        <v>30</v>
      </c>
      <c r="H7" s="29"/>
      <c r="I7" s="73"/>
      <c r="J7" s="73"/>
      <c r="K7" s="73"/>
      <c r="L7" s="73"/>
      <c r="M7" s="73">
        <v>15</v>
      </c>
      <c r="N7" s="73">
        <v>2</v>
      </c>
      <c r="O7" s="73">
        <v>14</v>
      </c>
      <c r="P7" s="73"/>
      <c r="Q7" s="46">
        <f t="shared" si="0"/>
        <v>29</v>
      </c>
      <c r="R7" s="29">
        <f t="shared" si="1"/>
        <v>2</v>
      </c>
      <c r="S7" s="29">
        <f t="shared" si="2"/>
        <v>0</v>
      </c>
      <c r="T7" s="29">
        <f t="shared" si="3"/>
        <v>2</v>
      </c>
      <c r="U7" s="40">
        <f t="shared" si="4"/>
        <v>-1</v>
      </c>
      <c r="V7" s="29">
        <f t="shared" ref="V7:V8" si="5">IF(U7&lt;0,U7,0)</f>
        <v>-1</v>
      </c>
      <c r="W7" s="32"/>
    </row>
    <row r="8" spans="1:23" ht="13.5" customHeight="1" x14ac:dyDescent="0.25">
      <c r="A8" s="130"/>
      <c r="B8" s="74">
        <v>5</v>
      </c>
      <c r="C8" s="75" t="s">
        <v>39</v>
      </c>
      <c r="D8" s="76"/>
      <c r="E8" s="76" t="s">
        <v>40</v>
      </c>
      <c r="F8" s="77" t="s">
        <v>41</v>
      </c>
      <c r="G8" s="78">
        <v>45</v>
      </c>
      <c r="H8" s="33" t="s">
        <v>25</v>
      </c>
      <c r="I8" s="79"/>
      <c r="J8" s="79"/>
      <c r="K8" s="79"/>
      <c r="L8" s="79"/>
      <c r="M8" s="79">
        <v>11</v>
      </c>
      <c r="N8" s="79"/>
      <c r="O8" s="79">
        <v>13</v>
      </c>
      <c r="P8" s="79"/>
      <c r="Q8" s="47">
        <f t="shared" si="0"/>
        <v>24</v>
      </c>
      <c r="R8" s="33">
        <f t="shared" si="1"/>
        <v>0</v>
      </c>
      <c r="S8" s="33">
        <f>IF((J8+L8)&gt;=1,2,0)</f>
        <v>0</v>
      </c>
      <c r="T8" s="33">
        <f t="shared" si="3"/>
        <v>0</v>
      </c>
      <c r="U8" s="40">
        <f t="shared" si="4"/>
        <v>21</v>
      </c>
      <c r="V8" s="33">
        <f t="shared" si="5"/>
        <v>0</v>
      </c>
      <c r="W8" s="34" t="s">
        <v>42</v>
      </c>
    </row>
    <row r="9" spans="1:23" ht="13.5" customHeight="1" x14ac:dyDescent="0.25">
      <c r="Q9" s="4"/>
      <c r="R9" s="1"/>
      <c r="S9" s="4"/>
      <c r="T9" s="4"/>
      <c r="U9" s="30"/>
      <c r="V9" s="1"/>
      <c r="W9" s="2"/>
    </row>
    <row r="10" spans="1:23" ht="13.5" customHeight="1" thickBot="1" x14ac:dyDescent="0.3">
      <c r="A10" s="115" t="s">
        <v>43</v>
      </c>
      <c r="B10" s="80">
        <v>1</v>
      </c>
      <c r="C10" s="81" t="s">
        <v>44</v>
      </c>
      <c r="D10" s="64" t="s">
        <v>44</v>
      </c>
      <c r="E10" s="64" t="s">
        <v>45</v>
      </c>
      <c r="F10" s="65" t="s">
        <v>46</v>
      </c>
      <c r="G10" s="66">
        <v>96</v>
      </c>
      <c r="H10" s="66" t="s">
        <v>47</v>
      </c>
      <c r="I10" s="67"/>
      <c r="J10" s="67"/>
      <c r="K10" s="67"/>
      <c r="L10" s="67"/>
      <c r="M10" s="67">
        <v>45</v>
      </c>
      <c r="N10" s="67">
        <v>1</v>
      </c>
      <c r="O10" s="67">
        <v>47</v>
      </c>
      <c r="P10" s="67">
        <v>3</v>
      </c>
      <c r="Q10" s="45">
        <f t="shared" si="0"/>
        <v>92</v>
      </c>
      <c r="R10" s="30">
        <f>SUM(J10,L10,N10,P10)</f>
        <v>4</v>
      </c>
      <c r="S10" s="30">
        <f t="shared" ref="S10:S72" si="6">IF((J10+L10)&gt;=1,2,0)</f>
        <v>0</v>
      </c>
      <c r="T10" s="30">
        <f t="shared" si="3"/>
        <v>2</v>
      </c>
      <c r="U10" s="40">
        <f t="shared" si="4"/>
        <v>2</v>
      </c>
      <c r="V10" s="30">
        <f t="shared" ref="V10:V69" si="7">IF(U10&lt;0,U10,0)</f>
        <v>0</v>
      </c>
      <c r="W10" s="31"/>
    </row>
    <row r="11" spans="1:23" ht="13.5" customHeight="1" thickBot="1" x14ac:dyDescent="0.3">
      <c r="A11" s="116"/>
      <c r="B11" s="82">
        <v>2</v>
      </c>
      <c r="C11" s="37" t="s">
        <v>48</v>
      </c>
      <c r="D11" s="70" t="s">
        <v>48</v>
      </c>
      <c r="E11" s="70" t="s">
        <v>49</v>
      </c>
      <c r="F11" s="71" t="s">
        <v>50</v>
      </c>
      <c r="G11" s="72">
        <v>179</v>
      </c>
      <c r="H11" s="72" t="s">
        <v>47</v>
      </c>
      <c r="I11" s="73">
        <v>23</v>
      </c>
      <c r="J11" s="73">
        <v>1</v>
      </c>
      <c r="K11" s="73">
        <v>24</v>
      </c>
      <c r="L11" s="73"/>
      <c r="M11" s="73">
        <v>64</v>
      </c>
      <c r="N11" s="73"/>
      <c r="O11" s="73">
        <v>66</v>
      </c>
      <c r="P11" s="73">
        <v>1</v>
      </c>
      <c r="Q11" s="46">
        <f t="shared" si="0"/>
        <v>177</v>
      </c>
      <c r="R11" s="29">
        <f t="shared" ref="R11:R74" si="8">SUM(J11,L11,N11,P11)</f>
        <v>2</v>
      </c>
      <c r="S11" s="29">
        <f t="shared" si="6"/>
        <v>2</v>
      </c>
      <c r="T11" s="29">
        <f t="shared" si="3"/>
        <v>2</v>
      </c>
      <c r="U11" s="40">
        <f t="shared" si="4"/>
        <v>-2</v>
      </c>
      <c r="V11" s="29">
        <f t="shared" si="7"/>
        <v>-2</v>
      </c>
      <c r="W11" s="32"/>
    </row>
    <row r="12" spans="1:23" ht="13.5" customHeight="1" thickBot="1" x14ac:dyDescent="0.3">
      <c r="A12" s="116"/>
      <c r="B12" s="82">
        <v>3</v>
      </c>
      <c r="C12" s="37" t="s">
        <v>51</v>
      </c>
      <c r="D12" s="70" t="s">
        <v>51</v>
      </c>
      <c r="E12" s="70" t="s">
        <v>52</v>
      </c>
      <c r="F12" s="71" t="s">
        <v>53</v>
      </c>
      <c r="G12" s="72">
        <v>192</v>
      </c>
      <c r="H12" s="72" t="s">
        <v>47</v>
      </c>
      <c r="I12" s="73">
        <v>27</v>
      </c>
      <c r="J12" s="73"/>
      <c r="K12" s="73">
        <v>23</v>
      </c>
      <c r="L12" s="73"/>
      <c r="M12" s="73">
        <v>68</v>
      </c>
      <c r="N12" s="73"/>
      <c r="O12" s="73">
        <v>68</v>
      </c>
      <c r="P12" s="73"/>
      <c r="Q12" s="46">
        <f t="shared" si="0"/>
        <v>186</v>
      </c>
      <c r="R12" s="29">
        <f t="shared" si="8"/>
        <v>0</v>
      </c>
      <c r="S12" s="29">
        <f t="shared" si="6"/>
        <v>0</v>
      </c>
      <c r="T12" s="29">
        <f t="shared" si="3"/>
        <v>0</v>
      </c>
      <c r="U12" s="40">
        <f t="shared" si="4"/>
        <v>6</v>
      </c>
      <c r="V12" s="29">
        <f t="shared" si="7"/>
        <v>0</v>
      </c>
      <c r="W12" s="32"/>
    </row>
    <row r="13" spans="1:23" ht="13.5" customHeight="1" thickBot="1" x14ac:dyDescent="0.3">
      <c r="A13" s="116"/>
      <c r="B13" s="82">
        <v>4</v>
      </c>
      <c r="C13" s="37" t="s">
        <v>54</v>
      </c>
      <c r="D13" s="70" t="s">
        <v>54</v>
      </c>
      <c r="E13" s="70" t="s">
        <v>55</v>
      </c>
      <c r="F13" s="71" t="s">
        <v>50</v>
      </c>
      <c r="G13" s="72">
        <v>120</v>
      </c>
      <c r="H13" s="72" t="s">
        <v>56</v>
      </c>
      <c r="I13" s="73">
        <v>18</v>
      </c>
      <c r="J13" s="73"/>
      <c r="K13" s="73">
        <v>21</v>
      </c>
      <c r="L13" s="73"/>
      <c r="M13" s="73">
        <v>38</v>
      </c>
      <c r="N13" s="73"/>
      <c r="O13" s="73">
        <v>40</v>
      </c>
      <c r="P13" s="73"/>
      <c r="Q13" s="46">
        <f t="shared" si="0"/>
        <v>117</v>
      </c>
      <c r="R13" s="29">
        <f t="shared" si="8"/>
        <v>0</v>
      </c>
      <c r="S13" s="29">
        <f t="shared" si="6"/>
        <v>0</v>
      </c>
      <c r="T13" s="29">
        <f t="shared" si="3"/>
        <v>0</v>
      </c>
      <c r="U13" s="40">
        <f t="shared" si="4"/>
        <v>3</v>
      </c>
      <c r="V13" s="29">
        <f t="shared" si="7"/>
        <v>0</v>
      </c>
      <c r="W13" s="32"/>
    </row>
    <row r="14" spans="1:23" ht="13.5" customHeight="1" thickBot="1" x14ac:dyDescent="0.3">
      <c r="A14" s="116"/>
      <c r="B14" s="82">
        <v>5</v>
      </c>
      <c r="C14" s="37" t="s">
        <v>57</v>
      </c>
      <c r="D14" s="70" t="s">
        <v>58</v>
      </c>
      <c r="E14" s="70" t="s">
        <v>59</v>
      </c>
      <c r="F14" s="71" t="s">
        <v>60</v>
      </c>
      <c r="G14" s="72">
        <v>140</v>
      </c>
      <c r="H14" s="72" t="s">
        <v>61</v>
      </c>
      <c r="I14" s="73">
        <v>9</v>
      </c>
      <c r="J14" s="73"/>
      <c r="K14" s="73">
        <v>18</v>
      </c>
      <c r="L14" s="73"/>
      <c r="M14" s="73">
        <v>42</v>
      </c>
      <c r="N14" s="73">
        <v>1</v>
      </c>
      <c r="O14" s="73">
        <v>33</v>
      </c>
      <c r="P14" s="73">
        <v>1</v>
      </c>
      <c r="Q14" s="46">
        <f t="shared" si="0"/>
        <v>102</v>
      </c>
      <c r="R14" s="29">
        <f t="shared" si="8"/>
        <v>2</v>
      </c>
      <c r="S14" s="29">
        <f t="shared" si="6"/>
        <v>0</v>
      </c>
      <c r="T14" s="29">
        <f t="shared" si="3"/>
        <v>2</v>
      </c>
      <c r="U14" s="40">
        <f t="shared" si="4"/>
        <v>36</v>
      </c>
      <c r="V14" s="29">
        <f t="shared" si="7"/>
        <v>0</v>
      </c>
      <c r="W14" s="32"/>
    </row>
    <row r="15" spans="1:23" ht="13.5" customHeight="1" thickBot="1" x14ac:dyDescent="0.3">
      <c r="A15" s="116"/>
      <c r="B15" s="82">
        <v>6</v>
      </c>
      <c r="C15" s="37" t="s">
        <v>62</v>
      </c>
      <c r="D15" s="70" t="s">
        <v>62</v>
      </c>
      <c r="E15" s="70" t="s">
        <v>63</v>
      </c>
      <c r="F15" s="71" t="s">
        <v>50</v>
      </c>
      <c r="G15" s="72">
        <v>72</v>
      </c>
      <c r="H15" s="72" t="s">
        <v>61</v>
      </c>
      <c r="I15" s="73"/>
      <c r="J15" s="73"/>
      <c r="K15" s="73"/>
      <c r="L15" s="73"/>
      <c r="M15" s="73">
        <v>32</v>
      </c>
      <c r="N15" s="73"/>
      <c r="O15" s="73">
        <v>40</v>
      </c>
      <c r="P15" s="73"/>
      <c r="Q15" s="46">
        <f t="shared" si="0"/>
        <v>72</v>
      </c>
      <c r="R15" s="29">
        <f t="shared" si="8"/>
        <v>0</v>
      </c>
      <c r="S15" s="29">
        <f t="shared" si="6"/>
        <v>0</v>
      </c>
      <c r="T15" s="29">
        <f t="shared" si="3"/>
        <v>0</v>
      </c>
      <c r="U15" s="40">
        <f t="shared" si="4"/>
        <v>0</v>
      </c>
      <c r="V15" s="29">
        <f t="shared" si="7"/>
        <v>0</v>
      </c>
      <c r="W15" s="32"/>
    </row>
    <row r="16" spans="1:23" ht="13.5" customHeight="1" thickBot="1" x14ac:dyDescent="0.3">
      <c r="A16" s="116"/>
      <c r="B16" s="82">
        <v>7</v>
      </c>
      <c r="C16" s="37" t="s">
        <v>64</v>
      </c>
      <c r="D16" s="70" t="s">
        <v>64</v>
      </c>
      <c r="E16" s="70" t="s">
        <v>65</v>
      </c>
      <c r="F16" s="71" t="s">
        <v>50</v>
      </c>
      <c r="G16" s="72">
        <v>140</v>
      </c>
      <c r="H16" s="72" t="s">
        <v>34</v>
      </c>
      <c r="I16" s="73">
        <v>9</v>
      </c>
      <c r="J16" s="73"/>
      <c r="K16" s="73">
        <v>15</v>
      </c>
      <c r="L16" s="73"/>
      <c r="M16" s="73">
        <v>46</v>
      </c>
      <c r="N16" s="73"/>
      <c r="O16" s="73">
        <v>77</v>
      </c>
      <c r="P16" s="73"/>
      <c r="Q16" s="46">
        <f t="shared" si="0"/>
        <v>147</v>
      </c>
      <c r="R16" s="29">
        <f t="shared" si="8"/>
        <v>0</v>
      </c>
      <c r="S16" s="29">
        <f t="shared" si="6"/>
        <v>0</v>
      </c>
      <c r="T16" s="29">
        <f t="shared" si="3"/>
        <v>0</v>
      </c>
      <c r="U16" s="40">
        <f t="shared" si="4"/>
        <v>-7</v>
      </c>
      <c r="V16" s="29">
        <f t="shared" si="7"/>
        <v>-7</v>
      </c>
      <c r="W16" s="32"/>
    </row>
    <row r="17" spans="1:23" ht="13.5" customHeight="1" x14ac:dyDescent="0.25">
      <c r="A17" s="116"/>
      <c r="B17" s="82">
        <v>8</v>
      </c>
      <c r="C17" s="37" t="s">
        <v>66</v>
      </c>
      <c r="D17" s="70" t="s">
        <v>67</v>
      </c>
      <c r="E17" s="70" t="s">
        <v>68</v>
      </c>
      <c r="F17" s="71" t="s">
        <v>69</v>
      </c>
      <c r="G17" s="72">
        <v>65</v>
      </c>
      <c r="H17" s="72" t="s">
        <v>25</v>
      </c>
      <c r="I17" s="73"/>
      <c r="J17" s="73"/>
      <c r="K17" s="73"/>
      <c r="L17" s="73"/>
      <c r="M17" s="73">
        <v>30</v>
      </c>
      <c r="N17" s="73"/>
      <c r="O17" s="73">
        <v>32</v>
      </c>
      <c r="P17" s="73"/>
      <c r="Q17" s="46">
        <f t="shared" si="0"/>
        <v>62</v>
      </c>
      <c r="R17" s="29">
        <f t="shared" si="8"/>
        <v>0</v>
      </c>
      <c r="S17" s="29">
        <f t="shared" si="6"/>
        <v>0</v>
      </c>
      <c r="T17" s="29">
        <f t="shared" si="3"/>
        <v>0</v>
      </c>
      <c r="U17" s="40">
        <f t="shared" si="4"/>
        <v>3</v>
      </c>
      <c r="V17" s="29">
        <f t="shared" si="7"/>
        <v>0</v>
      </c>
      <c r="W17" s="32"/>
    </row>
    <row r="18" spans="1:23" ht="13.5" customHeight="1" thickBot="1" x14ac:dyDescent="0.3">
      <c r="A18" s="116"/>
      <c r="B18" s="82">
        <v>9</v>
      </c>
      <c r="C18" s="37" t="s">
        <v>70</v>
      </c>
      <c r="D18" s="70" t="s">
        <v>71</v>
      </c>
      <c r="E18" s="70" t="s">
        <v>72</v>
      </c>
      <c r="F18" s="71" t="s">
        <v>73</v>
      </c>
      <c r="G18" s="72">
        <v>60</v>
      </c>
      <c r="H18" s="72" t="s">
        <v>61</v>
      </c>
      <c r="I18" s="73"/>
      <c r="J18" s="73"/>
      <c r="K18" s="73"/>
      <c r="L18" s="73"/>
      <c r="M18" s="73">
        <v>26</v>
      </c>
      <c r="N18" s="73"/>
      <c r="O18" s="73">
        <v>34</v>
      </c>
      <c r="P18" s="73"/>
      <c r="Q18" s="46">
        <f t="shared" si="0"/>
        <v>60</v>
      </c>
      <c r="R18" s="29">
        <f t="shared" si="8"/>
        <v>0</v>
      </c>
      <c r="S18" s="29">
        <f t="shared" si="6"/>
        <v>0</v>
      </c>
      <c r="T18" s="29">
        <f t="shared" si="3"/>
        <v>0</v>
      </c>
      <c r="U18" s="40">
        <f t="shared" si="4"/>
        <v>0</v>
      </c>
      <c r="V18" s="29">
        <f t="shared" si="7"/>
        <v>0</v>
      </c>
      <c r="W18" s="32"/>
    </row>
    <row r="19" spans="1:23" ht="13.5" customHeight="1" thickBot="1" x14ac:dyDescent="0.3">
      <c r="A19" s="116"/>
      <c r="B19" s="82">
        <v>10</v>
      </c>
      <c r="C19" s="37" t="s">
        <v>74</v>
      </c>
      <c r="D19" s="70" t="s">
        <v>74</v>
      </c>
      <c r="E19" s="70" t="s">
        <v>75</v>
      </c>
      <c r="F19" s="71" t="s">
        <v>50</v>
      </c>
      <c r="G19" s="72">
        <v>100</v>
      </c>
      <c r="H19" s="72" t="s">
        <v>61</v>
      </c>
      <c r="I19" s="73"/>
      <c r="J19" s="73"/>
      <c r="K19" s="73"/>
      <c r="L19" s="73"/>
      <c r="M19" s="73">
        <v>41</v>
      </c>
      <c r="N19" s="73"/>
      <c r="O19" s="73">
        <v>49</v>
      </c>
      <c r="P19" s="73"/>
      <c r="Q19" s="46">
        <f t="shared" si="0"/>
        <v>90</v>
      </c>
      <c r="R19" s="29">
        <f t="shared" si="8"/>
        <v>0</v>
      </c>
      <c r="S19" s="29">
        <f t="shared" si="6"/>
        <v>0</v>
      </c>
      <c r="T19" s="29">
        <f t="shared" si="3"/>
        <v>0</v>
      </c>
      <c r="U19" s="40">
        <f t="shared" si="4"/>
        <v>10</v>
      </c>
      <c r="V19" s="29">
        <f t="shared" si="7"/>
        <v>0</v>
      </c>
      <c r="W19" s="32"/>
    </row>
    <row r="20" spans="1:23" ht="13.5" customHeight="1" thickBot="1" x14ac:dyDescent="0.3">
      <c r="A20" s="116"/>
      <c r="B20" s="82">
        <v>11</v>
      </c>
      <c r="C20" s="37" t="s">
        <v>76</v>
      </c>
      <c r="D20" s="70" t="s">
        <v>76</v>
      </c>
      <c r="E20" s="70" t="s">
        <v>77</v>
      </c>
      <c r="F20" s="71" t="s">
        <v>50</v>
      </c>
      <c r="G20" s="72">
        <v>65</v>
      </c>
      <c r="H20" s="72" t="s">
        <v>56</v>
      </c>
      <c r="I20" s="73">
        <v>10</v>
      </c>
      <c r="J20" s="73"/>
      <c r="K20" s="73">
        <v>12</v>
      </c>
      <c r="L20" s="73"/>
      <c r="M20" s="73">
        <v>22</v>
      </c>
      <c r="N20" s="73"/>
      <c r="O20" s="73">
        <v>21</v>
      </c>
      <c r="P20" s="73"/>
      <c r="Q20" s="46">
        <f t="shared" si="0"/>
        <v>65</v>
      </c>
      <c r="R20" s="29">
        <f t="shared" si="8"/>
        <v>0</v>
      </c>
      <c r="S20" s="29">
        <f t="shared" si="6"/>
        <v>0</v>
      </c>
      <c r="T20" s="29">
        <f t="shared" si="3"/>
        <v>0</v>
      </c>
      <c r="U20" s="40">
        <f t="shared" si="4"/>
        <v>0</v>
      </c>
      <c r="V20" s="29">
        <f t="shared" si="7"/>
        <v>0</v>
      </c>
      <c r="W20" s="32"/>
    </row>
    <row r="21" spans="1:23" ht="13.5" customHeight="1" thickBot="1" x14ac:dyDescent="0.3">
      <c r="A21" s="116"/>
      <c r="B21" s="82">
        <v>12</v>
      </c>
      <c r="C21" s="37" t="s">
        <v>78</v>
      </c>
      <c r="D21" s="70" t="s">
        <v>79</v>
      </c>
      <c r="E21" s="70" t="s">
        <v>80</v>
      </c>
      <c r="F21" s="71" t="s">
        <v>50</v>
      </c>
      <c r="G21" s="72">
        <v>75</v>
      </c>
      <c r="H21" s="72" t="s">
        <v>34</v>
      </c>
      <c r="I21" s="73">
        <v>6</v>
      </c>
      <c r="J21" s="73"/>
      <c r="K21" s="73">
        <v>21</v>
      </c>
      <c r="L21" s="73"/>
      <c r="M21" s="73">
        <v>23</v>
      </c>
      <c r="N21" s="73"/>
      <c r="O21" s="73">
        <v>25</v>
      </c>
      <c r="P21" s="73"/>
      <c r="Q21" s="46">
        <f t="shared" si="0"/>
        <v>75</v>
      </c>
      <c r="R21" s="29">
        <f t="shared" si="8"/>
        <v>0</v>
      </c>
      <c r="S21" s="29">
        <f t="shared" si="6"/>
        <v>0</v>
      </c>
      <c r="T21" s="29">
        <f t="shared" si="3"/>
        <v>0</v>
      </c>
      <c r="U21" s="40">
        <f t="shared" si="4"/>
        <v>0</v>
      </c>
      <c r="V21" s="29">
        <f t="shared" si="7"/>
        <v>0</v>
      </c>
      <c r="W21" s="32"/>
    </row>
    <row r="22" spans="1:23" ht="13.5" customHeight="1" thickBot="1" x14ac:dyDescent="0.3">
      <c r="A22" s="116"/>
      <c r="B22" s="82">
        <v>13</v>
      </c>
      <c r="C22" s="37" t="s">
        <v>81</v>
      </c>
      <c r="D22" s="70" t="s">
        <v>82</v>
      </c>
      <c r="E22" s="70" t="s">
        <v>83</v>
      </c>
      <c r="F22" s="71" t="s">
        <v>53</v>
      </c>
      <c r="G22" s="72">
        <v>50</v>
      </c>
      <c r="H22" s="72" t="s">
        <v>47</v>
      </c>
      <c r="I22" s="73">
        <v>3</v>
      </c>
      <c r="J22" s="73"/>
      <c r="K22" s="73">
        <v>8</v>
      </c>
      <c r="L22" s="73"/>
      <c r="M22" s="73">
        <v>16</v>
      </c>
      <c r="N22" s="73"/>
      <c r="O22" s="73">
        <v>20</v>
      </c>
      <c r="P22" s="73"/>
      <c r="Q22" s="46">
        <f t="shared" si="0"/>
        <v>47</v>
      </c>
      <c r="R22" s="29">
        <f t="shared" si="8"/>
        <v>0</v>
      </c>
      <c r="S22" s="29">
        <f t="shared" si="6"/>
        <v>0</v>
      </c>
      <c r="T22" s="29">
        <f t="shared" si="3"/>
        <v>0</v>
      </c>
      <c r="U22" s="40">
        <f t="shared" si="4"/>
        <v>3</v>
      </c>
      <c r="V22" s="29">
        <f t="shared" si="7"/>
        <v>0</v>
      </c>
      <c r="W22" s="32"/>
    </row>
    <row r="23" spans="1:23" ht="13.5" customHeight="1" thickBot="1" x14ac:dyDescent="0.3">
      <c r="A23" s="116"/>
      <c r="B23" s="82">
        <v>14</v>
      </c>
      <c r="C23" s="37" t="s">
        <v>84</v>
      </c>
      <c r="D23" s="70" t="s">
        <v>84</v>
      </c>
      <c r="E23" s="70" t="s">
        <v>85</v>
      </c>
      <c r="F23" s="71" t="s">
        <v>86</v>
      </c>
      <c r="G23" s="72">
        <v>79</v>
      </c>
      <c r="H23" s="72" t="s">
        <v>61</v>
      </c>
      <c r="I23" s="73"/>
      <c r="J23" s="73"/>
      <c r="K23" s="73"/>
      <c r="L23" s="73"/>
      <c r="M23" s="73">
        <v>40</v>
      </c>
      <c r="N23" s="73"/>
      <c r="O23" s="73">
        <v>41</v>
      </c>
      <c r="P23" s="73"/>
      <c r="Q23" s="46">
        <f t="shared" si="0"/>
        <v>81</v>
      </c>
      <c r="R23" s="29">
        <f t="shared" si="8"/>
        <v>0</v>
      </c>
      <c r="S23" s="29">
        <f t="shared" si="6"/>
        <v>0</v>
      </c>
      <c r="T23" s="29">
        <f t="shared" si="3"/>
        <v>0</v>
      </c>
      <c r="U23" s="40">
        <f t="shared" si="4"/>
        <v>-2</v>
      </c>
      <c r="V23" s="29">
        <f t="shared" si="7"/>
        <v>-2</v>
      </c>
      <c r="W23" s="32"/>
    </row>
    <row r="24" spans="1:23" ht="13.5" customHeight="1" thickBot="1" x14ac:dyDescent="0.3">
      <c r="A24" s="116"/>
      <c r="B24" s="82">
        <v>15</v>
      </c>
      <c r="C24" s="37" t="s">
        <v>87</v>
      </c>
      <c r="D24" s="70" t="s">
        <v>88</v>
      </c>
      <c r="E24" s="70" t="s">
        <v>89</v>
      </c>
      <c r="F24" s="71" t="s">
        <v>53</v>
      </c>
      <c r="G24" s="72">
        <v>96</v>
      </c>
      <c r="H24" s="72" t="s">
        <v>47</v>
      </c>
      <c r="I24" s="73">
        <v>18</v>
      </c>
      <c r="J24" s="73"/>
      <c r="K24" s="73">
        <v>36</v>
      </c>
      <c r="L24" s="73"/>
      <c r="M24" s="73">
        <v>20</v>
      </c>
      <c r="N24" s="73"/>
      <c r="O24" s="73">
        <v>20</v>
      </c>
      <c r="P24" s="73"/>
      <c r="Q24" s="46">
        <f t="shared" si="0"/>
        <v>94</v>
      </c>
      <c r="R24" s="29">
        <f t="shared" si="8"/>
        <v>0</v>
      </c>
      <c r="S24" s="29">
        <f t="shared" si="6"/>
        <v>0</v>
      </c>
      <c r="T24" s="29">
        <f t="shared" si="3"/>
        <v>0</v>
      </c>
      <c r="U24" s="40">
        <f t="shared" si="4"/>
        <v>2</v>
      </c>
      <c r="V24" s="29">
        <f t="shared" si="7"/>
        <v>0</v>
      </c>
      <c r="W24" s="32"/>
    </row>
    <row r="25" spans="1:23" ht="13.5" customHeight="1" thickBot="1" x14ac:dyDescent="0.3">
      <c r="A25" s="116"/>
      <c r="B25" s="82">
        <v>16</v>
      </c>
      <c r="C25" s="37" t="s">
        <v>90</v>
      </c>
      <c r="D25" s="70" t="s">
        <v>91</v>
      </c>
      <c r="E25" s="70" t="s">
        <v>92</v>
      </c>
      <c r="F25" s="71" t="s">
        <v>93</v>
      </c>
      <c r="G25" s="72">
        <v>60</v>
      </c>
      <c r="H25" s="72" t="s">
        <v>47</v>
      </c>
      <c r="I25" s="73"/>
      <c r="J25" s="73"/>
      <c r="K25" s="73">
        <v>15</v>
      </c>
      <c r="L25" s="73"/>
      <c r="M25" s="73">
        <v>22</v>
      </c>
      <c r="N25" s="73"/>
      <c r="O25" s="73">
        <v>23</v>
      </c>
      <c r="P25" s="73">
        <v>1</v>
      </c>
      <c r="Q25" s="46">
        <f t="shared" si="0"/>
        <v>60</v>
      </c>
      <c r="R25" s="29">
        <f t="shared" si="8"/>
        <v>1</v>
      </c>
      <c r="S25" s="29">
        <f t="shared" si="6"/>
        <v>0</v>
      </c>
      <c r="T25" s="29">
        <f t="shared" si="3"/>
        <v>2</v>
      </c>
      <c r="U25" s="40">
        <f t="shared" si="4"/>
        <v>-2</v>
      </c>
      <c r="V25" s="29">
        <f t="shared" si="7"/>
        <v>-2</v>
      </c>
      <c r="W25" s="32"/>
    </row>
    <row r="26" spans="1:23" ht="13.5" customHeight="1" thickBot="1" x14ac:dyDescent="0.3">
      <c r="A26" s="116"/>
      <c r="B26" s="82">
        <v>17</v>
      </c>
      <c r="C26" s="37" t="s">
        <v>94</v>
      </c>
      <c r="D26" s="70" t="s">
        <v>95</v>
      </c>
      <c r="E26" s="70" t="s">
        <v>96</v>
      </c>
      <c r="F26" s="71" t="s">
        <v>97</v>
      </c>
      <c r="G26" s="72">
        <v>42</v>
      </c>
      <c r="H26" s="72" t="s">
        <v>61</v>
      </c>
      <c r="I26" s="73"/>
      <c r="J26" s="73"/>
      <c r="K26" s="73"/>
      <c r="L26" s="73"/>
      <c r="M26" s="73">
        <v>17</v>
      </c>
      <c r="N26" s="73"/>
      <c r="O26" s="73">
        <v>25</v>
      </c>
      <c r="P26" s="73"/>
      <c r="Q26" s="46">
        <f t="shared" si="0"/>
        <v>42</v>
      </c>
      <c r="R26" s="29">
        <f t="shared" si="8"/>
        <v>0</v>
      </c>
      <c r="S26" s="29">
        <f t="shared" si="6"/>
        <v>0</v>
      </c>
      <c r="T26" s="29">
        <f t="shared" si="3"/>
        <v>0</v>
      </c>
      <c r="U26" s="40">
        <f t="shared" si="4"/>
        <v>0</v>
      </c>
      <c r="V26" s="29">
        <f t="shared" si="7"/>
        <v>0</v>
      </c>
      <c r="W26" s="32"/>
    </row>
    <row r="27" spans="1:23" ht="13.5" customHeight="1" thickBot="1" x14ac:dyDescent="0.3">
      <c r="A27" s="116"/>
      <c r="B27" s="82">
        <v>18</v>
      </c>
      <c r="C27" s="37" t="s">
        <v>98</v>
      </c>
      <c r="D27" s="70" t="s">
        <v>99</v>
      </c>
      <c r="E27" s="70" t="s">
        <v>100</v>
      </c>
      <c r="F27" s="71" t="s">
        <v>86</v>
      </c>
      <c r="G27" s="72">
        <v>150</v>
      </c>
      <c r="H27" s="72" t="s">
        <v>47</v>
      </c>
      <c r="I27" s="73">
        <v>19</v>
      </c>
      <c r="J27" s="73"/>
      <c r="K27" s="73">
        <v>39</v>
      </c>
      <c r="L27" s="73"/>
      <c r="M27" s="73">
        <v>46</v>
      </c>
      <c r="N27" s="73">
        <v>2</v>
      </c>
      <c r="O27" s="73">
        <v>39</v>
      </c>
      <c r="P27" s="73">
        <v>1</v>
      </c>
      <c r="Q27" s="46">
        <f t="shared" si="0"/>
        <v>143</v>
      </c>
      <c r="R27" s="29">
        <f t="shared" si="8"/>
        <v>3</v>
      </c>
      <c r="S27" s="29">
        <f t="shared" si="6"/>
        <v>0</v>
      </c>
      <c r="T27" s="29">
        <f t="shared" si="3"/>
        <v>2</v>
      </c>
      <c r="U27" s="40">
        <f t="shared" si="4"/>
        <v>5</v>
      </c>
      <c r="V27" s="29">
        <f t="shared" si="7"/>
        <v>0</v>
      </c>
      <c r="W27" s="32"/>
    </row>
    <row r="28" spans="1:23" ht="13.5" customHeight="1" thickBot="1" x14ac:dyDescent="0.3">
      <c r="A28" s="116"/>
      <c r="B28" s="82">
        <v>19</v>
      </c>
      <c r="C28" s="37" t="s">
        <v>101</v>
      </c>
      <c r="D28" s="70" t="s">
        <v>102</v>
      </c>
      <c r="E28" s="70" t="s">
        <v>103</v>
      </c>
      <c r="F28" s="71" t="s">
        <v>73</v>
      </c>
      <c r="G28" s="72">
        <v>45</v>
      </c>
      <c r="H28" s="72" t="s">
        <v>61</v>
      </c>
      <c r="I28" s="73"/>
      <c r="J28" s="73"/>
      <c r="K28" s="73"/>
      <c r="L28" s="73"/>
      <c r="M28" s="73">
        <v>15</v>
      </c>
      <c r="N28" s="73">
        <v>1</v>
      </c>
      <c r="O28" s="73">
        <v>13</v>
      </c>
      <c r="P28" s="73">
        <v>1</v>
      </c>
      <c r="Q28" s="46">
        <f t="shared" si="0"/>
        <v>28</v>
      </c>
      <c r="R28" s="29">
        <f t="shared" si="8"/>
        <v>2</v>
      </c>
      <c r="S28" s="29">
        <f t="shared" si="6"/>
        <v>0</v>
      </c>
      <c r="T28" s="29">
        <f t="shared" si="3"/>
        <v>2</v>
      </c>
      <c r="U28" s="40">
        <f t="shared" si="4"/>
        <v>15</v>
      </c>
      <c r="V28" s="29">
        <f t="shared" si="7"/>
        <v>0</v>
      </c>
      <c r="W28" s="32"/>
    </row>
    <row r="29" spans="1:23" ht="13.5" customHeight="1" thickBot="1" x14ac:dyDescent="0.3">
      <c r="A29" s="116"/>
      <c r="B29" s="82">
        <v>20</v>
      </c>
      <c r="C29" s="37" t="s">
        <v>104</v>
      </c>
      <c r="D29" s="70" t="s">
        <v>105</v>
      </c>
      <c r="E29" s="70" t="s">
        <v>106</v>
      </c>
      <c r="F29" s="71" t="s">
        <v>86</v>
      </c>
      <c r="G29" s="72">
        <v>88</v>
      </c>
      <c r="H29" s="72" t="s">
        <v>56</v>
      </c>
      <c r="I29" s="73">
        <v>12</v>
      </c>
      <c r="J29" s="73"/>
      <c r="K29" s="73">
        <v>32</v>
      </c>
      <c r="L29" s="73"/>
      <c r="M29" s="73">
        <v>22</v>
      </c>
      <c r="N29" s="73"/>
      <c r="O29" s="73">
        <v>22</v>
      </c>
      <c r="P29" s="73">
        <v>1</v>
      </c>
      <c r="Q29" s="46">
        <f t="shared" si="0"/>
        <v>88</v>
      </c>
      <c r="R29" s="29">
        <f t="shared" si="8"/>
        <v>1</v>
      </c>
      <c r="S29" s="29">
        <f t="shared" si="6"/>
        <v>0</v>
      </c>
      <c r="T29" s="29">
        <f t="shared" si="3"/>
        <v>2</v>
      </c>
      <c r="U29" s="40">
        <f t="shared" si="4"/>
        <v>-2</v>
      </c>
      <c r="V29" s="29">
        <f t="shared" si="7"/>
        <v>-2</v>
      </c>
      <c r="W29" s="32"/>
    </row>
    <row r="30" spans="1:23" ht="13.5" customHeight="1" thickBot="1" x14ac:dyDescent="0.3">
      <c r="A30" s="116"/>
      <c r="B30" s="82">
        <v>21</v>
      </c>
      <c r="C30" s="37" t="s">
        <v>107</v>
      </c>
      <c r="D30" s="70" t="s">
        <v>108</v>
      </c>
      <c r="E30" s="70" t="s">
        <v>109</v>
      </c>
      <c r="F30" s="71" t="s">
        <v>110</v>
      </c>
      <c r="G30" s="72">
        <v>80</v>
      </c>
      <c r="H30" s="72" t="s">
        <v>61</v>
      </c>
      <c r="I30" s="73"/>
      <c r="J30" s="73"/>
      <c r="K30" s="73"/>
      <c r="L30" s="73"/>
      <c r="M30" s="73">
        <v>37</v>
      </c>
      <c r="N30" s="73"/>
      <c r="O30" s="73">
        <v>43</v>
      </c>
      <c r="P30" s="73"/>
      <c r="Q30" s="46">
        <f t="shared" si="0"/>
        <v>80</v>
      </c>
      <c r="R30" s="29">
        <f t="shared" si="8"/>
        <v>0</v>
      </c>
      <c r="S30" s="29">
        <f t="shared" si="6"/>
        <v>0</v>
      </c>
      <c r="T30" s="29">
        <f t="shared" si="3"/>
        <v>0</v>
      </c>
      <c r="U30" s="40">
        <f t="shared" si="4"/>
        <v>0</v>
      </c>
      <c r="V30" s="29">
        <f t="shared" si="7"/>
        <v>0</v>
      </c>
      <c r="W30" s="32"/>
    </row>
    <row r="31" spans="1:23" ht="13.5" customHeight="1" thickBot="1" x14ac:dyDescent="0.3">
      <c r="A31" s="116"/>
      <c r="B31" s="82">
        <v>22</v>
      </c>
      <c r="C31" s="37" t="s">
        <v>111</v>
      </c>
      <c r="D31" s="70" t="s">
        <v>112</v>
      </c>
      <c r="E31" s="70" t="s">
        <v>113</v>
      </c>
      <c r="F31" s="71" t="s">
        <v>114</v>
      </c>
      <c r="G31" s="72">
        <v>100</v>
      </c>
      <c r="H31" s="72" t="s">
        <v>47</v>
      </c>
      <c r="I31" s="73">
        <v>12</v>
      </c>
      <c r="J31" s="73">
        <v>1</v>
      </c>
      <c r="K31" s="73">
        <v>30</v>
      </c>
      <c r="L31" s="73"/>
      <c r="M31" s="73">
        <v>28</v>
      </c>
      <c r="N31" s="73">
        <v>2</v>
      </c>
      <c r="O31" s="73">
        <v>33</v>
      </c>
      <c r="P31" s="73">
        <v>1</v>
      </c>
      <c r="Q31" s="46">
        <f t="shared" si="0"/>
        <v>103</v>
      </c>
      <c r="R31" s="29">
        <f t="shared" si="8"/>
        <v>4</v>
      </c>
      <c r="S31" s="29">
        <f t="shared" si="6"/>
        <v>2</v>
      </c>
      <c r="T31" s="29">
        <f t="shared" si="3"/>
        <v>2</v>
      </c>
      <c r="U31" s="40">
        <f t="shared" si="4"/>
        <v>-7</v>
      </c>
      <c r="V31" s="29">
        <f t="shared" si="7"/>
        <v>-7</v>
      </c>
      <c r="W31" s="32"/>
    </row>
    <row r="32" spans="1:23" ht="13.5" customHeight="1" thickBot="1" x14ac:dyDescent="0.3">
      <c r="A32" s="116"/>
      <c r="B32" s="82">
        <v>23</v>
      </c>
      <c r="C32" s="37" t="s">
        <v>115</v>
      </c>
      <c r="D32" s="70" t="s">
        <v>116</v>
      </c>
      <c r="E32" s="70" t="s">
        <v>117</v>
      </c>
      <c r="F32" s="71" t="s">
        <v>50</v>
      </c>
      <c r="G32" s="72">
        <v>72</v>
      </c>
      <c r="H32" s="72" t="s">
        <v>47</v>
      </c>
      <c r="I32" s="73">
        <v>8</v>
      </c>
      <c r="J32" s="73"/>
      <c r="K32" s="73">
        <v>18</v>
      </c>
      <c r="L32" s="73"/>
      <c r="M32" s="73">
        <v>23</v>
      </c>
      <c r="N32" s="73"/>
      <c r="O32" s="73">
        <v>23</v>
      </c>
      <c r="P32" s="73"/>
      <c r="Q32" s="46">
        <f t="shared" si="0"/>
        <v>72</v>
      </c>
      <c r="R32" s="29">
        <f t="shared" si="8"/>
        <v>0</v>
      </c>
      <c r="S32" s="29">
        <f t="shared" si="6"/>
        <v>0</v>
      </c>
      <c r="T32" s="29">
        <f t="shared" si="3"/>
        <v>0</v>
      </c>
      <c r="U32" s="40">
        <f t="shared" si="4"/>
        <v>0</v>
      </c>
      <c r="V32" s="29">
        <f t="shared" si="7"/>
        <v>0</v>
      </c>
      <c r="W32" s="32"/>
    </row>
    <row r="33" spans="1:23" ht="13.5" customHeight="1" thickBot="1" x14ac:dyDescent="0.3">
      <c r="A33" s="116"/>
      <c r="B33" s="82">
        <v>24</v>
      </c>
      <c r="C33" s="37" t="s">
        <v>118</v>
      </c>
      <c r="D33" s="70" t="s">
        <v>22</v>
      </c>
      <c r="E33" s="70" t="s">
        <v>119</v>
      </c>
      <c r="F33" s="71" t="s">
        <v>120</v>
      </c>
      <c r="G33" s="72">
        <v>50</v>
      </c>
      <c r="H33" s="72" t="s">
        <v>61</v>
      </c>
      <c r="I33" s="73"/>
      <c r="J33" s="73"/>
      <c r="K33" s="73"/>
      <c r="L33" s="73"/>
      <c r="M33" s="73">
        <v>25</v>
      </c>
      <c r="N33" s="73"/>
      <c r="O33" s="73">
        <v>25</v>
      </c>
      <c r="P33" s="73"/>
      <c r="Q33" s="46">
        <f t="shared" si="0"/>
        <v>50</v>
      </c>
      <c r="R33" s="29">
        <f t="shared" si="8"/>
        <v>0</v>
      </c>
      <c r="S33" s="29">
        <f t="shared" si="6"/>
        <v>0</v>
      </c>
      <c r="T33" s="29">
        <f t="shared" si="3"/>
        <v>0</v>
      </c>
      <c r="U33" s="40">
        <f t="shared" si="4"/>
        <v>0</v>
      </c>
      <c r="V33" s="29">
        <f t="shared" si="7"/>
        <v>0</v>
      </c>
      <c r="W33" s="32"/>
    </row>
    <row r="34" spans="1:23" ht="13.5" customHeight="1" thickBot="1" x14ac:dyDescent="0.3">
      <c r="A34" s="116"/>
      <c r="B34" s="82">
        <v>25</v>
      </c>
      <c r="C34" s="37" t="s">
        <v>121</v>
      </c>
      <c r="D34" s="70" t="s">
        <v>122</v>
      </c>
      <c r="E34" s="70" t="s">
        <v>123</v>
      </c>
      <c r="F34" s="71" t="s">
        <v>124</v>
      </c>
      <c r="G34" s="72">
        <v>170</v>
      </c>
      <c r="H34" s="72" t="s">
        <v>34</v>
      </c>
      <c r="I34" s="73"/>
      <c r="J34" s="73"/>
      <c r="K34" s="73">
        <v>58</v>
      </c>
      <c r="L34" s="73"/>
      <c r="M34" s="73">
        <v>63</v>
      </c>
      <c r="N34" s="73">
        <v>1</v>
      </c>
      <c r="O34" s="73">
        <v>49</v>
      </c>
      <c r="P34" s="73">
        <v>1</v>
      </c>
      <c r="Q34" s="46">
        <f t="shared" si="0"/>
        <v>170</v>
      </c>
      <c r="R34" s="29">
        <f t="shared" si="8"/>
        <v>2</v>
      </c>
      <c r="S34" s="29">
        <f t="shared" si="6"/>
        <v>0</v>
      </c>
      <c r="T34" s="29">
        <f t="shared" si="3"/>
        <v>2</v>
      </c>
      <c r="U34" s="40">
        <f t="shared" si="4"/>
        <v>-2</v>
      </c>
      <c r="V34" s="29">
        <f t="shared" si="7"/>
        <v>-2</v>
      </c>
      <c r="W34" s="32"/>
    </row>
    <row r="35" spans="1:23" ht="13.5" customHeight="1" thickBot="1" x14ac:dyDescent="0.3">
      <c r="A35" s="116"/>
      <c r="B35" s="82">
        <v>26</v>
      </c>
      <c r="C35" s="37" t="s">
        <v>125</v>
      </c>
      <c r="D35" s="70" t="s">
        <v>125</v>
      </c>
      <c r="E35" s="70" t="s">
        <v>126</v>
      </c>
      <c r="F35" s="71" t="s">
        <v>50</v>
      </c>
      <c r="G35" s="72">
        <v>50</v>
      </c>
      <c r="H35" s="72" t="s">
        <v>61</v>
      </c>
      <c r="I35" s="73"/>
      <c r="J35" s="73"/>
      <c r="K35" s="73"/>
      <c r="L35" s="73"/>
      <c r="M35" s="73">
        <v>15</v>
      </c>
      <c r="N35" s="73"/>
      <c r="O35" s="73">
        <v>35</v>
      </c>
      <c r="P35" s="73"/>
      <c r="Q35" s="46">
        <f t="shared" si="0"/>
        <v>50</v>
      </c>
      <c r="R35" s="29">
        <f t="shared" si="8"/>
        <v>0</v>
      </c>
      <c r="S35" s="29">
        <f t="shared" si="6"/>
        <v>0</v>
      </c>
      <c r="T35" s="29">
        <f t="shared" si="3"/>
        <v>0</v>
      </c>
      <c r="U35" s="40">
        <f t="shared" si="4"/>
        <v>0</v>
      </c>
      <c r="V35" s="29">
        <f t="shared" si="7"/>
        <v>0</v>
      </c>
      <c r="W35" s="32"/>
    </row>
    <row r="36" spans="1:23" ht="13.5" customHeight="1" thickBot="1" x14ac:dyDescent="0.3">
      <c r="A36" s="116"/>
      <c r="B36" s="82">
        <v>27</v>
      </c>
      <c r="C36" s="37" t="s">
        <v>127</v>
      </c>
      <c r="D36" s="70" t="s">
        <v>127</v>
      </c>
      <c r="E36" s="70" t="s">
        <v>128</v>
      </c>
      <c r="F36" s="71" t="s">
        <v>50</v>
      </c>
      <c r="G36" s="72">
        <v>75</v>
      </c>
      <c r="H36" s="72" t="s">
        <v>34</v>
      </c>
      <c r="I36" s="73"/>
      <c r="J36" s="73"/>
      <c r="K36" s="73">
        <v>17</v>
      </c>
      <c r="L36" s="73"/>
      <c r="M36" s="73">
        <v>24</v>
      </c>
      <c r="N36" s="73"/>
      <c r="O36" s="73">
        <v>32</v>
      </c>
      <c r="P36" s="73"/>
      <c r="Q36" s="46">
        <f t="shared" si="0"/>
        <v>73</v>
      </c>
      <c r="R36" s="29">
        <f t="shared" si="8"/>
        <v>0</v>
      </c>
      <c r="S36" s="29">
        <f t="shared" si="6"/>
        <v>0</v>
      </c>
      <c r="T36" s="29">
        <f t="shared" si="3"/>
        <v>0</v>
      </c>
      <c r="U36" s="40">
        <f t="shared" si="4"/>
        <v>2</v>
      </c>
      <c r="V36" s="29">
        <f t="shared" si="7"/>
        <v>0</v>
      </c>
      <c r="W36" s="32"/>
    </row>
    <row r="37" spans="1:23" ht="13.5" customHeight="1" thickBot="1" x14ac:dyDescent="0.3">
      <c r="A37" s="116"/>
      <c r="B37" s="82">
        <v>28</v>
      </c>
      <c r="C37" s="37" t="s">
        <v>129</v>
      </c>
      <c r="D37" s="70" t="s">
        <v>130</v>
      </c>
      <c r="E37" s="70" t="s">
        <v>131</v>
      </c>
      <c r="F37" s="71" t="s">
        <v>132</v>
      </c>
      <c r="G37" s="72">
        <v>72</v>
      </c>
      <c r="H37" s="72" t="s">
        <v>61</v>
      </c>
      <c r="I37" s="73"/>
      <c r="J37" s="73"/>
      <c r="K37" s="73"/>
      <c r="L37" s="73"/>
      <c r="M37" s="73">
        <v>24</v>
      </c>
      <c r="N37" s="73"/>
      <c r="O37" s="73">
        <v>48</v>
      </c>
      <c r="P37" s="73">
        <v>1</v>
      </c>
      <c r="Q37" s="46">
        <f t="shared" si="0"/>
        <v>72</v>
      </c>
      <c r="R37" s="29">
        <f t="shared" si="8"/>
        <v>1</v>
      </c>
      <c r="S37" s="29">
        <f t="shared" si="6"/>
        <v>0</v>
      </c>
      <c r="T37" s="29">
        <f t="shared" si="3"/>
        <v>2</v>
      </c>
      <c r="U37" s="40">
        <f t="shared" si="4"/>
        <v>-2</v>
      </c>
      <c r="V37" s="29">
        <f t="shared" si="7"/>
        <v>-2</v>
      </c>
      <c r="W37" s="32"/>
    </row>
    <row r="38" spans="1:23" ht="13.5" customHeight="1" thickBot="1" x14ac:dyDescent="0.3">
      <c r="A38" s="116"/>
      <c r="B38" s="82">
        <v>29</v>
      </c>
      <c r="C38" s="37" t="s">
        <v>133</v>
      </c>
      <c r="D38" s="70" t="s">
        <v>134</v>
      </c>
      <c r="E38" s="70" t="s">
        <v>135</v>
      </c>
      <c r="F38" s="71" t="s">
        <v>132</v>
      </c>
      <c r="G38" s="72">
        <v>40</v>
      </c>
      <c r="H38" s="72" t="s">
        <v>61</v>
      </c>
      <c r="I38" s="73"/>
      <c r="J38" s="73"/>
      <c r="K38" s="73"/>
      <c r="L38" s="73"/>
      <c r="M38" s="73">
        <v>19</v>
      </c>
      <c r="N38" s="73">
        <v>1</v>
      </c>
      <c r="O38" s="73">
        <v>19</v>
      </c>
      <c r="P38" s="73">
        <v>1</v>
      </c>
      <c r="Q38" s="46">
        <f t="shared" si="0"/>
        <v>38</v>
      </c>
      <c r="R38" s="29">
        <f t="shared" si="8"/>
        <v>2</v>
      </c>
      <c r="S38" s="29">
        <f t="shared" si="6"/>
        <v>0</v>
      </c>
      <c r="T38" s="29">
        <f t="shared" si="3"/>
        <v>2</v>
      </c>
      <c r="U38" s="40">
        <f t="shared" si="4"/>
        <v>0</v>
      </c>
      <c r="V38" s="29">
        <f t="shared" si="7"/>
        <v>0</v>
      </c>
      <c r="W38" s="32"/>
    </row>
    <row r="39" spans="1:23" ht="13.5" customHeight="1" thickBot="1" x14ac:dyDescent="0.3">
      <c r="A39" s="116"/>
      <c r="B39" s="82">
        <v>30</v>
      </c>
      <c r="C39" s="37" t="s">
        <v>136</v>
      </c>
      <c r="D39" s="70" t="s">
        <v>22</v>
      </c>
      <c r="E39" s="70" t="s">
        <v>137</v>
      </c>
      <c r="F39" s="71" t="s">
        <v>138</v>
      </c>
      <c r="G39" s="72">
        <v>71</v>
      </c>
      <c r="H39" s="72" t="s">
        <v>34</v>
      </c>
      <c r="I39" s="73"/>
      <c r="J39" s="73"/>
      <c r="K39" s="73">
        <v>11</v>
      </c>
      <c r="L39" s="73"/>
      <c r="M39" s="73">
        <v>36</v>
      </c>
      <c r="N39" s="73">
        <v>2</v>
      </c>
      <c r="O39" s="73">
        <v>24</v>
      </c>
      <c r="P39" s="73"/>
      <c r="Q39" s="46">
        <f t="shared" si="0"/>
        <v>71</v>
      </c>
      <c r="R39" s="29">
        <f t="shared" si="8"/>
        <v>2</v>
      </c>
      <c r="S39" s="29">
        <f t="shared" si="6"/>
        <v>0</v>
      </c>
      <c r="T39" s="29">
        <f t="shared" si="3"/>
        <v>2</v>
      </c>
      <c r="U39" s="40">
        <f t="shared" si="4"/>
        <v>-2</v>
      </c>
      <c r="V39" s="29">
        <f t="shared" si="7"/>
        <v>-2</v>
      </c>
      <c r="W39" s="32"/>
    </row>
    <row r="40" spans="1:23" ht="13.5" customHeight="1" thickBot="1" x14ac:dyDescent="0.3">
      <c r="A40" s="116"/>
      <c r="B40" s="82">
        <v>31</v>
      </c>
      <c r="C40" s="37" t="s">
        <v>139</v>
      </c>
      <c r="D40" s="70" t="s">
        <v>91</v>
      </c>
      <c r="E40" s="70" t="s">
        <v>140</v>
      </c>
      <c r="F40" s="71" t="s">
        <v>141</v>
      </c>
      <c r="G40" s="72">
        <v>140</v>
      </c>
      <c r="H40" s="72" t="s">
        <v>47</v>
      </c>
      <c r="I40" s="73">
        <v>12</v>
      </c>
      <c r="J40" s="73"/>
      <c r="K40" s="73">
        <v>45</v>
      </c>
      <c r="L40" s="73"/>
      <c r="M40" s="73">
        <v>44</v>
      </c>
      <c r="N40" s="73">
        <v>1</v>
      </c>
      <c r="O40" s="73">
        <v>38</v>
      </c>
      <c r="P40" s="73">
        <v>1</v>
      </c>
      <c r="Q40" s="46">
        <f t="shared" si="0"/>
        <v>139</v>
      </c>
      <c r="R40" s="29">
        <f t="shared" si="8"/>
        <v>2</v>
      </c>
      <c r="S40" s="29">
        <f t="shared" si="6"/>
        <v>0</v>
      </c>
      <c r="T40" s="29">
        <f t="shared" si="3"/>
        <v>2</v>
      </c>
      <c r="U40" s="40">
        <f t="shared" si="4"/>
        <v>-1</v>
      </c>
      <c r="V40" s="29">
        <f t="shared" si="7"/>
        <v>-1</v>
      </c>
      <c r="W40" s="32"/>
    </row>
    <row r="41" spans="1:23" ht="13.5" customHeight="1" thickBot="1" x14ac:dyDescent="0.3">
      <c r="A41" s="116"/>
      <c r="B41" s="82">
        <v>32</v>
      </c>
      <c r="C41" s="37" t="s">
        <v>142</v>
      </c>
      <c r="D41" s="70" t="s">
        <v>95</v>
      </c>
      <c r="E41" s="70" t="s">
        <v>143</v>
      </c>
      <c r="F41" s="71" t="s">
        <v>144</v>
      </c>
      <c r="G41" s="72">
        <v>86</v>
      </c>
      <c r="H41" s="72" t="s">
        <v>61</v>
      </c>
      <c r="I41" s="73"/>
      <c r="J41" s="73"/>
      <c r="K41" s="73"/>
      <c r="L41" s="73"/>
      <c r="M41" s="73">
        <v>36</v>
      </c>
      <c r="N41" s="73">
        <v>3</v>
      </c>
      <c r="O41" s="73">
        <v>44</v>
      </c>
      <c r="P41" s="73">
        <v>1</v>
      </c>
      <c r="Q41" s="46">
        <f t="shared" si="0"/>
        <v>80</v>
      </c>
      <c r="R41" s="29">
        <f t="shared" si="8"/>
        <v>4</v>
      </c>
      <c r="S41" s="29">
        <f t="shared" si="6"/>
        <v>0</v>
      </c>
      <c r="T41" s="29">
        <f t="shared" si="3"/>
        <v>2</v>
      </c>
      <c r="U41" s="40">
        <f t="shared" si="4"/>
        <v>4</v>
      </c>
      <c r="V41" s="29">
        <f t="shared" si="7"/>
        <v>0</v>
      </c>
      <c r="W41" s="32"/>
    </row>
    <row r="42" spans="1:23" ht="13.5" customHeight="1" thickBot="1" x14ac:dyDescent="0.3">
      <c r="A42" s="116"/>
      <c r="B42" s="82">
        <v>33</v>
      </c>
      <c r="C42" s="37" t="s">
        <v>145</v>
      </c>
      <c r="D42" s="70" t="s">
        <v>146</v>
      </c>
      <c r="E42" s="70" t="s">
        <v>147</v>
      </c>
      <c r="F42" s="71" t="s">
        <v>148</v>
      </c>
      <c r="G42" s="72">
        <v>50</v>
      </c>
      <c r="H42" s="72" t="s">
        <v>61</v>
      </c>
      <c r="I42" s="73"/>
      <c r="J42" s="73"/>
      <c r="K42" s="73"/>
      <c r="L42" s="73"/>
      <c r="M42" s="73">
        <v>10</v>
      </c>
      <c r="N42" s="73">
        <v>1</v>
      </c>
      <c r="O42" s="73">
        <v>37</v>
      </c>
      <c r="P42" s="73">
        <v>3</v>
      </c>
      <c r="Q42" s="46">
        <f t="shared" si="0"/>
        <v>47</v>
      </c>
      <c r="R42" s="29">
        <f t="shared" si="8"/>
        <v>4</v>
      </c>
      <c r="S42" s="29">
        <f t="shared" si="6"/>
        <v>0</v>
      </c>
      <c r="T42" s="29">
        <f t="shared" si="3"/>
        <v>2</v>
      </c>
      <c r="U42" s="40">
        <f t="shared" si="4"/>
        <v>1</v>
      </c>
      <c r="V42" s="29">
        <f t="shared" si="7"/>
        <v>0</v>
      </c>
      <c r="W42" s="32"/>
    </row>
    <row r="43" spans="1:23" ht="13.5" customHeight="1" thickBot="1" x14ac:dyDescent="0.3">
      <c r="A43" s="116"/>
      <c r="B43" s="82">
        <v>34</v>
      </c>
      <c r="C43" s="37" t="s">
        <v>149</v>
      </c>
      <c r="D43" s="70" t="s">
        <v>149</v>
      </c>
      <c r="E43" s="70" t="s">
        <v>150</v>
      </c>
      <c r="F43" s="71" t="s">
        <v>86</v>
      </c>
      <c r="G43" s="72">
        <v>60</v>
      </c>
      <c r="H43" s="72" t="s">
        <v>34</v>
      </c>
      <c r="I43" s="73"/>
      <c r="J43" s="73"/>
      <c r="K43" s="73">
        <v>22</v>
      </c>
      <c r="L43" s="73"/>
      <c r="M43" s="73">
        <v>20</v>
      </c>
      <c r="N43" s="73"/>
      <c r="O43" s="73">
        <v>18</v>
      </c>
      <c r="P43" s="73"/>
      <c r="Q43" s="46">
        <f t="shared" si="0"/>
        <v>60</v>
      </c>
      <c r="R43" s="29">
        <f t="shared" si="8"/>
        <v>0</v>
      </c>
      <c r="S43" s="29">
        <f t="shared" si="6"/>
        <v>0</v>
      </c>
      <c r="T43" s="29">
        <f t="shared" si="3"/>
        <v>0</v>
      </c>
      <c r="U43" s="40">
        <f t="shared" si="4"/>
        <v>0</v>
      </c>
      <c r="V43" s="29">
        <f t="shared" si="7"/>
        <v>0</v>
      </c>
      <c r="W43" s="32"/>
    </row>
    <row r="44" spans="1:23" ht="13.5" customHeight="1" thickBot="1" x14ac:dyDescent="0.3">
      <c r="A44" s="116"/>
      <c r="B44" s="82">
        <v>35</v>
      </c>
      <c r="C44" s="37" t="s">
        <v>151</v>
      </c>
      <c r="D44" s="70" t="s">
        <v>151</v>
      </c>
      <c r="E44" s="70" t="s">
        <v>152</v>
      </c>
      <c r="F44" s="71" t="s">
        <v>153</v>
      </c>
      <c r="G44" s="72">
        <v>140</v>
      </c>
      <c r="H44" s="72" t="s">
        <v>47</v>
      </c>
      <c r="I44" s="73"/>
      <c r="J44" s="73"/>
      <c r="K44" s="73">
        <v>44</v>
      </c>
      <c r="L44" s="73"/>
      <c r="M44" s="73">
        <v>48</v>
      </c>
      <c r="N44" s="73">
        <v>1</v>
      </c>
      <c r="O44" s="73">
        <v>48</v>
      </c>
      <c r="P44" s="73">
        <v>1</v>
      </c>
      <c r="Q44" s="46">
        <f t="shared" si="0"/>
        <v>140</v>
      </c>
      <c r="R44" s="29">
        <f t="shared" si="8"/>
        <v>2</v>
      </c>
      <c r="S44" s="29">
        <f t="shared" si="6"/>
        <v>0</v>
      </c>
      <c r="T44" s="29">
        <f t="shared" si="3"/>
        <v>2</v>
      </c>
      <c r="U44" s="40">
        <f t="shared" si="4"/>
        <v>-2</v>
      </c>
      <c r="V44" s="29">
        <f t="shared" si="7"/>
        <v>-2</v>
      </c>
      <c r="W44" s="32"/>
    </row>
    <row r="45" spans="1:23" ht="13.5" customHeight="1" thickBot="1" x14ac:dyDescent="0.3">
      <c r="A45" s="116"/>
      <c r="B45" s="82">
        <v>36</v>
      </c>
      <c r="C45" s="37" t="s">
        <v>154</v>
      </c>
      <c r="D45" s="70" t="s">
        <v>155</v>
      </c>
      <c r="E45" s="70" t="s">
        <v>156</v>
      </c>
      <c r="F45" s="71" t="s">
        <v>46</v>
      </c>
      <c r="G45" s="72">
        <v>24</v>
      </c>
      <c r="H45" s="72" t="s">
        <v>157</v>
      </c>
      <c r="I45" s="73"/>
      <c r="J45" s="73"/>
      <c r="K45" s="73"/>
      <c r="L45" s="73"/>
      <c r="M45" s="73"/>
      <c r="N45" s="73"/>
      <c r="O45" s="73">
        <v>24</v>
      </c>
      <c r="P45" s="73"/>
      <c r="Q45" s="46">
        <f t="shared" si="0"/>
        <v>24</v>
      </c>
      <c r="R45" s="29">
        <f t="shared" si="8"/>
        <v>0</v>
      </c>
      <c r="S45" s="29">
        <f t="shared" si="6"/>
        <v>0</v>
      </c>
      <c r="T45" s="29">
        <f t="shared" si="3"/>
        <v>0</v>
      </c>
      <c r="U45" s="40">
        <f t="shared" si="4"/>
        <v>0</v>
      </c>
      <c r="V45" s="29">
        <f t="shared" si="7"/>
        <v>0</v>
      </c>
      <c r="W45" s="32"/>
    </row>
    <row r="46" spans="1:23" ht="13.5" customHeight="1" thickBot="1" x14ac:dyDescent="0.3">
      <c r="A46" s="116"/>
      <c r="B46" s="82">
        <v>37</v>
      </c>
      <c r="C46" s="37" t="s">
        <v>158</v>
      </c>
      <c r="D46" s="70" t="s">
        <v>158</v>
      </c>
      <c r="E46" s="70" t="s">
        <v>159</v>
      </c>
      <c r="F46" s="71" t="s">
        <v>86</v>
      </c>
      <c r="G46" s="72">
        <v>72</v>
      </c>
      <c r="H46" s="72" t="s">
        <v>61</v>
      </c>
      <c r="I46" s="73"/>
      <c r="J46" s="73"/>
      <c r="K46" s="73"/>
      <c r="L46" s="73"/>
      <c r="M46" s="73">
        <v>24</v>
      </c>
      <c r="N46" s="73"/>
      <c r="O46" s="73">
        <v>47</v>
      </c>
      <c r="P46" s="73">
        <v>1</v>
      </c>
      <c r="Q46" s="46">
        <f t="shared" si="0"/>
        <v>71</v>
      </c>
      <c r="R46" s="29">
        <f t="shared" si="8"/>
        <v>1</v>
      </c>
      <c r="S46" s="29">
        <f t="shared" si="6"/>
        <v>0</v>
      </c>
      <c r="T46" s="29">
        <f t="shared" si="3"/>
        <v>2</v>
      </c>
      <c r="U46" s="40">
        <f t="shared" si="4"/>
        <v>-1</v>
      </c>
      <c r="V46" s="29">
        <f t="shared" si="7"/>
        <v>-1</v>
      </c>
      <c r="W46" s="32"/>
    </row>
    <row r="47" spans="1:23" ht="13.5" customHeight="1" thickBot="1" x14ac:dyDescent="0.3">
      <c r="A47" s="116"/>
      <c r="B47" s="82">
        <v>38</v>
      </c>
      <c r="C47" s="37" t="s">
        <v>160</v>
      </c>
      <c r="D47" s="70" t="s">
        <v>160</v>
      </c>
      <c r="E47" s="70" t="s">
        <v>161</v>
      </c>
      <c r="F47" s="71" t="s">
        <v>153</v>
      </c>
      <c r="G47" s="72">
        <v>96</v>
      </c>
      <c r="H47" s="72" t="s">
        <v>61</v>
      </c>
      <c r="I47" s="73"/>
      <c r="J47" s="73"/>
      <c r="K47" s="73"/>
      <c r="L47" s="73"/>
      <c r="M47" s="73">
        <v>48</v>
      </c>
      <c r="N47" s="73">
        <v>4</v>
      </c>
      <c r="O47" s="73">
        <v>48</v>
      </c>
      <c r="P47" s="73">
        <v>1</v>
      </c>
      <c r="Q47" s="46">
        <f t="shared" si="0"/>
        <v>96</v>
      </c>
      <c r="R47" s="29">
        <f t="shared" si="8"/>
        <v>5</v>
      </c>
      <c r="S47" s="29">
        <f t="shared" si="6"/>
        <v>0</v>
      </c>
      <c r="T47" s="29">
        <f t="shared" si="3"/>
        <v>2</v>
      </c>
      <c r="U47" s="40">
        <f t="shared" si="4"/>
        <v>-2</v>
      </c>
      <c r="V47" s="29">
        <f t="shared" si="7"/>
        <v>-2</v>
      </c>
      <c r="W47" s="32"/>
    </row>
    <row r="48" spans="1:23" ht="13.5" customHeight="1" thickBot="1" x14ac:dyDescent="0.3">
      <c r="A48" s="116"/>
      <c r="B48" s="82">
        <v>39</v>
      </c>
      <c r="C48" s="37" t="s">
        <v>162</v>
      </c>
      <c r="D48" s="70" t="s">
        <v>162</v>
      </c>
      <c r="E48" s="70" t="s">
        <v>163</v>
      </c>
      <c r="F48" s="71" t="s">
        <v>164</v>
      </c>
      <c r="G48" s="72">
        <v>70</v>
      </c>
      <c r="H48" s="72" t="s">
        <v>34</v>
      </c>
      <c r="I48" s="73"/>
      <c r="J48" s="73"/>
      <c r="K48" s="73">
        <v>23</v>
      </c>
      <c r="L48" s="73"/>
      <c r="M48" s="73">
        <v>22</v>
      </c>
      <c r="N48" s="73"/>
      <c r="O48" s="73">
        <v>25</v>
      </c>
      <c r="P48" s="73"/>
      <c r="Q48" s="46">
        <f t="shared" si="0"/>
        <v>70</v>
      </c>
      <c r="R48" s="29">
        <f t="shared" si="8"/>
        <v>0</v>
      </c>
      <c r="S48" s="29">
        <f t="shared" si="6"/>
        <v>0</v>
      </c>
      <c r="T48" s="29">
        <f t="shared" si="3"/>
        <v>0</v>
      </c>
      <c r="U48" s="40">
        <f t="shared" si="4"/>
        <v>0</v>
      </c>
      <c r="V48" s="29">
        <f t="shared" si="7"/>
        <v>0</v>
      </c>
      <c r="W48" s="32"/>
    </row>
    <row r="49" spans="1:23" ht="13.5" customHeight="1" thickBot="1" x14ac:dyDescent="0.3">
      <c r="A49" s="116"/>
      <c r="B49" s="82">
        <v>40</v>
      </c>
      <c r="C49" s="37" t="s">
        <v>165</v>
      </c>
      <c r="D49" s="70" t="s">
        <v>165</v>
      </c>
      <c r="E49" s="70" t="s">
        <v>166</v>
      </c>
      <c r="F49" s="71" t="s">
        <v>50</v>
      </c>
      <c r="G49" s="72">
        <v>65</v>
      </c>
      <c r="H49" s="72" t="s">
        <v>47</v>
      </c>
      <c r="I49" s="73">
        <v>12</v>
      </c>
      <c r="J49" s="73"/>
      <c r="K49" s="73">
        <v>18</v>
      </c>
      <c r="L49" s="73">
        <v>1</v>
      </c>
      <c r="M49" s="73">
        <v>15</v>
      </c>
      <c r="N49" s="73"/>
      <c r="O49" s="73">
        <v>20</v>
      </c>
      <c r="P49" s="73"/>
      <c r="Q49" s="46">
        <f t="shared" si="0"/>
        <v>65</v>
      </c>
      <c r="R49" s="29">
        <f t="shared" si="8"/>
        <v>1</v>
      </c>
      <c r="S49" s="29">
        <f t="shared" si="6"/>
        <v>2</v>
      </c>
      <c r="T49" s="29">
        <f t="shared" si="3"/>
        <v>0</v>
      </c>
      <c r="U49" s="40">
        <f t="shared" si="4"/>
        <v>-2</v>
      </c>
      <c r="V49" s="29">
        <f t="shared" si="7"/>
        <v>-2</v>
      </c>
      <c r="W49" s="32"/>
    </row>
    <row r="50" spans="1:23" ht="13.5" customHeight="1" thickBot="1" x14ac:dyDescent="0.3">
      <c r="A50" s="116"/>
      <c r="B50" s="82">
        <v>41</v>
      </c>
      <c r="C50" s="37" t="s">
        <v>167</v>
      </c>
      <c r="D50" s="70" t="s">
        <v>167</v>
      </c>
      <c r="E50" s="70" t="s">
        <v>168</v>
      </c>
      <c r="F50" s="71" t="s">
        <v>124</v>
      </c>
      <c r="G50" s="72">
        <v>110</v>
      </c>
      <c r="H50" s="72" t="s">
        <v>34</v>
      </c>
      <c r="I50" s="73"/>
      <c r="J50" s="73"/>
      <c r="K50" s="73">
        <v>23</v>
      </c>
      <c r="L50" s="73"/>
      <c r="M50" s="73">
        <v>39</v>
      </c>
      <c r="N50" s="73">
        <v>1</v>
      </c>
      <c r="O50" s="73">
        <v>48</v>
      </c>
      <c r="P50" s="73">
        <v>1</v>
      </c>
      <c r="Q50" s="46">
        <f t="shared" si="0"/>
        <v>110</v>
      </c>
      <c r="R50" s="29">
        <f t="shared" si="8"/>
        <v>2</v>
      </c>
      <c r="S50" s="29">
        <f t="shared" si="6"/>
        <v>0</v>
      </c>
      <c r="T50" s="29">
        <f t="shared" si="3"/>
        <v>2</v>
      </c>
      <c r="U50" s="40">
        <f t="shared" si="4"/>
        <v>-2</v>
      </c>
      <c r="V50" s="29">
        <f t="shared" si="7"/>
        <v>-2</v>
      </c>
      <c r="W50" s="32"/>
    </row>
    <row r="51" spans="1:23" ht="13.5" customHeight="1" thickBot="1" x14ac:dyDescent="0.3">
      <c r="A51" s="116"/>
      <c r="B51" s="82">
        <v>42</v>
      </c>
      <c r="C51" s="37" t="s">
        <v>169</v>
      </c>
      <c r="D51" s="70" t="s">
        <v>169</v>
      </c>
      <c r="E51" s="70" t="s">
        <v>170</v>
      </c>
      <c r="F51" s="71" t="s">
        <v>171</v>
      </c>
      <c r="G51" s="72">
        <v>85</v>
      </c>
      <c r="H51" s="72" t="s">
        <v>47</v>
      </c>
      <c r="I51" s="73">
        <v>11</v>
      </c>
      <c r="J51" s="73"/>
      <c r="K51" s="73">
        <v>31</v>
      </c>
      <c r="L51" s="73"/>
      <c r="M51" s="73">
        <v>21</v>
      </c>
      <c r="N51" s="73">
        <v>1</v>
      </c>
      <c r="O51" s="73">
        <v>22</v>
      </c>
      <c r="P51" s="73"/>
      <c r="Q51" s="46">
        <f t="shared" si="0"/>
        <v>85</v>
      </c>
      <c r="R51" s="29">
        <f t="shared" si="8"/>
        <v>1</v>
      </c>
      <c r="S51" s="29">
        <f t="shared" si="6"/>
        <v>0</v>
      </c>
      <c r="T51" s="29">
        <f t="shared" si="3"/>
        <v>2</v>
      </c>
      <c r="U51" s="40">
        <f t="shared" si="4"/>
        <v>-2</v>
      </c>
      <c r="V51" s="29">
        <f t="shared" si="7"/>
        <v>-2</v>
      </c>
      <c r="W51" s="32"/>
    </row>
    <row r="52" spans="1:23" ht="13.5" customHeight="1" thickBot="1" x14ac:dyDescent="0.3">
      <c r="A52" s="116"/>
      <c r="B52" s="82">
        <v>43</v>
      </c>
      <c r="C52" s="37" t="s">
        <v>172</v>
      </c>
      <c r="D52" s="70" t="s">
        <v>172</v>
      </c>
      <c r="E52" s="70" t="s">
        <v>173</v>
      </c>
      <c r="F52" s="71" t="s">
        <v>53</v>
      </c>
      <c r="G52" s="72">
        <v>60</v>
      </c>
      <c r="H52" s="72" t="s">
        <v>34</v>
      </c>
      <c r="I52" s="73"/>
      <c r="J52" s="73"/>
      <c r="K52" s="73">
        <v>17</v>
      </c>
      <c r="L52" s="73"/>
      <c r="M52" s="73">
        <v>16</v>
      </c>
      <c r="N52" s="73"/>
      <c r="O52" s="73">
        <v>16</v>
      </c>
      <c r="P52" s="73"/>
      <c r="Q52" s="46">
        <f t="shared" si="0"/>
        <v>49</v>
      </c>
      <c r="R52" s="29">
        <f t="shared" si="8"/>
        <v>0</v>
      </c>
      <c r="S52" s="29">
        <f t="shared" si="6"/>
        <v>0</v>
      </c>
      <c r="T52" s="29">
        <f t="shared" si="3"/>
        <v>0</v>
      </c>
      <c r="U52" s="40">
        <f t="shared" si="4"/>
        <v>11</v>
      </c>
      <c r="V52" s="29">
        <f t="shared" si="7"/>
        <v>0</v>
      </c>
      <c r="W52" s="32"/>
    </row>
    <row r="53" spans="1:23" ht="13.5" customHeight="1" thickBot="1" x14ac:dyDescent="0.3">
      <c r="A53" s="116"/>
      <c r="B53" s="82">
        <v>44</v>
      </c>
      <c r="C53" s="37" t="s">
        <v>174</v>
      </c>
      <c r="D53" s="70" t="s">
        <v>95</v>
      </c>
      <c r="E53" s="70" t="s">
        <v>175</v>
      </c>
      <c r="F53" s="71" t="s">
        <v>176</v>
      </c>
      <c r="G53" s="72">
        <v>90</v>
      </c>
      <c r="H53" s="72" t="s">
        <v>34</v>
      </c>
      <c r="I53" s="73"/>
      <c r="J53" s="73"/>
      <c r="K53" s="73">
        <v>29</v>
      </c>
      <c r="L53" s="73"/>
      <c r="M53" s="73">
        <v>29</v>
      </c>
      <c r="N53" s="73"/>
      <c r="O53" s="73">
        <v>23</v>
      </c>
      <c r="P53" s="73"/>
      <c r="Q53" s="46">
        <f t="shared" si="0"/>
        <v>81</v>
      </c>
      <c r="R53" s="29">
        <f t="shared" si="8"/>
        <v>0</v>
      </c>
      <c r="S53" s="29">
        <f t="shared" si="6"/>
        <v>0</v>
      </c>
      <c r="T53" s="29">
        <f t="shared" si="3"/>
        <v>0</v>
      </c>
      <c r="U53" s="40">
        <f t="shared" si="4"/>
        <v>9</v>
      </c>
      <c r="V53" s="29">
        <f t="shared" si="7"/>
        <v>0</v>
      </c>
      <c r="W53" s="32"/>
    </row>
    <row r="54" spans="1:23" ht="13.5" customHeight="1" thickBot="1" x14ac:dyDescent="0.3">
      <c r="A54" s="116"/>
      <c r="B54" s="82">
        <v>45</v>
      </c>
      <c r="C54" s="37" t="s">
        <v>177</v>
      </c>
      <c r="D54" s="70" t="s">
        <v>177</v>
      </c>
      <c r="E54" s="70" t="s">
        <v>178</v>
      </c>
      <c r="F54" s="71" t="s">
        <v>50</v>
      </c>
      <c r="G54" s="72">
        <v>147</v>
      </c>
      <c r="H54" s="72" t="s">
        <v>47</v>
      </c>
      <c r="I54" s="73">
        <v>24</v>
      </c>
      <c r="J54" s="73">
        <v>1</v>
      </c>
      <c r="K54" s="73">
        <v>50</v>
      </c>
      <c r="L54" s="73"/>
      <c r="M54" s="73">
        <v>50</v>
      </c>
      <c r="N54" s="73">
        <v>1</v>
      </c>
      <c r="O54" s="73">
        <v>23</v>
      </c>
      <c r="P54" s="73"/>
      <c r="Q54" s="46">
        <f t="shared" si="0"/>
        <v>147</v>
      </c>
      <c r="R54" s="29">
        <f t="shared" si="8"/>
        <v>2</v>
      </c>
      <c r="S54" s="29">
        <f t="shared" si="6"/>
        <v>2</v>
      </c>
      <c r="T54" s="29">
        <f t="shared" si="3"/>
        <v>2</v>
      </c>
      <c r="U54" s="40">
        <f t="shared" si="4"/>
        <v>-4</v>
      </c>
      <c r="V54" s="29">
        <f t="shared" si="7"/>
        <v>-4</v>
      </c>
      <c r="W54" s="32"/>
    </row>
    <row r="55" spans="1:23" ht="13.5" customHeight="1" thickBot="1" x14ac:dyDescent="0.3">
      <c r="A55" s="116"/>
      <c r="B55" s="82">
        <v>46</v>
      </c>
      <c r="C55" s="37" t="s">
        <v>179</v>
      </c>
      <c r="D55" s="70" t="s">
        <v>179</v>
      </c>
      <c r="E55" s="70" t="s">
        <v>180</v>
      </c>
      <c r="F55" s="71" t="s">
        <v>153</v>
      </c>
      <c r="G55" s="72">
        <v>80</v>
      </c>
      <c r="H55" s="72" t="s">
        <v>61</v>
      </c>
      <c r="I55" s="73"/>
      <c r="J55" s="73"/>
      <c r="K55" s="73"/>
      <c r="L55" s="73"/>
      <c r="M55" s="73">
        <v>47</v>
      </c>
      <c r="N55" s="73"/>
      <c r="O55" s="73">
        <v>32</v>
      </c>
      <c r="P55" s="73"/>
      <c r="Q55" s="46">
        <f t="shared" si="0"/>
        <v>79</v>
      </c>
      <c r="R55" s="29">
        <f t="shared" si="8"/>
        <v>0</v>
      </c>
      <c r="S55" s="29">
        <f t="shared" si="6"/>
        <v>0</v>
      </c>
      <c r="T55" s="29">
        <f t="shared" si="3"/>
        <v>0</v>
      </c>
      <c r="U55" s="40">
        <f t="shared" si="4"/>
        <v>1</v>
      </c>
      <c r="V55" s="29">
        <f t="shared" si="7"/>
        <v>0</v>
      </c>
      <c r="W55" s="32"/>
    </row>
    <row r="56" spans="1:23" ht="13.5" customHeight="1" thickBot="1" x14ac:dyDescent="0.3">
      <c r="A56" s="116"/>
      <c r="B56" s="82">
        <v>47</v>
      </c>
      <c r="C56" s="37" t="s">
        <v>181</v>
      </c>
      <c r="D56" s="70" t="s">
        <v>182</v>
      </c>
      <c r="E56" s="70" t="s">
        <v>183</v>
      </c>
      <c r="F56" s="71" t="s">
        <v>124</v>
      </c>
      <c r="G56" s="72">
        <v>45</v>
      </c>
      <c r="H56" s="72" t="s">
        <v>61</v>
      </c>
      <c r="I56" s="73"/>
      <c r="J56" s="73"/>
      <c r="K56" s="73">
        <v>11</v>
      </c>
      <c r="L56" s="73"/>
      <c r="M56" s="73">
        <v>16</v>
      </c>
      <c r="N56" s="73"/>
      <c r="O56" s="73">
        <v>17</v>
      </c>
      <c r="P56" s="73"/>
      <c r="Q56" s="46">
        <f t="shared" si="0"/>
        <v>44</v>
      </c>
      <c r="R56" s="29">
        <f t="shared" si="8"/>
        <v>0</v>
      </c>
      <c r="S56" s="29">
        <f t="shared" si="6"/>
        <v>0</v>
      </c>
      <c r="T56" s="29">
        <f t="shared" si="3"/>
        <v>0</v>
      </c>
      <c r="U56" s="40">
        <f t="shared" si="4"/>
        <v>1</v>
      </c>
      <c r="V56" s="29">
        <v>0</v>
      </c>
      <c r="W56" s="32"/>
    </row>
    <row r="57" spans="1:23" ht="13.5" customHeight="1" x14ac:dyDescent="0.25">
      <c r="A57" s="116"/>
      <c r="B57" s="82">
        <v>48</v>
      </c>
      <c r="C57" s="37" t="s">
        <v>184</v>
      </c>
      <c r="D57" s="70" t="s">
        <v>184</v>
      </c>
      <c r="E57" s="70" t="s">
        <v>185</v>
      </c>
      <c r="F57" s="71" t="s">
        <v>50</v>
      </c>
      <c r="G57" s="72">
        <v>75</v>
      </c>
      <c r="H57" s="72" t="s">
        <v>47</v>
      </c>
      <c r="I57" s="73">
        <v>10</v>
      </c>
      <c r="J57" s="73"/>
      <c r="K57" s="73">
        <v>20</v>
      </c>
      <c r="L57" s="73"/>
      <c r="M57" s="73">
        <v>17</v>
      </c>
      <c r="N57" s="73"/>
      <c r="O57" s="73">
        <v>23</v>
      </c>
      <c r="P57" s="73"/>
      <c r="Q57" s="46">
        <f t="shared" si="0"/>
        <v>70</v>
      </c>
      <c r="R57" s="29">
        <f t="shared" si="8"/>
        <v>0</v>
      </c>
      <c r="S57" s="29">
        <f t="shared" si="6"/>
        <v>0</v>
      </c>
      <c r="T57" s="29">
        <f t="shared" si="3"/>
        <v>0</v>
      </c>
      <c r="U57" s="40">
        <f t="shared" si="4"/>
        <v>5</v>
      </c>
      <c r="V57" s="29">
        <v>0</v>
      </c>
      <c r="W57" s="32"/>
    </row>
    <row r="58" spans="1:23" ht="13.5" customHeight="1" x14ac:dyDescent="0.25">
      <c r="A58" s="117"/>
      <c r="B58" s="83">
        <v>49</v>
      </c>
      <c r="C58" s="84" t="s">
        <v>186</v>
      </c>
      <c r="D58" s="76"/>
      <c r="E58" s="76" t="s">
        <v>187</v>
      </c>
      <c r="F58" s="77" t="s">
        <v>50</v>
      </c>
      <c r="G58" s="78">
        <v>22</v>
      </c>
      <c r="H58" s="78" t="s">
        <v>25</v>
      </c>
      <c r="I58" s="79"/>
      <c r="J58" s="79"/>
      <c r="K58" s="79"/>
      <c r="L58" s="79"/>
      <c r="M58" s="79">
        <v>6</v>
      </c>
      <c r="N58" s="79"/>
      <c r="O58" s="79">
        <v>13</v>
      </c>
      <c r="P58" s="79"/>
      <c r="Q58" s="47">
        <f t="shared" si="0"/>
        <v>19</v>
      </c>
      <c r="R58" s="33">
        <f t="shared" si="8"/>
        <v>0</v>
      </c>
      <c r="S58" s="33">
        <f t="shared" si="6"/>
        <v>0</v>
      </c>
      <c r="T58" s="33">
        <f t="shared" si="3"/>
        <v>0</v>
      </c>
      <c r="U58" s="40">
        <f t="shared" si="4"/>
        <v>3</v>
      </c>
      <c r="V58" s="33">
        <f t="shared" si="7"/>
        <v>0</v>
      </c>
      <c r="W58" s="34" t="s">
        <v>188</v>
      </c>
    </row>
    <row r="59" spans="1:23" ht="13.5" customHeight="1" x14ac:dyDescent="0.25">
      <c r="A59" s="4"/>
      <c r="B59" s="4"/>
      <c r="C59" s="3"/>
      <c r="D59" s="3"/>
      <c r="E59" s="3"/>
      <c r="F59" s="85"/>
      <c r="G59" s="4"/>
      <c r="H59" s="4"/>
      <c r="I59" s="3"/>
      <c r="J59" s="3"/>
      <c r="K59" s="3"/>
      <c r="L59" s="3"/>
      <c r="M59" s="3"/>
      <c r="N59" s="3"/>
      <c r="O59" s="3"/>
      <c r="P59" s="3"/>
      <c r="Q59" s="4"/>
      <c r="R59" s="4"/>
      <c r="S59" s="4"/>
      <c r="T59" s="4"/>
      <c r="U59" s="30"/>
      <c r="V59" s="4"/>
      <c r="W59" s="35"/>
    </row>
    <row r="60" spans="1:23" ht="13.5" customHeight="1" thickBot="1" x14ac:dyDescent="0.3">
      <c r="A60" s="115" t="s">
        <v>189</v>
      </c>
      <c r="B60" s="80">
        <v>1</v>
      </c>
      <c r="C60" s="81" t="s">
        <v>190</v>
      </c>
      <c r="D60" s="64" t="s">
        <v>191</v>
      </c>
      <c r="E60" s="64" t="s">
        <v>192</v>
      </c>
      <c r="F60" s="65" t="s">
        <v>193</v>
      </c>
      <c r="G60" s="66">
        <v>415</v>
      </c>
      <c r="H60" s="66" t="s">
        <v>34</v>
      </c>
      <c r="I60" s="67"/>
      <c r="J60" s="67"/>
      <c r="K60" s="67">
        <v>70</v>
      </c>
      <c r="L60" s="67"/>
      <c r="M60" s="67">
        <v>175</v>
      </c>
      <c r="N60" s="67">
        <v>2</v>
      </c>
      <c r="O60" s="67">
        <v>165</v>
      </c>
      <c r="P60" s="67">
        <v>1</v>
      </c>
      <c r="Q60" s="45">
        <f t="shared" si="0"/>
        <v>410</v>
      </c>
      <c r="R60" s="30">
        <f t="shared" si="8"/>
        <v>3</v>
      </c>
      <c r="S60" s="30">
        <f t="shared" si="6"/>
        <v>0</v>
      </c>
      <c r="T60" s="30">
        <f t="shared" si="3"/>
        <v>2</v>
      </c>
      <c r="U60" s="40">
        <f t="shared" si="4"/>
        <v>3</v>
      </c>
      <c r="V60" s="30">
        <f t="shared" si="7"/>
        <v>0</v>
      </c>
      <c r="W60" s="31"/>
    </row>
    <row r="61" spans="1:23" ht="13.5" customHeight="1" thickBot="1" x14ac:dyDescent="0.3">
      <c r="A61" s="116"/>
      <c r="B61" s="82">
        <v>2</v>
      </c>
      <c r="C61" s="37" t="s">
        <v>194</v>
      </c>
      <c r="D61" s="70" t="s">
        <v>194</v>
      </c>
      <c r="E61" s="70" t="s">
        <v>195</v>
      </c>
      <c r="F61" s="71" t="s">
        <v>196</v>
      </c>
      <c r="G61" s="72">
        <v>82</v>
      </c>
      <c r="H61" s="72" t="s">
        <v>34</v>
      </c>
      <c r="I61" s="73"/>
      <c r="J61" s="73"/>
      <c r="K61" s="73">
        <v>12</v>
      </c>
      <c r="L61" s="73"/>
      <c r="M61" s="73">
        <v>30</v>
      </c>
      <c r="N61" s="73"/>
      <c r="O61" s="73">
        <v>38</v>
      </c>
      <c r="P61" s="73"/>
      <c r="Q61" s="46">
        <f t="shared" si="0"/>
        <v>80</v>
      </c>
      <c r="R61" s="29">
        <f t="shared" si="8"/>
        <v>0</v>
      </c>
      <c r="S61" s="29">
        <f t="shared" si="6"/>
        <v>0</v>
      </c>
      <c r="T61" s="29">
        <f t="shared" si="3"/>
        <v>0</v>
      </c>
      <c r="U61" s="40">
        <f t="shared" si="4"/>
        <v>2</v>
      </c>
      <c r="V61" s="29">
        <f t="shared" si="7"/>
        <v>0</v>
      </c>
      <c r="W61" s="32"/>
    </row>
    <row r="62" spans="1:23" ht="13.5" customHeight="1" thickBot="1" x14ac:dyDescent="0.3">
      <c r="A62" s="116"/>
      <c r="B62" s="82">
        <v>3</v>
      </c>
      <c r="C62" s="37" t="s">
        <v>197</v>
      </c>
      <c r="D62" s="70" t="s">
        <v>198</v>
      </c>
      <c r="E62" s="70" t="s">
        <v>199</v>
      </c>
      <c r="F62" s="71" t="s">
        <v>200</v>
      </c>
      <c r="G62" s="72">
        <v>143</v>
      </c>
      <c r="H62" s="72" t="s">
        <v>61</v>
      </c>
      <c r="I62" s="73"/>
      <c r="J62" s="73"/>
      <c r="K62" s="73">
        <v>52</v>
      </c>
      <c r="L62" s="73"/>
      <c r="M62" s="73">
        <v>43</v>
      </c>
      <c r="N62" s="73"/>
      <c r="O62" s="73">
        <v>49</v>
      </c>
      <c r="P62" s="73">
        <v>1</v>
      </c>
      <c r="Q62" s="46">
        <f t="shared" si="0"/>
        <v>144</v>
      </c>
      <c r="R62" s="29">
        <f t="shared" si="8"/>
        <v>1</v>
      </c>
      <c r="S62" s="29">
        <f t="shared" si="6"/>
        <v>0</v>
      </c>
      <c r="T62" s="29">
        <f t="shared" si="3"/>
        <v>2</v>
      </c>
      <c r="U62" s="40">
        <f t="shared" si="4"/>
        <v>-3</v>
      </c>
      <c r="V62" s="29">
        <f t="shared" si="7"/>
        <v>-3</v>
      </c>
      <c r="W62" s="32"/>
    </row>
    <row r="63" spans="1:23" ht="13.5" customHeight="1" thickBot="1" x14ac:dyDescent="0.3">
      <c r="A63" s="116"/>
      <c r="B63" s="82">
        <v>4</v>
      </c>
      <c r="C63" s="37" t="s">
        <v>201</v>
      </c>
      <c r="D63" s="70" t="s">
        <v>201</v>
      </c>
      <c r="E63" s="70" t="s">
        <v>202</v>
      </c>
      <c r="F63" s="71" t="s">
        <v>193</v>
      </c>
      <c r="G63" s="72">
        <v>200</v>
      </c>
      <c r="H63" s="72" t="s">
        <v>61</v>
      </c>
      <c r="I63" s="73"/>
      <c r="J63" s="73"/>
      <c r="K63" s="73"/>
      <c r="L63" s="73"/>
      <c r="M63" s="73">
        <v>96</v>
      </c>
      <c r="N63" s="73">
        <v>2</v>
      </c>
      <c r="O63" s="73">
        <v>105</v>
      </c>
      <c r="P63" s="73"/>
      <c r="Q63" s="46">
        <f t="shared" si="0"/>
        <v>201</v>
      </c>
      <c r="R63" s="29">
        <f t="shared" si="8"/>
        <v>2</v>
      </c>
      <c r="S63" s="29">
        <f t="shared" si="6"/>
        <v>0</v>
      </c>
      <c r="T63" s="29">
        <f t="shared" si="3"/>
        <v>2</v>
      </c>
      <c r="U63" s="40">
        <f t="shared" si="4"/>
        <v>-3</v>
      </c>
      <c r="V63" s="29">
        <f t="shared" si="7"/>
        <v>-3</v>
      </c>
      <c r="W63" s="32"/>
    </row>
    <row r="64" spans="1:23" ht="13.5" customHeight="1" thickBot="1" x14ac:dyDescent="0.3">
      <c r="A64" s="116"/>
      <c r="B64" s="82">
        <v>5</v>
      </c>
      <c r="C64" s="37" t="s">
        <v>203</v>
      </c>
      <c r="D64" s="70" t="s">
        <v>95</v>
      </c>
      <c r="E64" s="70" t="s">
        <v>204</v>
      </c>
      <c r="F64" s="71" t="s">
        <v>205</v>
      </c>
      <c r="G64" s="72">
        <v>50</v>
      </c>
      <c r="H64" s="72" t="s">
        <v>61</v>
      </c>
      <c r="I64" s="73"/>
      <c r="J64" s="73"/>
      <c r="K64" s="73"/>
      <c r="L64" s="73"/>
      <c r="M64" s="73">
        <v>24</v>
      </c>
      <c r="N64" s="73"/>
      <c r="O64" s="73">
        <v>25</v>
      </c>
      <c r="P64" s="73">
        <v>1</v>
      </c>
      <c r="Q64" s="46">
        <f t="shared" si="0"/>
        <v>49</v>
      </c>
      <c r="R64" s="29">
        <f t="shared" si="8"/>
        <v>1</v>
      </c>
      <c r="S64" s="29">
        <f t="shared" si="6"/>
        <v>0</v>
      </c>
      <c r="T64" s="29">
        <f t="shared" si="3"/>
        <v>2</v>
      </c>
      <c r="U64" s="40">
        <f t="shared" si="4"/>
        <v>-1</v>
      </c>
      <c r="V64" s="29">
        <f t="shared" si="7"/>
        <v>-1</v>
      </c>
      <c r="W64" s="32"/>
    </row>
    <row r="65" spans="1:23" ht="13.5" customHeight="1" thickBot="1" x14ac:dyDescent="0.3">
      <c r="A65" s="116"/>
      <c r="B65" s="82">
        <v>6</v>
      </c>
      <c r="C65" s="37" t="s">
        <v>206</v>
      </c>
      <c r="D65" s="70" t="s">
        <v>207</v>
      </c>
      <c r="E65" s="70" t="s">
        <v>208</v>
      </c>
      <c r="F65" s="71" t="s">
        <v>209</v>
      </c>
      <c r="G65" s="72">
        <v>157</v>
      </c>
      <c r="H65" s="72" t="s">
        <v>61</v>
      </c>
      <c r="I65" s="73"/>
      <c r="J65" s="73"/>
      <c r="K65" s="73">
        <v>49</v>
      </c>
      <c r="L65" s="73"/>
      <c r="M65" s="73">
        <v>51</v>
      </c>
      <c r="N65" s="73"/>
      <c r="O65" s="73">
        <v>56</v>
      </c>
      <c r="P65" s="73"/>
      <c r="Q65" s="46">
        <f t="shared" si="0"/>
        <v>156</v>
      </c>
      <c r="R65" s="29">
        <f t="shared" si="8"/>
        <v>0</v>
      </c>
      <c r="S65" s="29">
        <f t="shared" si="6"/>
        <v>0</v>
      </c>
      <c r="T65" s="29">
        <f t="shared" si="3"/>
        <v>0</v>
      </c>
      <c r="U65" s="40">
        <f t="shared" si="4"/>
        <v>1</v>
      </c>
      <c r="V65" s="29">
        <f t="shared" si="7"/>
        <v>0</v>
      </c>
      <c r="W65" s="32"/>
    </row>
    <row r="66" spans="1:23" ht="13.5" customHeight="1" thickBot="1" x14ac:dyDescent="0.3">
      <c r="A66" s="116"/>
      <c r="B66" s="82">
        <v>7</v>
      </c>
      <c r="C66" s="37" t="s">
        <v>210</v>
      </c>
      <c r="D66" s="70" t="s">
        <v>211</v>
      </c>
      <c r="E66" s="70" t="s">
        <v>212</v>
      </c>
      <c r="F66" s="71" t="s">
        <v>213</v>
      </c>
      <c r="G66" s="72">
        <v>67</v>
      </c>
      <c r="H66" s="72" t="s">
        <v>61</v>
      </c>
      <c r="I66" s="73"/>
      <c r="J66" s="73"/>
      <c r="K66" s="73"/>
      <c r="L66" s="73"/>
      <c r="M66" s="73">
        <v>37</v>
      </c>
      <c r="N66" s="73"/>
      <c r="O66" s="73">
        <v>15</v>
      </c>
      <c r="P66" s="73"/>
      <c r="Q66" s="46">
        <f t="shared" si="0"/>
        <v>52</v>
      </c>
      <c r="R66" s="29">
        <f t="shared" si="8"/>
        <v>0</v>
      </c>
      <c r="S66" s="29">
        <f t="shared" si="6"/>
        <v>0</v>
      </c>
      <c r="T66" s="29">
        <f t="shared" si="3"/>
        <v>0</v>
      </c>
      <c r="U66" s="40">
        <f t="shared" si="4"/>
        <v>15</v>
      </c>
      <c r="V66" s="29">
        <f t="shared" si="7"/>
        <v>0</v>
      </c>
      <c r="W66" s="32"/>
    </row>
    <row r="67" spans="1:23" ht="13.5" customHeight="1" thickBot="1" x14ac:dyDescent="0.3">
      <c r="A67" s="116"/>
      <c r="B67" s="82">
        <v>8</v>
      </c>
      <c r="C67" s="37" t="s">
        <v>214</v>
      </c>
      <c r="D67" s="70" t="s">
        <v>215</v>
      </c>
      <c r="E67" s="70" t="s">
        <v>216</v>
      </c>
      <c r="F67" s="71" t="s">
        <v>217</v>
      </c>
      <c r="G67" s="72">
        <v>243</v>
      </c>
      <c r="H67" s="72" t="s">
        <v>61</v>
      </c>
      <c r="I67" s="73">
        <v>25</v>
      </c>
      <c r="J67" s="73"/>
      <c r="K67" s="73">
        <v>75</v>
      </c>
      <c r="L67" s="73"/>
      <c r="M67" s="73">
        <v>55</v>
      </c>
      <c r="N67" s="73"/>
      <c r="O67" s="73">
        <v>86</v>
      </c>
      <c r="P67" s="73"/>
      <c r="Q67" s="46">
        <f t="shared" si="0"/>
        <v>241</v>
      </c>
      <c r="R67" s="29">
        <f t="shared" si="8"/>
        <v>0</v>
      </c>
      <c r="S67" s="29">
        <f t="shared" si="6"/>
        <v>0</v>
      </c>
      <c r="T67" s="29">
        <f t="shared" si="3"/>
        <v>0</v>
      </c>
      <c r="U67" s="40">
        <f t="shared" si="4"/>
        <v>2</v>
      </c>
      <c r="V67" s="29">
        <f t="shared" si="7"/>
        <v>0</v>
      </c>
      <c r="W67" s="32"/>
    </row>
    <row r="68" spans="1:23" ht="13.5" customHeight="1" thickBot="1" x14ac:dyDescent="0.3">
      <c r="A68" s="116"/>
      <c r="B68" s="82">
        <v>9</v>
      </c>
      <c r="C68" s="37" t="s">
        <v>218</v>
      </c>
      <c r="D68" s="70" t="s">
        <v>219</v>
      </c>
      <c r="E68" s="70" t="s">
        <v>220</v>
      </c>
      <c r="F68" s="71" t="s">
        <v>221</v>
      </c>
      <c r="G68" s="72">
        <v>150</v>
      </c>
      <c r="H68" s="72" t="s">
        <v>61</v>
      </c>
      <c r="I68" s="73"/>
      <c r="J68" s="73"/>
      <c r="K68" s="73"/>
      <c r="L68" s="73"/>
      <c r="M68" s="73">
        <v>74</v>
      </c>
      <c r="N68" s="73">
        <v>1</v>
      </c>
      <c r="O68" s="73">
        <v>73</v>
      </c>
      <c r="P68" s="73">
        <v>1</v>
      </c>
      <c r="Q68" s="46">
        <f t="shared" si="0"/>
        <v>147</v>
      </c>
      <c r="R68" s="29">
        <f t="shared" si="8"/>
        <v>2</v>
      </c>
      <c r="S68" s="29">
        <f t="shared" si="6"/>
        <v>0</v>
      </c>
      <c r="T68" s="29">
        <f t="shared" si="3"/>
        <v>2</v>
      </c>
      <c r="U68" s="40">
        <f t="shared" si="4"/>
        <v>1</v>
      </c>
      <c r="V68" s="29">
        <f t="shared" si="7"/>
        <v>0</v>
      </c>
      <c r="W68" s="32"/>
    </row>
    <row r="69" spans="1:23" ht="13.5" customHeight="1" thickBot="1" x14ac:dyDescent="0.3">
      <c r="A69" s="116"/>
      <c r="B69" s="82">
        <v>10</v>
      </c>
      <c r="C69" s="37" t="s">
        <v>222</v>
      </c>
      <c r="D69" s="70" t="s">
        <v>207</v>
      </c>
      <c r="E69" s="70" t="s">
        <v>223</v>
      </c>
      <c r="F69" s="71" t="s">
        <v>221</v>
      </c>
      <c r="G69" s="72">
        <v>269</v>
      </c>
      <c r="H69" s="72" t="s">
        <v>34</v>
      </c>
      <c r="I69" s="73"/>
      <c r="J69" s="73"/>
      <c r="K69" s="73">
        <v>91</v>
      </c>
      <c r="L69" s="73"/>
      <c r="M69" s="73">
        <v>70</v>
      </c>
      <c r="N69" s="73"/>
      <c r="O69" s="73">
        <v>73</v>
      </c>
      <c r="P69" s="73"/>
      <c r="Q69" s="46">
        <f t="shared" ref="Q69:Q132" si="9">SUM(I69,K69,M69,O69)</f>
        <v>234</v>
      </c>
      <c r="R69" s="29">
        <f t="shared" si="8"/>
        <v>0</v>
      </c>
      <c r="S69" s="29">
        <f t="shared" si="6"/>
        <v>0</v>
      </c>
      <c r="T69" s="29">
        <f t="shared" ref="T69:T132" si="10">IF((N69+P69)&gt;=1,2,0)</f>
        <v>0</v>
      </c>
      <c r="U69" s="40">
        <f t="shared" ref="U69:U132" si="11">SUM(G69-Q69-((S69*1)+(T69*1)))</f>
        <v>35</v>
      </c>
      <c r="V69" s="29">
        <f t="shared" si="7"/>
        <v>0</v>
      </c>
      <c r="W69" s="32"/>
    </row>
    <row r="70" spans="1:23" ht="13.5" customHeight="1" thickBot="1" x14ac:dyDescent="0.3">
      <c r="A70" s="116"/>
      <c r="B70" s="82">
        <v>11</v>
      </c>
      <c r="C70" s="37" t="s">
        <v>224</v>
      </c>
      <c r="D70" s="70" t="s">
        <v>225</v>
      </c>
      <c r="E70" s="70" t="s">
        <v>226</v>
      </c>
      <c r="F70" s="71" t="s">
        <v>196</v>
      </c>
      <c r="G70" s="72">
        <v>90</v>
      </c>
      <c r="H70" s="72"/>
      <c r="I70" s="73"/>
      <c r="J70" s="73"/>
      <c r="K70" s="73">
        <v>30</v>
      </c>
      <c r="L70" s="73"/>
      <c r="M70" s="73">
        <v>34</v>
      </c>
      <c r="N70" s="73"/>
      <c r="O70" s="73">
        <v>26</v>
      </c>
      <c r="P70" s="73"/>
      <c r="Q70" s="46">
        <f t="shared" si="9"/>
        <v>90</v>
      </c>
      <c r="R70" s="29">
        <f t="shared" si="8"/>
        <v>0</v>
      </c>
      <c r="S70" s="29">
        <f t="shared" si="6"/>
        <v>0</v>
      </c>
      <c r="T70" s="29">
        <f t="shared" si="10"/>
        <v>0</v>
      </c>
      <c r="U70" s="40">
        <f t="shared" si="11"/>
        <v>0</v>
      </c>
      <c r="V70" s="29">
        <f t="shared" ref="V70:V137" si="12">IF(U70&lt;0,U70,0)</f>
        <v>0</v>
      </c>
      <c r="W70" s="32"/>
    </row>
    <row r="71" spans="1:23" ht="13.5" customHeight="1" thickBot="1" x14ac:dyDescent="0.3">
      <c r="A71" s="116"/>
      <c r="B71" s="82">
        <v>12</v>
      </c>
      <c r="C71" s="37" t="s">
        <v>227</v>
      </c>
      <c r="D71" s="70" t="s">
        <v>228</v>
      </c>
      <c r="E71" s="70" t="s">
        <v>229</v>
      </c>
      <c r="F71" s="71" t="s">
        <v>196</v>
      </c>
      <c r="G71" s="72">
        <v>85</v>
      </c>
      <c r="H71" s="72" t="s">
        <v>34</v>
      </c>
      <c r="I71" s="73"/>
      <c r="J71" s="73"/>
      <c r="K71" s="73">
        <v>14</v>
      </c>
      <c r="L71" s="73"/>
      <c r="M71" s="73">
        <v>31</v>
      </c>
      <c r="N71" s="73"/>
      <c r="O71" s="73">
        <v>38</v>
      </c>
      <c r="P71" s="73"/>
      <c r="Q71" s="46">
        <f t="shared" si="9"/>
        <v>83</v>
      </c>
      <c r="R71" s="29">
        <f t="shared" si="8"/>
        <v>0</v>
      </c>
      <c r="S71" s="29">
        <f t="shared" si="6"/>
        <v>0</v>
      </c>
      <c r="T71" s="29">
        <f t="shared" si="10"/>
        <v>0</v>
      </c>
      <c r="U71" s="40">
        <f t="shared" si="11"/>
        <v>2</v>
      </c>
      <c r="V71" s="29">
        <f t="shared" si="12"/>
        <v>0</v>
      </c>
      <c r="W71" s="32"/>
    </row>
    <row r="72" spans="1:23" ht="13.5" customHeight="1" thickBot="1" x14ac:dyDescent="0.3">
      <c r="A72" s="116"/>
      <c r="B72" s="82">
        <v>13</v>
      </c>
      <c r="C72" s="37" t="s">
        <v>230</v>
      </c>
      <c r="D72" s="70" t="s">
        <v>231</v>
      </c>
      <c r="E72" s="70" t="s">
        <v>232</v>
      </c>
      <c r="F72" s="71" t="s">
        <v>233</v>
      </c>
      <c r="G72" s="72">
        <v>65</v>
      </c>
      <c r="H72" s="72" t="s">
        <v>34</v>
      </c>
      <c r="I72" s="73"/>
      <c r="J72" s="73"/>
      <c r="K72" s="73">
        <v>18</v>
      </c>
      <c r="L72" s="73"/>
      <c r="M72" s="73">
        <v>25</v>
      </c>
      <c r="N72" s="73"/>
      <c r="O72" s="73">
        <v>22</v>
      </c>
      <c r="P72" s="73"/>
      <c r="Q72" s="46">
        <f t="shared" si="9"/>
        <v>65</v>
      </c>
      <c r="R72" s="29">
        <f t="shared" si="8"/>
        <v>0</v>
      </c>
      <c r="S72" s="29">
        <f t="shared" si="6"/>
        <v>0</v>
      </c>
      <c r="T72" s="29">
        <f t="shared" si="10"/>
        <v>0</v>
      </c>
      <c r="U72" s="40">
        <f t="shared" si="11"/>
        <v>0</v>
      </c>
      <c r="V72" s="29">
        <f t="shared" si="12"/>
        <v>0</v>
      </c>
      <c r="W72" s="32"/>
    </row>
    <row r="73" spans="1:23" ht="13.5" customHeight="1" thickBot="1" x14ac:dyDescent="0.3">
      <c r="A73" s="116"/>
      <c r="B73" s="82">
        <v>14</v>
      </c>
      <c r="C73" s="37" t="s">
        <v>234</v>
      </c>
      <c r="D73" s="70" t="s">
        <v>235</v>
      </c>
      <c r="E73" s="70" t="s">
        <v>236</v>
      </c>
      <c r="F73" s="71" t="s">
        <v>237</v>
      </c>
      <c r="G73" s="72">
        <v>104</v>
      </c>
      <c r="H73" s="72" t="s">
        <v>61</v>
      </c>
      <c r="I73" s="73"/>
      <c r="J73" s="73"/>
      <c r="K73" s="73"/>
      <c r="L73" s="73"/>
      <c r="M73" s="73">
        <v>48</v>
      </c>
      <c r="N73" s="73"/>
      <c r="O73" s="73">
        <v>52</v>
      </c>
      <c r="P73" s="73"/>
      <c r="Q73" s="46">
        <f t="shared" si="9"/>
        <v>100</v>
      </c>
      <c r="R73" s="29">
        <f t="shared" si="8"/>
        <v>0</v>
      </c>
      <c r="S73" s="29">
        <f t="shared" ref="S73:S135" si="13">IF((J73+L73)&gt;=1,2,0)</f>
        <v>0</v>
      </c>
      <c r="T73" s="29">
        <f t="shared" si="10"/>
        <v>0</v>
      </c>
      <c r="U73" s="40">
        <f t="shared" si="11"/>
        <v>4</v>
      </c>
      <c r="V73" s="29">
        <f t="shared" si="12"/>
        <v>0</v>
      </c>
      <c r="W73" s="32"/>
    </row>
    <row r="74" spans="1:23" ht="13.5" customHeight="1" thickBot="1" x14ac:dyDescent="0.3">
      <c r="A74" s="116"/>
      <c r="B74" s="82">
        <v>15</v>
      </c>
      <c r="C74" s="37" t="s">
        <v>238</v>
      </c>
      <c r="D74" s="70" t="s">
        <v>239</v>
      </c>
      <c r="E74" s="70" t="s">
        <v>240</v>
      </c>
      <c r="F74" s="71" t="s">
        <v>237</v>
      </c>
      <c r="G74" s="72">
        <v>80</v>
      </c>
      <c r="H74" s="72" t="s">
        <v>61</v>
      </c>
      <c r="I74" s="73"/>
      <c r="J74" s="73"/>
      <c r="K74" s="73"/>
      <c r="L74" s="73"/>
      <c r="M74" s="73">
        <v>41</v>
      </c>
      <c r="N74" s="73"/>
      <c r="O74" s="73">
        <v>39</v>
      </c>
      <c r="P74" s="73"/>
      <c r="Q74" s="46">
        <f t="shared" si="9"/>
        <v>80</v>
      </c>
      <c r="R74" s="29">
        <f t="shared" si="8"/>
        <v>0</v>
      </c>
      <c r="S74" s="29">
        <f t="shared" si="13"/>
        <v>0</v>
      </c>
      <c r="T74" s="29">
        <f t="shared" si="10"/>
        <v>0</v>
      </c>
      <c r="U74" s="40">
        <f t="shared" si="11"/>
        <v>0</v>
      </c>
      <c r="V74" s="29">
        <f t="shared" si="12"/>
        <v>0</v>
      </c>
      <c r="W74" s="32"/>
    </row>
    <row r="75" spans="1:23" ht="13.5" customHeight="1" thickBot="1" x14ac:dyDescent="0.3">
      <c r="A75" s="116"/>
      <c r="B75" s="82">
        <v>16</v>
      </c>
      <c r="C75" s="37" t="s">
        <v>241</v>
      </c>
      <c r="D75" s="70" t="s">
        <v>242</v>
      </c>
      <c r="E75" s="70" t="s">
        <v>243</v>
      </c>
      <c r="F75" s="71" t="s">
        <v>244</v>
      </c>
      <c r="G75" s="72">
        <v>180</v>
      </c>
      <c r="H75" s="72" t="s">
        <v>34</v>
      </c>
      <c r="I75" s="73"/>
      <c r="J75" s="73"/>
      <c r="K75" s="73">
        <v>49</v>
      </c>
      <c r="L75" s="73"/>
      <c r="M75" s="73">
        <v>59</v>
      </c>
      <c r="N75" s="73"/>
      <c r="O75" s="73">
        <v>70</v>
      </c>
      <c r="P75" s="73"/>
      <c r="Q75" s="46">
        <f t="shared" si="9"/>
        <v>178</v>
      </c>
      <c r="R75" s="29">
        <f t="shared" ref="R75:R138" si="14">SUM(J75,L75,N75,P75)</f>
        <v>0</v>
      </c>
      <c r="S75" s="29">
        <f t="shared" si="13"/>
        <v>0</v>
      </c>
      <c r="T75" s="29">
        <f t="shared" si="10"/>
        <v>0</v>
      </c>
      <c r="U75" s="40">
        <f t="shared" si="11"/>
        <v>2</v>
      </c>
      <c r="V75" s="29">
        <f t="shared" si="12"/>
        <v>0</v>
      </c>
      <c r="W75" s="32"/>
    </row>
    <row r="76" spans="1:23" ht="13.5" customHeight="1" thickBot="1" x14ac:dyDescent="0.3">
      <c r="A76" s="116"/>
      <c r="B76" s="82">
        <v>17</v>
      </c>
      <c r="C76" s="37" t="s">
        <v>245</v>
      </c>
      <c r="D76" s="70" t="s">
        <v>95</v>
      </c>
      <c r="E76" s="70" t="s">
        <v>246</v>
      </c>
      <c r="F76" s="71" t="s">
        <v>237</v>
      </c>
      <c r="G76" s="72">
        <v>60</v>
      </c>
      <c r="H76" s="72" t="s">
        <v>61</v>
      </c>
      <c r="I76" s="73"/>
      <c r="J76" s="73"/>
      <c r="K76" s="73"/>
      <c r="L76" s="73"/>
      <c r="M76" s="73">
        <v>25</v>
      </c>
      <c r="N76" s="73"/>
      <c r="O76" s="73">
        <v>29</v>
      </c>
      <c r="P76" s="73"/>
      <c r="Q76" s="46">
        <f t="shared" si="9"/>
        <v>54</v>
      </c>
      <c r="R76" s="29">
        <f t="shared" si="14"/>
        <v>0</v>
      </c>
      <c r="S76" s="29">
        <f t="shared" si="13"/>
        <v>0</v>
      </c>
      <c r="T76" s="29">
        <f t="shared" si="10"/>
        <v>0</v>
      </c>
      <c r="U76" s="40">
        <f t="shared" si="11"/>
        <v>6</v>
      </c>
      <c r="V76" s="29">
        <f t="shared" si="12"/>
        <v>0</v>
      </c>
      <c r="W76" s="32"/>
    </row>
    <row r="77" spans="1:23" ht="13.5" customHeight="1" thickBot="1" x14ac:dyDescent="0.3">
      <c r="A77" s="116"/>
      <c r="B77" s="82">
        <v>18</v>
      </c>
      <c r="C77" s="37" t="s">
        <v>247</v>
      </c>
      <c r="D77" s="70" t="s">
        <v>248</v>
      </c>
      <c r="E77" s="70" t="s">
        <v>249</v>
      </c>
      <c r="F77" s="71" t="s">
        <v>205</v>
      </c>
      <c r="G77" s="72">
        <v>231</v>
      </c>
      <c r="H77" s="72" t="s">
        <v>34</v>
      </c>
      <c r="I77" s="73"/>
      <c r="J77" s="73"/>
      <c r="K77" s="73">
        <v>69</v>
      </c>
      <c r="L77" s="73"/>
      <c r="M77" s="73">
        <v>80</v>
      </c>
      <c r="N77" s="73"/>
      <c r="O77" s="73">
        <v>81</v>
      </c>
      <c r="P77" s="73"/>
      <c r="Q77" s="46">
        <f t="shared" si="9"/>
        <v>230</v>
      </c>
      <c r="R77" s="29">
        <f t="shared" si="14"/>
        <v>0</v>
      </c>
      <c r="S77" s="29">
        <f t="shared" si="13"/>
        <v>0</v>
      </c>
      <c r="T77" s="29">
        <f t="shared" si="10"/>
        <v>0</v>
      </c>
      <c r="U77" s="40">
        <f t="shared" si="11"/>
        <v>1</v>
      </c>
      <c r="V77" s="29">
        <f t="shared" si="12"/>
        <v>0</v>
      </c>
      <c r="W77" s="32"/>
    </row>
    <row r="78" spans="1:23" ht="13.5" customHeight="1" thickBot="1" x14ac:dyDescent="0.3">
      <c r="A78" s="116"/>
      <c r="B78" s="82">
        <v>19</v>
      </c>
      <c r="C78" s="37" t="s">
        <v>250</v>
      </c>
      <c r="D78" s="70" t="s">
        <v>250</v>
      </c>
      <c r="E78" s="70" t="s">
        <v>251</v>
      </c>
      <c r="F78" s="71" t="s">
        <v>213</v>
      </c>
      <c r="G78" s="72">
        <v>76</v>
      </c>
      <c r="H78" s="72" t="s">
        <v>61</v>
      </c>
      <c r="I78" s="73"/>
      <c r="J78" s="73"/>
      <c r="K78" s="73"/>
      <c r="L78" s="73"/>
      <c r="M78" s="73">
        <v>26</v>
      </c>
      <c r="N78" s="73"/>
      <c r="O78" s="73">
        <v>51</v>
      </c>
      <c r="P78" s="73"/>
      <c r="Q78" s="46">
        <f t="shared" si="9"/>
        <v>77</v>
      </c>
      <c r="R78" s="29">
        <f t="shared" si="14"/>
        <v>0</v>
      </c>
      <c r="S78" s="29">
        <f t="shared" si="13"/>
        <v>0</v>
      </c>
      <c r="T78" s="29">
        <f t="shared" si="10"/>
        <v>0</v>
      </c>
      <c r="U78" s="40">
        <f t="shared" si="11"/>
        <v>-1</v>
      </c>
      <c r="V78" s="29">
        <f t="shared" si="12"/>
        <v>-1</v>
      </c>
      <c r="W78" s="32"/>
    </row>
    <row r="79" spans="1:23" ht="13.5" customHeight="1" thickBot="1" x14ac:dyDescent="0.3">
      <c r="A79" s="116"/>
      <c r="B79" s="82">
        <v>20</v>
      </c>
      <c r="C79" s="37" t="s">
        <v>252</v>
      </c>
      <c r="D79" s="70" t="s">
        <v>95</v>
      </c>
      <c r="E79" s="70" t="s">
        <v>253</v>
      </c>
      <c r="F79" s="71" t="s">
        <v>209</v>
      </c>
      <c r="G79" s="72">
        <v>255</v>
      </c>
      <c r="H79" s="72" t="s">
        <v>61</v>
      </c>
      <c r="I79" s="73"/>
      <c r="J79" s="73"/>
      <c r="K79" s="73"/>
      <c r="L79" s="73"/>
      <c r="M79" s="73">
        <v>136</v>
      </c>
      <c r="N79" s="73"/>
      <c r="O79" s="73">
        <v>119</v>
      </c>
      <c r="P79" s="73"/>
      <c r="Q79" s="46">
        <f t="shared" si="9"/>
        <v>255</v>
      </c>
      <c r="R79" s="29">
        <f t="shared" si="14"/>
        <v>0</v>
      </c>
      <c r="S79" s="29">
        <f t="shared" si="13"/>
        <v>0</v>
      </c>
      <c r="T79" s="29">
        <f t="shared" si="10"/>
        <v>0</v>
      </c>
      <c r="U79" s="40">
        <f t="shared" si="11"/>
        <v>0</v>
      </c>
      <c r="V79" s="29">
        <f t="shared" si="12"/>
        <v>0</v>
      </c>
      <c r="W79" s="32"/>
    </row>
    <row r="80" spans="1:23" ht="13.5" customHeight="1" thickBot="1" x14ac:dyDescent="0.3">
      <c r="A80" s="116"/>
      <c r="B80" s="82">
        <v>21</v>
      </c>
      <c r="C80" s="37" t="s">
        <v>254</v>
      </c>
      <c r="D80" s="70" t="s">
        <v>255</v>
      </c>
      <c r="E80" s="70" t="s">
        <v>256</v>
      </c>
      <c r="F80" s="71" t="s">
        <v>193</v>
      </c>
      <c r="G80" s="72">
        <v>75</v>
      </c>
      <c r="H80" s="72" t="s">
        <v>34</v>
      </c>
      <c r="I80" s="73"/>
      <c r="J80" s="73"/>
      <c r="K80" s="73">
        <v>16</v>
      </c>
      <c r="L80" s="73"/>
      <c r="M80" s="73">
        <v>23</v>
      </c>
      <c r="N80" s="73"/>
      <c r="O80" s="73">
        <v>36</v>
      </c>
      <c r="P80" s="73"/>
      <c r="Q80" s="46">
        <f t="shared" si="9"/>
        <v>75</v>
      </c>
      <c r="R80" s="29">
        <f t="shared" si="14"/>
        <v>0</v>
      </c>
      <c r="S80" s="29">
        <f t="shared" si="13"/>
        <v>0</v>
      </c>
      <c r="T80" s="29">
        <f t="shared" si="10"/>
        <v>0</v>
      </c>
      <c r="U80" s="40">
        <f t="shared" si="11"/>
        <v>0</v>
      </c>
      <c r="V80" s="29">
        <f t="shared" si="12"/>
        <v>0</v>
      </c>
      <c r="W80" s="32"/>
    </row>
    <row r="81" spans="1:23" ht="13.5" customHeight="1" thickBot="1" x14ac:dyDescent="0.3">
      <c r="A81" s="116"/>
      <c r="B81" s="82">
        <v>22</v>
      </c>
      <c r="C81" s="37" t="s">
        <v>257</v>
      </c>
      <c r="D81" s="70" t="s">
        <v>198</v>
      </c>
      <c r="E81" s="70" t="s">
        <v>258</v>
      </c>
      <c r="F81" s="71" t="s">
        <v>259</v>
      </c>
      <c r="G81" s="72">
        <v>180</v>
      </c>
      <c r="H81" s="72" t="s">
        <v>56</v>
      </c>
      <c r="I81" s="73"/>
      <c r="J81" s="73"/>
      <c r="K81" s="73">
        <v>39</v>
      </c>
      <c r="L81" s="73"/>
      <c r="M81" s="73">
        <v>70</v>
      </c>
      <c r="N81" s="73">
        <v>4</v>
      </c>
      <c r="O81" s="73">
        <v>61</v>
      </c>
      <c r="P81" s="73">
        <v>4</v>
      </c>
      <c r="Q81" s="46">
        <f t="shared" si="9"/>
        <v>170</v>
      </c>
      <c r="R81" s="29">
        <f t="shared" si="14"/>
        <v>8</v>
      </c>
      <c r="S81" s="29">
        <f t="shared" si="13"/>
        <v>0</v>
      </c>
      <c r="T81" s="29">
        <f t="shared" si="10"/>
        <v>2</v>
      </c>
      <c r="U81" s="40">
        <f t="shared" si="11"/>
        <v>8</v>
      </c>
      <c r="V81" s="29">
        <f t="shared" si="12"/>
        <v>0</v>
      </c>
      <c r="W81" s="32"/>
    </row>
    <row r="82" spans="1:23" ht="13.5" customHeight="1" thickBot="1" x14ac:dyDescent="0.3">
      <c r="A82" s="116"/>
      <c r="B82" s="82">
        <v>23</v>
      </c>
      <c r="C82" s="37" t="s">
        <v>260</v>
      </c>
      <c r="D82" s="70" t="s">
        <v>261</v>
      </c>
      <c r="E82" s="70" t="s">
        <v>262</v>
      </c>
      <c r="F82" s="71" t="s">
        <v>263</v>
      </c>
      <c r="G82" s="72">
        <v>70</v>
      </c>
      <c r="H82" s="72"/>
      <c r="I82" s="73"/>
      <c r="J82" s="73"/>
      <c r="K82" s="73"/>
      <c r="L82" s="73"/>
      <c r="M82" s="73">
        <v>43</v>
      </c>
      <c r="N82" s="73"/>
      <c r="O82" s="73">
        <v>27</v>
      </c>
      <c r="P82" s="73"/>
      <c r="Q82" s="46">
        <f t="shared" si="9"/>
        <v>70</v>
      </c>
      <c r="R82" s="29">
        <f t="shared" si="14"/>
        <v>0</v>
      </c>
      <c r="S82" s="29">
        <f t="shared" si="13"/>
        <v>0</v>
      </c>
      <c r="T82" s="29">
        <f t="shared" si="10"/>
        <v>0</v>
      </c>
      <c r="U82" s="40">
        <f t="shared" si="11"/>
        <v>0</v>
      </c>
      <c r="V82" s="29">
        <f t="shared" si="12"/>
        <v>0</v>
      </c>
      <c r="W82" s="32"/>
    </row>
    <row r="83" spans="1:23" ht="13.5" customHeight="1" thickBot="1" x14ac:dyDescent="0.3">
      <c r="A83" s="116"/>
      <c r="B83" s="82">
        <v>24</v>
      </c>
      <c r="C83" s="37" t="s">
        <v>264</v>
      </c>
      <c r="D83" s="70" t="s">
        <v>265</v>
      </c>
      <c r="E83" s="70" t="s">
        <v>266</v>
      </c>
      <c r="F83" s="71" t="s">
        <v>267</v>
      </c>
      <c r="G83" s="72">
        <v>100</v>
      </c>
      <c r="H83" s="72" t="s">
        <v>61</v>
      </c>
      <c r="I83" s="73"/>
      <c r="J83" s="73"/>
      <c r="K83" s="73">
        <v>30</v>
      </c>
      <c r="L83" s="73"/>
      <c r="M83" s="73">
        <v>43</v>
      </c>
      <c r="N83" s="73"/>
      <c r="O83" s="73">
        <v>26</v>
      </c>
      <c r="P83" s="73"/>
      <c r="Q83" s="46">
        <f t="shared" si="9"/>
        <v>99</v>
      </c>
      <c r="R83" s="29">
        <f t="shared" si="14"/>
        <v>0</v>
      </c>
      <c r="S83" s="29">
        <f t="shared" si="13"/>
        <v>0</v>
      </c>
      <c r="T83" s="29">
        <f t="shared" si="10"/>
        <v>0</v>
      </c>
      <c r="U83" s="40">
        <f t="shared" si="11"/>
        <v>1</v>
      </c>
      <c r="V83" s="29">
        <f t="shared" si="12"/>
        <v>0</v>
      </c>
      <c r="W83" s="32"/>
    </row>
    <row r="84" spans="1:23" ht="13.5" customHeight="1" thickBot="1" x14ac:dyDescent="0.3">
      <c r="A84" s="116"/>
      <c r="B84" s="82">
        <v>25</v>
      </c>
      <c r="C84" s="37" t="s">
        <v>268</v>
      </c>
      <c r="D84" s="70" t="s">
        <v>231</v>
      </c>
      <c r="E84" s="70" t="s">
        <v>269</v>
      </c>
      <c r="F84" s="71" t="s">
        <v>233</v>
      </c>
      <c r="G84" s="72">
        <v>45</v>
      </c>
      <c r="H84" s="72" t="s">
        <v>61</v>
      </c>
      <c r="I84" s="73"/>
      <c r="J84" s="73"/>
      <c r="K84" s="73"/>
      <c r="L84" s="73"/>
      <c r="M84" s="73">
        <v>15</v>
      </c>
      <c r="N84" s="73"/>
      <c r="O84" s="73">
        <v>25</v>
      </c>
      <c r="P84" s="73"/>
      <c r="Q84" s="46">
        <f t="shared" si="9"/>
        <v>40</v>
      </c>
      <c r="R84" s="29">
        <f t="shared" si="14"/>
        <v>0</v>
      </c>
      <c r="S84" s="29">
        <f t="shared" si="13"/>
        <v>0</v>
      </c>
      <c r="T84" s="29">
        <f t="shared" si="10"/>
        <v>0</v>
      </c>
      <c r="U84" s="40">
        <f t="shared" si="11"/>
        <v>5</v>
      </c>
      <c r="V84" s="29">
        <f t="shared" si="12"/>
        <v>0</v>
      </c>
      <c r="W84" s="32"/>
    </row>
    <row r="85" spans="1:23" ht="13.5" customHeight="1" thickBot="1" x14ac:dyDescent="0.3">
      <c r="A85" s="116"/>
      <c r="B85" s="82">
        <v>26</v>
      </c>
      <c r="C85" s="37" t="s">
        <v>270</v>
      </c>
      <c r="D85" s="70" t="s">
        <v>225</v>
      </c>
      <c r="E85" s="70" t="s">
        <v>271</v>
      </c>
      <c r="F85" s="71" t="s">
        <v>272</v>
      </c>
      <c r="G85" s="72">
        <v>80</v>
      </c>
      <c r="H85" s="72"/>
      <c r="I85" s="73"/>
      <c r="J85" s="73"/>
      <c r="K85" s="73">
        <v>36</v>
      </c>
      <c r="L85" s="73"/>
      <c r="M85" s="73">
        <v>20</v>
      </c>
      <c r="N85" s="73"/>
      <c r="O85" s="73">
        <v>23</v>
      </c>
      <c r="P85" s="73"/>
      <c r="Q85" s="46">
        <f t="shared" si="9"/>
        <v>79</v>
      </c>
      <c r="R85" s="29">
        <f t="shared" si="14"/>
        <v>0</v>
      </c>
      <c r="S85" s="29">
        <f t="shared" si="13"/>
        <v>0</v>
      </c>
      <c r="T85" s="29">
        <f t="shared" si="10"/>
        <v>0</v>
      </c>
      <c r="U85" s="40">
        <f t="shared" si="11"/>
        <v>1</v>
      </c>
      <c r="V85" s="29">
        <f t="shared" si="12"/>
        <v>0</v>
      </c>
      <c r="W85" s="32"/>
    </row>
    <row r="86" spans="1:23" ht="13.5" customHeight="1" thickBot="1" x14ac:dyDescent="0.3">
      <c r="A86" s="116"/>
      <c r="B86" s="82">
        <v>27</v>
      </c>
      <c r="C86" s="37" t="s">
        <v>273</v>
      </c>
      <c r="D86" s="70" t="s">
        <v>274</v>
      </c>
      <c r="E86" s="70" t="s">
        <v>275</v>
      </c>
      <c r="F86" s="71" t="s">
        <v>233</v>
      </c>
      <c r="G86" s="72">
        <v>88</v>
      </c>
      <c r="H86" s="72"/>
      <c r="I86" s="73"/>
      <c r="J86" s="73"/>
      <c r="K86" s="73"/>
      <c r="L86" s="73"/>
      <c r="M86" s="73">
        <v>43</v>
      </c>
      <c r="N86" s="73"/>
      <c r="O86" s="73">
        <v>38</v>
      </c>
      <c r="P86" s="73"/>
      <c r="Q86" s="46">
        <f t="shared" si="9"/>
        <v>81</v>
      </c>
      <c r="R86" s="29">
        <f t="shared" si="14"/>
        <v>0</v>
      </c>
      <c r="S86" s="29">
        <f t="shared" si="13"/>
        <v>0</v>
      </c>
      <c r="T86" s="29">
        <f t="shared" si="10"/>
        <v>0</v>
      </c>
      <c r="U86" s="40">
        <f t="shared" si="11"/>
        <v>7</v>
      </c>
      <c r="V86" s="29">
        <f t="shared" si="12"/>
        <v>0</v>
      </c>
      <c r="W86" s="32"/>
    </row>
    <row r="87" spans="1:23" ht="13.5" customHeight="1" thickBot="1" x14ac:dyDescent="0.3">
      <c r="A87" s="116"/>
      <c r="B87" s="82">
        <v>28</v>
      </c>
      <c r="C87" s="37" t="s">
        <v>276</v>
      </c>
      <c r="D87" s="70" t="s">
        <v>277</v>
      </c>
      <c r="E87" s="70" t="s">
        <v>208</v>
      </c>
      <c r="F87" s="71" t="s">
        <v>209</v>
      </c>
      <c r="G87" s="72">
        <v>100</v>
      </c>
      <c r="H87" s="72"/>
      <c r="I87" s="73"/>
      <c r="J87" s="73"/>
      <c r="K87" s="73"/>
      <c r="L87" s="73"/>
      <c r="M87" s="73">
        <v>55</v>
      </c>
      <c r="N87" s="73"/>
      <c r="O87" s="73">
        <v>42</v>
      </c>
      <c r="P87" s="73"/>
      <c r="Q87" s="46">
        <f t="shared" si="9"/>
        <v>97</v>
      </c>
      <c r="R87" s="29">
        <f t="shared" si="14"/>
        <v>0</v>
      </c>
      <c r="S87" s="29">
        <f t="shared" si="13"/>
        <v>0</v>
      </c>
      <c r="T87" s="29">
        <f t="shared" si="10"/>
        <v>0</v>
      </c>
      <c r="U87" s="40">
        <f t="shared" si="11"/>
        <v>3</v>
      </c>
      <c r="V87" s="29">
        <f t="shared" si="12"/>
        <v>0</v>
      </c>
      <c r="W87" s="32"/>
    </row>
    <row r="88" spans="1:23" ht="13.5" customHeight="1" thickBot="1" x14ac:dyDescent="0.3">
      <c r="A88" s="116"/>
      <c r="B88" s="82">
        <v>29</v>
      </c>
      <c r="C88" s="37" t="s">
        <v>278</v>
      </c>
      <c r="D88" s="70" t="s">
        <v>278</v>
      </c>
      <c r="E88" s="70" t="s">
        <v>279</v>
      </c>
      <c r="F88" s="71" t="s">
        <v>280</v>
      </c>
      <c r="G88" s="72">
        <v>47</v>
      </c>
      <c r="H88" s="72" t="s">
        <v>61</v>
      </c>
      <c r="I88" s="73"/>
      <c r="J88" s="73"/>
      <c r="K88" s="73"/>
      <c r="L88" s="73"/>
      <c r="M88" s="73">
        <v>22</v>
      </c>
      <c r="N88" s="73"/>
      <c r="O88" s="73">
        <v>25</v>
      </c>
      <c r="P88" s="73"/>
      <c r="Q88" s="46">
        <f t="shared" si="9"/>
        <v>47</v>
      </c>
      <c r="R88" s="29">
        <f t="shared" si="14"/>
        <v>0</v>
      </c>
      <c r="S88" s="29">
        <f t="shared" si="13"/>
        <v>0</v>
      </c>
      <c r="T88" s="29">
        <f t="shared" si="10"/>
        <v>0</v>
      </c>
      <c r="U88" s="40">
        <f t="shared" si="11"/>
        <v>0</v>
      </c>
      <c r="V88" s="29">
        <f t="shared" si="12"/>
        <v>0</v>
      </c>
      <c r="W88" s="32"/>
    </row>
    <row r="89" spans="1:23" ht="13.5" customHeight="1" thickBot="1" x14ac:dyDescent="0.3">
      <c r="A89" s="116"/>
      <c r="B89" s="82">
        <v>30</v>
      </c>
      <c r="C89" s="37" t="s">
        <v>281</v>
      </c>
      <c r="D89" s="70" t="s">
        <v>281</v>
      </c>
      <c r="E89" s="70" t="s">
        <v>282</v>
      </c>
      <c r="F89" s="71" t="s">
        <v>263</v>
      </c>
      <c r="G89" s="72">
        <v>122</v>
      </c>
      <c r="H89" s="72" t="s">
        <v>56</v>
      </c>
      <c r="I89" s="73">
        <v>16</v>
      </c>
      <c r="J89" s="73"/>
      <c r="K89" s="73">
        <v>29</v>
      </c>
      <c r="L89" s="73"/>
      <c r="M89" s="73">
        <v>32</v>
      </c>
      <c r="N89" s="73"/>
      <c r="O89" s="73">
        <v>45</v>
      </c>
      <c r="P89" s="73"/>
      <c r="Q89" s="46">
        <f t="shared" si="9"/>
        <v>122</v>
      </c>
      <c r="R89" s="29">
        <f t="shared" si="14"/>
        <v>0</v>
      </c>
      <c r="S89" s="29">
        <f t="shared" si="13"/>
        <v>0</v>
      </c>
      <c r="T89" s="29">
        <f t="shared" si="10"/>
        <v>0</v>
      </c>
      <c r="U89" s="40">
        <f t="shared" si="11"/>
        <v>0</v>
      </c>
      <c r="V89" s="29">
        <f t="shared" si="12"/>
        <v>0</v>
      </c>
      <c r="W89" s="32"/>
    </row>
    <row r="90" spans="1:23" ht="13.5" customHeight="1" thickBot="1" x14ac:dyDescent="0.3">
      <c r="A90" s="116"/>
      <c r="B90" s="82">
        <v>31</v>
      </c>
      <c r="C90" s="37" t="s">
        <v>283</v>
      </c>
      <c r="D90" s="70" t="s">
        <v>284</v>
      </c>
      <c r="E90" s="70" t="s">
        <v>285</v>
      </c>
      <c r="F90" s="71" t="s">
        <v>237</v>
      </c>
      <c r="G90" s="72">
        <v>85</v>
      </c>
      <c r="H90" s="72" t="s">
        <v>34</v>
      </c>
      <c r="I90" s="73"/>
      <c r="J90" s="73"/>
      <c r="K90" s="73">
        <v>24</v>
      </c>
      <c r="L90" s="73"/>
      <c r="M90" s="73">
        <v>24</v>
      </c>
      <c r="N90" s="73"/>
      <c r="O90" s="73">
        <v>37</v>
      </c>
      <c r="P90" s="73"/>
      <c r="Q90" s="46">
        <f t="shared" si="9"/>
        <v>85</v>
      </c>
      <c r="R90" s="29">
        <f t="shared" si="14"/>
        <v>0</v>
      </c>
      <c r="S90" s="29">
        <f t="shared" si="13"/>
        <v>0</v>
      </c>
      <c r="T90" s="29">
        <f t="shared" si="10"/>
        <v>0</v>
      </c>
      <c r="U90" s="40">
        <f t="shared" si="11"/>
        <v>0</v>
      </c>
      <c r="V90" s="29">
        <f t="shared" si="12"/>
        <v>0</v>
      </c>
      <c r="W90" s="32"/>
    </row>
    <row r="91" spans="1:23" ht="13.5" customHeight="1" thickBot="1" x14ac:dyDescent="0.3">
      <c r="A91" s="116"/>
      <c r="B91" s="82">
        <v>32</v>
      </c>
      <c r="C91" s="37" t="s">
        <v>286</v>
      </c>
      <c r="D91" s="70" t="s">
        <v>286</v>
      </c>
      <c r="E91" s="70" t="s">
        <v>287</v>
      </c>
      <c r="F91" s="71" t="s">
        <v>233</v>
      </c>
      <c r="G91" s="72">
        <v>200</v>
      </c>
      <c r="H91" s="72"/>
      <c r="I91" s="73"/>
      <c r="J91" s="73"/>
      <c r="K91" s="73">
        <v>80</v>
      </c>
      <c r="L91" s="73"/>
      <c r="M91" s="73">
        <v>80</v>
      </c>
      <c r="N91" s="73"/>
      <c r="O91" s="73">
        <v>40</v>
      </c>
      <c r="P91" s="73"/>
      <c r="Q91" s="46">
        <f t="shared" si="9"/>
        <v>200</v>
      </c>
      <c r="R91" s="29">
        <f t="shared" si="14"/>
        <v>0</v>
      </c>
      <c r="S91" s="29">
        <f t="shared" si="13"/>
        <v>0</v>
      </c>
      <c r="T91" s="29">
        <f t="shared" si="10"/>
        <v>0</v>
      </c>
      <c r="U91" s="40">
        <f t="shared" si="11"/>
        <v>0</v>
      </c>
      <c r="V91" s="29">
        <f t="shared" si="12"/>
        <v>0</v>
      </c>
      <c r="W91" s="32"/>
    </row>
    <row r="92" spans="1:23" ht="13.5" customHeight="1" thickBot="1" x14ac:dyDescent="0.3">
      <c r="A92" s="116"/>
      <c r="B92" s="82">
        <v>33</v>
      </c>
      <c r="C92" s="37" t="s">
        <v>288</v>
      </c>
      <c r="D92" s="70" t="s">
        <v>95</v>
      </c>
      <c r="E92" s="70" t="s">
        <v>289</v>
      </c>
      <c r="F92" s="71" t="s">
        <v>213</v>
      </c>
      <c r="G92" s="72">
        <v>125</v>
      </c>
      <c r="H92" s="72" t="s">
        <v>61</v>
      </c>
      <c r="I92" s="73"/>
      <c r="J92" s="73"/>
      <c r="K92" s="73"/>
      <c r="L92" s="73"/>
      <c r="M92" s="73">
        <v>46</v>
      </c>
      <c r="N92" s="73"/>
      <c r="O92" s="73">
        <v>67</v>
      </c>
      <c r="P92" s="73">
        <v>3</v>
      </c>
      <c r="Q92" s="46">
        <f t="shared" si="9"/>
        <v>113</v>
      </c>
      <c r="R92" s="29">
        <f t="shared" si="14"/>
        <v>3</v>
      </c>
      <c r="S92" s="29">
        <f t="shared" si="13"/>
        <v>0</v>
      </c>
      <c r="T92" s="29">
        <f t="shared" si="10"/>
        <v>2</v>
      </c>
      <c r="U92" s="40">
        <f t="shared" si="11"/>
        <v>10</v>
      </c>
      <c r="V92" s="29">
        <f t="shared" si="12"/>
        <v>0</v>
      </c>
      <c r="W92" s="32"/>
    </row>
    <row r="93" spans="1:23" ht="13.5" customHeight="1" thickBot="1" x14ac:dyDescent="0.3">
      <c r="A93" s="116"/>
      <c r="B93" s="82">
        <v>34</v>
      </c>
      <c r="C93" s="37" t="s">
        <v>290</v>
      </c>
      <c r="D93" s="70" t="s">
        <v>290</v>
      </c>
      <c r="E93" s="70" t="s">
        <v>291</v>
      </c>
      <c r="F93" s="71" t="s">
        <v>193</v>
      </c>
      <c r="G93" s="72">
        <v>92</v>
      </c>
      <c r="H93" s="72" t="s">
        <v>61</v>
      </c>
      <c r="I93" s="73"/>
      <c r="J93" s="73"/>
      <c r="K93" s="73"/>
      <c r="L93" s="73"/>
      <c r="M93" s="73">
        <v>37</v>
      </c>
      <c r="N93" s="73">
        <v>2</v>
      </c>
      <c r="O93" s="73">
        <v>48</v>
      </c>
      <c r="P93" s="73">
        <v>1</v>
      </c>
      <c r="Q93" s="46">
        <f t="shared" si="9"/>
        <v>85</v>
      </c>
      <c r="R93" s="29">
        <f t="shared" si="14"/>
        <v>3</v>
      </c>
      <c r="S93" s="29">
        <f t="shared" si="13"/>
        <v>0</v>
      </c>
      <c r="T93" s="29">
        <f t="shared" si="10"/>
        <v>2</v>
      </c>
      <c r="U93" s="40">
        <f t="shared" si="11"/>
        <v>5</v>
      </c>
      <c r="V93" s="29">
        <f t="shared" si="12"/>
        <v>0</v>
      </c>
      <c r="W93" s="32"/>
    </row>
    <row r="94" spans="1:23" ht="13.5" customHeight="1" thickBot="1" x14ac:dyDescent="0.3">
      <c r="A94" s="117"/>
      <c r="B94" s="83">
        <v>35</v>
      </c>
      <c r="C94" s="84" t="s">
        <v>292</v>
      </c>
      <c r="D94" s="76" t="s">
        <v>293</v>
      </c>
      <c r="E94" s="76" t="s">
        <v>294</v>
      </c>
      <c r="F94" s="77" t="s">
        <v>263</v>
      </c>
      <c r="G94" s="78">
        <v>34</v>
      </c>
      <c r="H94" s="78"/>
      <c r="I94" s="79"/>
      <c r="J94" s="79"/>
      <c r="K94" s="79"/>
      <c r="L94" s="79"/>
      <c r="M94" s="79">
        <v>19</v>
      </c>
      <c r="N94" s="79"/>
      <c r="O94" s="79">
        <v>14</v>
      </c>
      <c r="P94" s="79"/>
      <c r="Q94" s="47">
        <f t="shared" si="9"/>
        <v>33</v>
      </c>
      <c r="R94" s="33">
        <f t="shared" si="14"/>
        <v>0</v>
      </c>
      <c r="S94" s="33">
        <f t="shared" si="13"/>
        <v>0</v>
      </c>
      <c r="T94" s="33">
        <f t="shared" si="10"/>
        <v>0</v>
      </c>
      <c r="U94" s="40">
        <f t="shared" si="11"/>
        <v>1</v>
      </c>
      <c r="V94" s="33">
        <f t="shared" si="12"/>
        <v>0</v>
      </c>
      <c r="W94" s="34"/>
    </row>
    <row r="95" spans="1:23" ht="13.5" customHeight="1" thickBot="1" x14ac:dyDescent="0.3">
      <c r="A95" s="3"/>
      <c r="B95" s="3"/>
      <c r="Q95" s="4"/>
      <c r="R95" s="4"/>
      <c r="S95" s="4"/>
      <c r="T95" s="4"/>
      <c r="U95" s="30"/>
      <c r="V95" s="1"/>
      <c r="W95" s="2"/>
    </row>
    <row r="96" spans="1:23" ht="13.5" customHeight="1" thickBot="1" x14ac:dyDescent="0.3">
      <c r="A96" s="115" t="s">
        <v>295</v>
      </c>
      <c r="B96" s="48">
        <v>1</v>
      </c>
      <c r="C96" s="81" t="s">
        <v>296</v>
      </c>
      <c r="D96" s="64" t="s">
        <v>297</v>
      </c>
      <c r="E96" s="64" t="s">
        <v>298</v>
      </c>
      <c r="F96" s="65" t="s">
        <v>299</v>
      </c>
      <c r="G96" s="66">
        <v>202</v>
      </c>
      <c r="H96" s="66" t="s">
        <v>34</v>
      </c>
      <c r="I96" s="67"/>
      <c r="J96" s="67"/>
      <c r="K96" s="67">
        <v>44</v>
      </c>
      <c r="L96" s="67"/>
      <c r="M96" s="67">
        <v>81</v>
      </c>
      <c r="N96" s="67">
        <v>1</v>
      </c>
      <c r="O96" s="67">
        <v>68</v>
      </c>
      <c r="P96" s="67"/>
      <c r="Q96" s="45">
        <f t="shared" si="9"/>
        <v>193</v>
      </c>
      <c r="R96" s="30">
        <f t="shared" si="14"/>
        <v>1</v>
      </c>
      <c r="S96" s="30">
        <f t="shared" si="13"/>
        <v>0</v>
      </c>
      <c r="T96" s="30">
        <f t="shared" si="10"/>
        <v>2</v>
      </c>
      <c r="U96" s="40">
        <f t="shared" si="11"/>
        <v>7</v>
      </c>
      <c r="V96" s="30">
        <f t="shared" si="12"/>
        <v>0</v>
      </c>
      <c r="W96" s="31"/>
    </row>
    <row r="97" spans="1:23" ht="13.5" customHeight="1" thickBot="1" x14ac:dyDescent="0.3">
      <c r="A97" s="116"/>
      <c r="B97" s="49">
        <v>2</v>
      </c>
      <c r="C97" s="37" t="s">
        <v>300</v>
      </c>
      <c r="D97" s="70" t="s">
        <v>297</v>
      </c>
      <c r="E97" s="70" t="s">
        <v>301</v>
      </c>
      <c r="F97" s="71" t="s">
        <v>302</v>
      </c>
      <c r="G97" s="72">
        <v>215</v>
      </c>
      <c r="H97" s="72" t="s">
        <v>34</v>
      </c>
      <c r="I97" s="73"/>
      <c r="J97" s="73"/>
      <c r="K97" s="73">
        <v>83</v>
      </c>
      <c r="L97" s="73"/>
      <c r="M97" s="73">
        <v>59</v>
      </c>
      <c r="N97" s="73"/>
      <c r="O97" s="73">
        <v>63</v>
      </c>
      <c r="P97" s="73"/>
      <c r="Q97" s="46">
        <f t="shared" si="9"/>
        <v>205</v>
      </c>
      <c r="R97" s="29">
        <f t="shared" si="14"/>
        <v>0</v>
      </c>
      <c r="S97" s="29">
        <f t="shared" si="13"/>
        <v>0</v>
      </c>
      <c r="T97" s="29">
        <f t="shared" si="10"/>
        <v>0</v>
      </c>
      <c r="U97" s="40">
        <f t="shared" si="11"/>
        <v>10</v>
      </c>
      <c r="V97" s="29">
        <f t="shared" si="12"/>
        <v>0</v>
      </c>
      <c r="W97" s="32"/>
    </row>
    <row r="98" spans="1:23" ht="13.5" customHeight="1" thickBot="1" x14ac:dyDescent="0.3">
      <c r="A98" s="116"/>
      <c r="B98" s="49">
        <v>3</v>
      </c>
      <c r="C98" s="37" t="s">
        <v>303</v>
      </c>
      <c r="D98" s="70" t="s">
        <v>297</v>
      </c>
      <c r="E98" s="70" t="s">
        <v>304</v>
      </c>
      <c r="F98" s="71" t="s">
        <v>305</v>
      </c>
      <c r="G98" s="72">
        <v>200</v>
      </c>
      <c r="H98" s="72" t="s">
        <v>34</v>
      </c>
      <c r="I98" s="73"/>
      <c r="J98" s="73"/>
      <c r="K98" s="73">
        <v>38</v>
      </c>
      <c r="L98" s="73"/>
      <c r="M98" s="73">
        <v>72</v>
      </c>
      <c r="N98" s="73">
        <v>1</v>
      </c>
      <c r="O98" s="73">
        <v>73</v>
      </c>
      <c r="P98" s="73">
        <v>4</v>
      </c>
      <c r="Q98" s="46">
        <f t="shared" si="9"/>
        <v>183</v>
      </c>
      <c r="R98" s="29">
        <f t="shared" si="14"/>
        <v>5</v>
      </c>
      <c r="S98" s="29">
        <f t="shared" si="13"/>
        <v>0</v>
      </c>
      <c r="T98" s="29">
        <f t="shared" si="10"/>
        <v>2</v>
      </c>
      <c r="U98" s="40">
        <f t="shared" si="11"/>
        <v>15</v>
      </c>
      <c r="V98" s="29">
        <f t="shared" si="12"/>
        <v>0</v>
      </c>
      <c r="W98" s="32"/>
    </row>
    <row r="99" spans="1:23" ht="13.5" customHeight="1" thickBot="1" x14ac:dyDescent="0.3">
      <c r="A99" s="116"/>
      <c r="B99" s="49">
        <v>4</v>
      </c>
      <c r="C99" s="37" t="s">
        <v>306</v>
      </c>
      <c r="D99" s="73" t="s">
        <v>297</v>
      </c>
      <c r="E99" s="70" t="s">
        <v>307</v>
      </c>
      <c r="F99" s="71" t="s">
        <v>308</v>
      </c>
      <c r="G99" s="72">
        <v>110</v>
      </c>
      <c r="H99" s="72"/>
      <c r="I99" s="73"/>
      <c r="J99" s="73"/>
      <c r="K99" s="73">
        <v>46</v>
      </c>
      <c r="L99" s="73">
        <v>1</v>
      </c>
      <c r="M99" s="73">
        <v>42</v>
      </c>
      <c r="N99" s="73"/>
      <c r="O99" s="73">
        <v>17</v>
      </c>
      <c r="P99" s="73"/>
      <c r="Q99" s="46">
        <f t="shared" si="9"/>
        <v>105</v>
      </c>
      <c r="R99" s="29">
        <f t="shared" si="14"/>
        <v>1</v>
      </c>
      <c r="S99" s="29">
        <f t="shared" si="13"/>
        <v>2</v>
      </c>
      <c r="T99" s="29">
        <f t="shared" si="10"/>
        <v>0</v>
      </c>
      <c r="U99" s="40">
        <f t="shared" si="11"/>
        <v>3</v>
      </c>
      <c r="V99" s="29">
        <f t="shared" si="12"/>
        <v>0</v>
      </c>
      <c r="W99" s="32"/>
    </row>
    <row r="100" spans="1:23" ht="13.5" customHeight="1" thickBot="1" x14ac:dyDescent="0.3">
      <c r="A100" s="116"/>
      <c r="B100" s="49">
        <v>5</v>
      </c>
      <c r="C100" s="37" t="s">
        <v>309</v>
      </c>
      <c r="D100" s="70" t="s">
        <v>309</v>
      </c>
      <c r="E100" s="70" t="s">
        <v>310</v>
      </c>
      <c r="F100" s="71" t="s">
        <v>311</v>
      </c>
      <c r="G100" s="72">
        <v>142</v>
      </c>
      <c r="H100" s="72" t="s">
        <v>34</v>
      </c>
      <c r="I100" s="73"/>
      <c r="J100" s="73"/>
      <c r="K100" s="73">
        <v>44</v>
      </c>
      <c r="L100" s="73"/>
      <c r="M100" s="73">
        <v>48</v>
      </c>
      <c r="N100" s="73"/>
      <c r="O100" s="73">
        <v>50</v>
      </c>
      <c r="P100" s="73"/>
      <c r="Q100" s="46">
        <f t="shared" si="9"/>
        <v>142</v>
      </c>
      <c r="R100" s="29">
        <f t="shared" si="14"/>
        <v>0</v>
      </c>
      <c r="S100" s="29">
        <f t="shared" si="13"/>
        <v>0</v>
      </c>
      <c r="T100" s="29">
        <f t="shared" si="10"/>
        <v>0</v>
      </c>
      <c r="U100" s="40">
        <f t="shared" si="11"/>
        <v>0</v>
      </c>
      <c r="V100" s="29">
        <f t="shared" si="12"/>
        <v>0</v>
      </c>
      <c r="W100" s="32"/>
    </row>
    <row r="101" spans="1:23" ht="13.5" customHeight="1" thickBot="1" x14ac:dyDescent="0.3">
      <c r="A101" s="116"/>
      <c r="B101" s="49">
        <v>6</v>
      </c>
      <c r="C101" s="37" t="s">
        <v>312</v>
      </c>
      <c r="D101" s="70" t="s">
        <v>313</v>
      </c>
      <c r="E101" s="70" t="s">
        <v>314</v>
      </c>
      <c r="F101" s="71" t="s">
        <v>315</v>
      </c>
      <c r="G101" s="72">
        <v>251</v>
      </c>
      <c r="H101" s="72" t="s">
        <v>34</v>
      </c>
      <c r="I101" s="73"/>
      <c r="J101" s="73"/>
      <c r="K101" s="73">
        <v>85</v>
      </c>
      <c r="L101" s="73"/>
      <c r="M101" s="73">
        <v>82</v>
      </c>
      <c r="N101" s="73"/>
      <c r="O101" s="73">
        <v>81</v>
      </c>
      <c r="P101" s="73"/>
      <c r="Q101" s="46">
        <f t="shared" si="9"/>
        <v>248</v>
      </c>
      <c r="R101" s="29">
        <f t="shared" si="14"/>
        <v>0</v>
      </c>
      <c r="S101" s="29">
        <f t="shared" si="13"/>
        <v>0</v>
      </c>
      <c r="T101" s="29">
        <f t="shared" si="10"/>
        <v>0</v>
      </c>
      <c r="U101" s="40">
        <f t="shared" si="11"/>
        <v>3</v>
      </c>
      <c r="V101" s="29">
        <f t="shared" si="12"/>
        <v>0</v>
      </c>
      <c r="W101" s="32"/>
    </row>
    <row r="102" spans="1:23" ht="13.5" customHeight="1" thickBot="1" x14ac:dyDescent="0.3">
      <c r="A102" s="116"/>
      <c r="B102" s="49">
        <v>7</v>
      </c>
      <c r="C102" s="37" t="s">
        <v>316</v>
      </c>
      <c r="D102" s="70" t="s">
        <v>317</v>
      </c>
      <c r="E102" s="70" t="s">
        <v>318</v>
      </c>
      <c r="F102" s="71" t="s">
        <v>319</v>
      </c>
      <c r="G102" s="72">
        <v>57</v>
      </c>
      <c r="H102" s="72" t="s">
        <v>34</v>
      </c>
      <c r="I102" s="73"/>
      <c r="J102" s="73"/>
      <c r="K102" s="73">
        <v>17</v>
      </c>
      <c r="L102" s="73"/>
      <c r="M102" s="73">
        <v>24</v>
      </c>
      <c r="N102" s="73"/>
      <c r="O102" s="73">
        <v>16</v>
      </c>
      <c r="P102" s="73"/>
      <c r="Q102" s="46">
        <f t="shared" si="9"/>
        <v>57</v>
      </c>
      <c r="R102" s="29">
        <f t="shared" si="14"/>
        <v>0</v>
      </c>
      <c r="S102" s="29">
        <f t="shared" si="13"/>
        <v>0</v>
      </c>
      <c r="T102" s="29">
        <f t="shared" si="10"/>
        <v>0</v>
      </c>
      <c r="U102" s="40">
        <f t="shared" si="11"/>
        <v>0</v>
      </c>
      <c r="V102" s="29">
        <f t="shared" si="12"/>
        <v>0</v>
      </c>
      <c r="W102" s="32"/>
    </row>
    <row r="103" spans="1:23" ht="13.5" customHeight="1" thickBot="1" x14ac:dyDescent="0.3">
      <c r="A103" s="116"/>
      <c r="B103" s="49">
        <v>8</v>
      </c>
      <c r="C103" s="37" t="s">
        <v>320</v>
      </c>
      <c r="D103" s="70" t="s">
        <v>207</v>
      </c>
      <c r="E103" s="70" t="s">
        <v>321</v>
      </c>
      <c r="F103" s="71" t="s">
        <v>237</v>
      </c>
      <c r="G103" s="72">
        <v>215</v>
      </c>
      <c r="H103" s="72" t="s">
        <v>34</v>
      </c>
      <c r="I103" s="73"/>
      <c r="J103" s="73"/>
      <c r="K103" s="73">
        <v>53</v>
      </c>
      <c r="L103" s="73"/>
      <c r="M103" s="73">
        <v>94</v>
      </c>
      <c r="N103" s="73"/>
      <c r="O103" s="73">
        <v>68</v>
      </c>
      <c r="P103" s="73">
        <v>1</v>
      </c>
      <c r="Q103" s="46">
        <f t="shared" si="9"/>
        <v>215</v>
      </c>
      <c r="R103" s="29">
        <f t="shared" si="14"/>
        <v>1</v>
      </c>
      <c r="S103" s="29">
        <f t="shared" si="13"/>
        <v>0</v>
      </c>
      <c r="T103" s="29">
        <f t="shared" si="10"/>
        <v>2</v>
      </c>
      <c r="U103" s="40">
        <f t="shared" si="11"/>
        <v>-2</v>
      </c>
      <c r="V103" s="29">
        <f t="shared" si="12"/>
        <v>-2</v>
      </c>
      <c r="W103" s="32"/>
    </row>
    <row r="104" spans="1:23" ht="13.5" customHeight="1" thickBot="1" x14ac:dyDescent="0.3">
      <c r="A104" s="116"/>
      <c r="B104" s="49">
        <v>9</v>
      </c>
      <c r="C104" s="37" t="s">
        <v>322</v>
      </c>
      <c r="D104" s="70" t="s">
        <v>207</v>
      </c>
      <c r="E104" s="70" t="s">
        <v>323</v>
      </c>
      <c r="F104" s="71" t="s">
        <v>324</v>
      </c>
      <c r="G104" s="72">
        <v>145</v>
      </c>
      <c r="H104" s="72" t="s">
        <v>34</v>
      </c>
      <c r="I104" s="73"/>
      <c r="J104" s="73"/>
      <c r="K104" s="73">
        <v>55</v>
      </c>
      <c r="L104" s="73"/>
      <c r="M104" s="73">
        <v>30</v>
      </c>
      <c r="N104" s="73"/>
      <c r="O104" s="73">
        <v>60</v>
      </c>
      <c r="P104" s="73"/>
      <c r="Q104" s="46">
        <f t="shared" si="9"/>
        <v>145</v>
      </c>
      <c r="R104" s="29">
        <f t="shared" si="14"/>
        <v>0</v>
      </c>
      <c r="S104" s="29">
        <f t="shared" si="13"/>
        <v>0</v>
      </c>
      <c r="T104" s="29">
        <f t="shared" si="10"/>
        <v>0</v>
      </c>
      <c r="U104" s="40">
        <f t="shared" si="11"/>
        <v>0</v>
      </c>
      <c r="V104" s="29">
        <f t="shared" si="12"/>
        <v>0</v>
      </c>
      <c r="W104" s="32"/>
    </row>
    <row r="105" spans="1:23" ht="13.5" customHeight="1" thickBot="1" x14ac:dyDescent="0.3">
      <c r="A105" s="116"/>
      <c r="B105" s="49">
        <v>10</v>
      </c>
      <c r="C105" s="37" t="s">
        <v>325</v>
      </c>
      <c r="D105" s="70" t="s">
        <v>248</v>
      </c>
      <c r="E105" s="70" t="s">
        <v>326</v>
      </c>
      <c r="F105" s="71" t="s">
        <v>327</v>
      </c>
      <c r="G105" s="72">
        <v>200</v>
      </c>
      <c r="H105" s="72" t="s">
        <v>61</v>
      </c>
      <c r="I105" s="73"/>
      <c r="J105" s="73"/>
      <c r="K105" s="73">
        <v>70</v>
      </c>
      <c r="L105" s="73"/>
      <c r="M105" s="73">
        <v>65</v>
      </c>
      <c r="N105" s="73"/>
      <c r="O105" s="73">
        <v>65</v>
      </c>
      <c r="P105" s="73"/>
      <c r="Q105" s="46">
        <f t="shared" si="9"/>
        <v>200</v>
      </c>
      <c r="R105" s="29">
        <f t="shared" si="14"/>
        <v>0</v>
      </c>
      <c r="S105" s="29">
        <f t="shared" si="13"/>
        <v>0</v>
      </c>
      <c r="T105" s="29">
        <f t="shared" si="10"/>
        <v>0</v>
      </c>
      <c r="U105" s="40">
        <f t="shared" si="11"/>
        <v>0</v>
      </c>
      <c r="V105" s="29">
        <f t="shared" si="12"/>
        <v>0</v>
      </c>
      <c r="W105" s="32"/>
    </row>
    <row r="106" spans="1:23" ht="13.5" customHeight="1" thickBot="1" x14ac:dyDescent="0.3">
      <c r="A106" s="116"/>
      <c r="B106" s="49">
        <v>11</v>
      </c>
      <c r="C106" s="37" t="s">
        <v>328</v>
      </c>
      <c r="D106" s="70" t="s">
        <v>329</v>
      </c>
      <c r="E106" s="70" t="s">
        <v>330</v>
      </c>
      <c r="F106" s="71" t="s">
        <v>237</v>
      </c>
      <c r="G106" s="72">
        <v>69</v>
      </c>
      <c r="H106" s="72" t="s">
        <v>34</v>
      </c>
      <c r="I106" s="73"/>
      <c r="J106" s="73"/>
      <c r="K106" s="73">
        <v>10</v>
      </c>
      <c r="L106" s="73"/>
      <c r="M106" s="73">
        <v>27</v>
      </c>
      <c r="N106" s="73">
        <v>2</v>
      </c>
      <c r="O106" s="73">
        <v>27</v>
      </c>
      <c r="P106" s="73">
        <v>2</v>
      </c>
      <c r="Q106" s="46">
        <f t="shared" si="9"/>
        <v>64</v>
      </c>
      <c r="R106" s="29">
        <f t="shared" si="14"/>
        <v>4</v>
      </c>
      <c r="S106" s="29">
        <f t="shared" si="13"/>
        <v>0</v>
      </c>
      <c r="T106" s="29">
        <f t="shared" si="10"/>
        <v>2</v>
      </c>
      <c r="U106" s="40">
        <f t="shared" si="11"/>
        <v>3</v>
      </c>
      <c r="V106" s="29">
        <f t="shared" si="12"/>
        <v>0</v>
      </c>
      <c r="W106" s="32"/>
    </row>
    <row r="107" spans="1:23" ht="13.5" customHeight="1" thickBot="1" x14ac:dyDescent="0.3">
      <c r="A107" s="116"/>
      <c r="B107" s="49">
        <v>12</v>
      </c>
      <c r="C107" s="37" t="s">
        <v>331</v>
      </c>
      <c r="D107" s="70" t="s">
        <v>95</v>
      </c>
      <c r="E107" s="70" t="s">
        <v>332</v>
      </c>
      <c r="F107" s="71" t="s">
        <v>299</v>
      </c>
      <c r="G107" s="72">
        <v>84</v>
      </c>
      <c r="H107" s="72" t="s">
        <v>61</v>
      </c>
      <c r="I107" s="73"/>
      <c r="J107" s="73"/>
      <c r="K107" s="73"/>
      <c r="L107" s="73"/>
      <c r="M107" s="73">
        <v>40</v>
      </c>
      <c r="N107" s="73"/>
      <c r="O107" s="73">
        <v>44</v>
      </c>
      <c r="P107" s="73"/>
      <c r="Q107" s="46">
        <f t="shared" si="9"/>
        <v>84</v>
      </c>
      <c r="R107" s="29">
        <f t="shared" si="14"/>
        <v>0</v>
      </c>
      <c r="S107" s="29">
        <f t="shared" si="13"/>
        <v>0</v>
      </c>
      <c r="T107" s="29">
        <f t="shared" si="10"/>
        <v>0</v>
      </c>
      <c r="U107" s="40">
        <f t="shared" si="11"/>
        <v>0</v>
      </c>
      <c r="V107" s="29">
        <f t="shared" si="12"/>
        <v>0</v>
      </c>
      <c r="W107" s="32"/>
    </row>
    <row r="108" spans="1:23" ht="13.5" customHeight="1" thickBot="1" x14ac:dyDescent="0.3">
      <c r="A108" s="116"/>
      <c r="B108" s="49">
        <v>13</v>
      </c>
      <c r="C108" s="37" t="s">
        <v>333</v>
      </c>
      <c r="D108" s="70" t="s">
        <v>334</v>
      </c>
      <c r="E108" s="70" t="s">
        <v>335</v>
      </c>
      <c r="F108" s="71" t="s">
        <v>299</v>
      </c>
      <c r="G108" s="72">
        <v>100</v>
      </c>
      <c r="H108" s="72" t="s">
        <v>61</v>
      </c>
      <c r="I108" s="73"/>
      <c r="J108" s="73"/>
      <c r="K108" s="73"/>
      <c r="L108" s="73"/>
      <c r="M108" s="73">
        <v>50</v>
      </c>
      <c r="N108" s="73"/>
      <c r="O108" s="73">
        <v>50</v>
      </c>
      <c r="P108" s="73"/>
      <c r="Q108" s="46">
        <f t="shared" si="9"/>
        <v>100</v>
      </c>
      <c r="R108" s="29">
        <f t="shared" si="14"/>
        <v>0</v>
      </c>
      <c r="S108" s="29">
        <f t="shared" si="13"/>
        <v>0</v>
      </c>
      <c r="T108" s="29">
        <f t="shared" si="10"/>
        <v>0</v>
      </c>
      <c r="U108" s="40">
        <f t="shared" si="11"/>
        <v>0</v>
      </c>
      <c r="V108" s="29">
        <f t="shared" si="12"/>
        <v>0</v>
      </c>
      <c r="W108" s="32"/>
    </row>
    <row r="109" spans="1:23" ht="13.5" customHeight="1" thickBot="1" x14ac:dyDescent="0.3">
      <c r="A109" s="116"/>
      <c r="B109" s="49">
        <v>14</v>
      </c>
      <c r="C109" s="37" t="s">
        <v>336</v>
      </c>
      <c r="D109" s="70" t="s">
        <v>337</v>
      </c>
      <c r="E109" s="70" t="s">
        <v>338</v>
      </c>
      <c r="F109" s="71" t="s">
        <v>339</v>
      </c>
      <c r="G109" s="72">
        <v>70</v>
      </c>
      <c r="H109" s="72" t="s">
        <v>61</v>
      </c>
      <c r="I109" s="73"/>
      <c r="J109" s="73"/>
      <c r="K109" s="73"/>
      <c r="L109" s="73"/>
      <c r="M109" s="73">
        <v>20</v>
      </c>
      <c r="N109" s="73"/>
      <c r="O109" s="73">
        <v>50</v>
      </c>
      <c r="P109" s="73"/>
      <c r="Q109" s="46">
        <f t="shared" si="9"/>
        <v>70</v>
      </c>
      <c r="R109" s="29">
        <f t="shared" si="14"/>
        <v>0</v>
      </c>
      <c r="S109" s="29">
        <f t="shared" si="13"/>
        <v>0</v>
      </c>
      <c r="T109" s="29">
        <f t="shared" si="10"/>
        <v>0</v>
      </c>
      <c r="U109" s="40">
        <f t="shared" si="11"/>
        <v>0</v>
      </c>
      <c r="V109" s="29">
        <f t="shared" si="12"/>
        <v>0</v>
      </c>
      <c r="W109" s="32"/>
    </row>
    <row r="110" spans="1:23" ht="13.5" customHeight="1" thickBot="1" x14ac:dyDescent="0.3">
      <c r="A110" s="116"/>
      <c r="B110" s="49">
        <v>15</v>
      </c>
      <c r="C110" s="37" t="s">
        <v>340</v>
      </c>
      <c r="D110" s="70" t="s">
        <v>341</v>
      </c>
      <c r="E110" s="70" t="s">
        <v>342</v>
      </c>
      <c r="F110" s="71" t="s">
        <v>327</v>
      </c>
      <c r="G110" s="72">
        <v>125</v>
      </c>
      <c r="H110" s="72" t="s">
        <v>61</v>
      </c>
      <c r="I110" s="73"/>
      <c r="J110" s="73"/>
      <c r="K110" s="73"/>
      <c r="L110" s="73"/>
      <c r="M110" s="73">
        <v>50</v>
      </c>
      <c r="N110" s="73"/>
      <c r="O110" s="73">
        <v>75</v>
      </c>
      <c r="P110" s="73"/>
      <c r="Q110" s="46">
        <f t="shared" si="9"/>
        <v>125</v>
      </c>
      <c r="R110" s="29">
        <f t="shared" si="14"/>
        <v>0</v>
      </c>
      <c r="S110" s="29">
        <f t="shared" si="13"/>
        <v>0</v>
      </c>
      <c r="T110" s="29">
        <f t="shared" si="10"/>
        <v>0</v>
      </c>
      <c r="U110" s="40">
        <f t="shared" si="11"/>
        <v>0</v>
      </c>
      <c r="V110" s="29">
        <f t="shared" si="12"/>
        <v>0</v>
      </c>
      <c r="W110" s="32"/>
    </row>
    <row r="111" spans="1:23" ht="13.5" customHeight="1" thickBot="1" x14ac:dyDescent="0.3">
      <c r="A111" s="116"/>
      <c r="B111" s="49">
        <v>16</v>
      </c>
      <c r="C111" s="37" t="s">
        <v>343</v>
      </c>
      <c r="D111" s="70" t="s">
        <v>344</v>
      </c>
      <c r="E111" s="70" t="s">
        <v>345</v>
      </c>
      <c r="F111" s="71" t="s">
        <v>299</v>
      </c>
      <c r="G111" s="72">
        <v>165</v>
      </c>
      <c r="H111" s="72" t="s">
        <v>61</v>
      </c>
      <c r="I111" s="73"/>
      <c r="J111" s="73"/>
      <c r="K111" s="73"/>
      <c r="L111" s="73"/>
      <c r="M111" s="73">
        <v>65</v>
      </c>
      <c r="N111" s="73"/>
      <c r="O111" s="73">
        <v>55</v>
      </c>
      <c r="P111" s="73"/>
      <c r="Q111" s="46">
        <f t="shared" si="9"/>
        <v>120</v>
      </c>
      <c r="R111" s="29">
        <f t="shared" si="14"/>
        <v>0</v>
      </c>
      <c r="S111" s="29">
        <f t="shared" si="13"/>
        <v>0</v>
      </c>
      <c r="T111" s="29">
        <f t="shared" si="10"/>
        <v>0</v>
      </c>
      <c r="U111" s="40">
        <f t="shared" si="11"/>
        <v>45</v>
      </c>
      <c r="V111" s="29">
        <f t="shared" si="12"/>
        <v>0</v>
      </c>
      <c r="W111" s="32"/>
    </row>
    <row r="112" spans="1:23" ht="13.5" customHeight="1" thickBot="1" x14ac:dyDescent="0.3">
      <c r="A112" s="116"/>
      <c r="B112" s="49">
        <v>17</v>
      </c>
      <c r="C112" s="37" t="s">
        <v>346</v>
      </c>
      <c r="D112" s="70" t="s">
        <v>346</v>
      </c>
      <c r="E112" s="70" t="s">
        <v>347</v>
      </c>
      <c r="F112" s="71" t="s">
        <v>302</v>
      </c>
      <c r="G112" s="72">
        <v>140</v>
      </c>
      <c r="H112" s="72" t="s">
        <v>34</v>
      </c>
      <c r="I112" s="73"/>
      <c r="J112" s="73"/>
      <c r="K112" s="73">
        <v>30</v>
      </c>
      <c r="L112" s="73"/>
      <c r="M112" s="73">
        <v>58</v>
      </c>
      <c r="N112" s="73"/>
      <c r="O112" s="73">
        <v>50</v>
      </c>
      <c r="P112" s="73"/>
      <c r="Q112" s="46">
        <f t="shared" si="9"/>
        <v>138</v>
      </c>
      <c r="R112" s="29">
        <f t="shared" si="14"/>
        <v>0</v>
      </c>
      <c r="S112" s="29">
        <f t="shared" si="13"/>
        <v>0</v>
      </c>
      <c r="T112" s="29">
        <f t="shared" si="10"/>
        <v>0</v>
      </c>
      <c r="U112" s="40">
        <f t="shared" si="11"/>
        <v>2</v>
      </c>
      <c r="V112" s="29">
        <f t="shared" si="12"/>
        <v>0</v>
      </c>
      <c r="W112" s="32"/>
    </row>
    <row r="113" spans="1:23" ht="13.5" customHeight="1" thickBot="1" x14ac:dyDescent="0.3">
      <c r="A113" s="116"/>
      <c r="B113" s="49">
        <v>18</v>
      </c>
      <c r="C113" s="37" t="s">
        <v>348</v>
      </c>
      <c r="D113" s="70" t="s">
        <v>346</v>
      </c>
      <c r="E113" s="70" t="s">
        <v>349</v>
      </c>
      <c r="F113" s="71" t="s">
        <v>315</v>
      </c>
      <c r="G113" s="72">
        <v>223</v>
      </c>
      <c r="H113" s="72" t="s">
        <v>34</v>
      </c>
      <c r="I113" s="73"/>
      <c r="J113" s="73"/>
      <c r="K113" s="73">
        <v>50</v>
      </c>
      <c r="L113" s="73"/>
      <c r="M113" s="73">
        <v>68</v>
      </c>
      <c r="N113" s="73"/>
      <c r="O113" s="73">
        <v>62</v>
      </c>
      <c r="P113" s="73"/>
      <c r="Q113" s="46">
        <f t="shared" si="9"/>
        <v>180</v>
      </c>
      <c r="R113" s="29">
        <f t="shared" si="14"/>
        <v>0</v>
      </c>
      <c r="S113" s="29">
        <f t="shared" si="13"/>
        <v>0</v>
      </c>
      <c r="T113" s="29">
        <f t="shared" si="10"/>
        <v>0</v>
      </c>
      <c r="U113" s="40">
        <f t="shared" si="11"/>
        <v>43</v>
      </c>
      <c r="V113" s="29">
        <f t="shared" si="12"/>
        <v>0</v>
      </c>
      <c r="W113" s="32"/>
    </row>
    <row r="114" spans="1:23" ht="13.5" customHeight="1" thickBot="1" x14ac:dyDescent="0.3">
      <c r="A114" s="116"/>
      <c r="B114" s="49">
        <v>19</v>
      </c>
      <c r="C114" s="37" t="s">
        <v>350</v>
      </c>
      <c r="D114" s="70" t="s">
        <v>350</v>
      </c>
      <c r="E114" s="70" t="s">
        <v>351</v>
      </c>
      <c r="F114" s="71" t="s">
        <v>327</v>
      </c>
      <c r="G114" s="72">
        <v>125</v>
      </c>
      <c r="H114" s="72" t="s">
        <v>34</v>
      </c>
      <c r="I114" s="73"/>
      <c r="J114" s="73"/>
      <c r="K114" s="73">
        <v>25</v>
      </c>
      <c r="L114" s="73"/>
      <c r="M114" s="73">
        <v>50</v>
      </c>
      <c r="N114" s="73"/>
      <c r="O114" s="73">
        <v>50</v>
      </c>
      <c r="P114" s="73"/>
      <c r="Q114" s="46">
        <f t="shared" si="9"/>
        <v>125</v>
      </c>
      <c r="R114" s="29">
        <f t="shared" si="14"/>
        <v>0</v>
      </c>
      <c r="S114" s="29">
        <f t="shared" si="13"/>
        <v>0</v>
      </c>
      <c r="T114" s="29">
        <f t="shared" si="10"/>
        <v>0</v>
      </c>
      <c r="U114" s="40">
        <f t="shared" si="11"/>
        <v>0</v>
      </c>
      <c r="V114" s="29">
        <f t="shared" si="12"/>
        <v>0</v>
      </c>
      <c r="W114" s="32"/>
    </row>
    <row r="115" spans="1:23" ht="13.5" customHeight="1" thickBot="1" x14ac:dyDescent="0.3">
      <c r="A115" s="116"/>
      <c r="B115" s="49">
        <v>20</v>
      </c>
      <c r="C115" s="37" t="s">
        <v>352</v>
      </c>
      <c r="D115" s="73" t="s">
        <v>350</v>
      </c>
      <c r="E115" s="70" t="s">
        <v>353</v>
      </c>
      <c r="F115" s="71" t="s">
        <v>354</v>
      </c>
      <c r="G115" s="72">
        <v>94</v>
      </c>
      <c r="H115" s="72" t="s">
        <v>61</v>
      </c>
      <c r="I115" s="73"/>
      <c r="J115" s="73"/>
      <c r="K115" s="73"/>
      <c r="L115" s="73"/>
      <c r="M115" s="73">
        <v>35</v>
      </c>
      <c r="N115" s="73"/>
      <c r="O115" s="73">
        <v>59</v>
      </c>
      <c r="P115" s="73"/>
      <c r="Q115" s="46">
        <f t="shared" si="9"/>
        <v>94</v>
      </c>
      <c r="R115" s="29">
        <f t="shared" si="14"/>
        <v>0</v>
      </c>
      <c r="S115" s="29">
        <f t="shared" si="13"/>
        <v>0</v>
      </c>
      <c r="T115" s="29">
        <f t="shared" si="10"/>
        <v>0</v>
      </c>
      <c r="U115" s="40">
        <f t="shared" si="11"/>
        <v>0</v>
      </c>
      <c r="V115" s="29">
        <f t="shared" si="12"/>
        <v>0</v>
      </c>
      <c r="W115" s="32"/>
    </row>
    <row r="116" spans="1:23" ht="13.5" customHeight="1" thickBot="1" x14ac:dyDescent="0.3">
      <c r="A116" s="116"/>
      <c r="B116" s="49">
        <v>21</v>
      </c>
      <c r="C116" s="37" t="s">
        <v>355</v>
      </c>
      <c r="D116" s="73" t="s">
        <v>356</v>
      </c>
      <c r="E116" s="70" t="s">
        <v>357</v>
      </c>
      <c r="F116" s="71" t="s">
        <v>311</v>
      </c>
      <c r="G116" s="72">
        <v>49</v>
      </c>
      <c r="H116" s="72"/>
      <c r="I116" s="73"/>
      <c r="J116" s="73"/>
      <c r="K116" s="73"/>
      <c r="L116" s="73"/>
      <c r="M116" s="73">
        <v>30</v>
      </c>
      <c r="N116" s="73"/>
      <c r="O116" s="73">
        <v>19</v>
      </c>
      <c r="P116" s="73"/>
      <c r="Q116" s="46">
        <f t="shared" si="9"/>
        <v>49</v>
      </c>
      <c r="R116" s="29">
        <f t="shared" si="14"/>
        <v>0</v>
      </c>
      <c r="S116" s="29">
        <f t="shared" si="13"/>
        <v>0</v>
      </c>
      <c r="T116" s="29">
        <f t="shared" si="10"/>
        <v>0</v>
      </c>
      <c r="U116" s="40">
        <f t="shared" si="11"/>
        <v>0</v>
      </c>
      <c r="V116" s="29">
        <f t="shared" si="12"/>
        <v>0</v>
      </c>
      <c r="W116" s="32"/>
    </row>
    <row r="117" spans="1:23" ht="13.5" customHeight="1" thickBot="1" x14ac:dyDescent="0.3">
      <c r="A117" s="116"/>
      <c r="B117" s="49">
        <v>22</v>
      </c>
      <c r="C117" s="37" t="s">
        <v>358</v>
      </c>
      <c r="D117" s="73" t="s">
        <v>358</v>
      </c>
      <c r="E117" s="70" t="s">
        <v>359</v>
      </c>
      <c r="F117" s="71" t="s">
        <v>360</v>
      </c>
      <c r="G117" s="72">
        <v>58</v>
      </c>
      <c r="H117" s="72" t="s">
        <v>34</v>
      </c>
      <c r="I117" s="73"/>
      <c r="J117" s="73"/>
      <c r="K117" s="73">
        <v>18</v>
      </c>
      <c r="L117" s="73"/>
      <c r="M117" s="73">
        <v>23</v>
      </c>
      <c r="N117" s="73"/>
      <c r="O117" s="73">
        <v>16</v>
      </c>
      <c r="P117" s="73"/>
      <c r="Q117" s="46">
        <f t="shared" si="9"/>
        <v>57</v>
      </c>
      <c r="R117" s="29">
        <f t="shared" si="14"/>
        <v>0</v>
      </c>
      <c r="S117" s="29">
        <f t="shared" si="13"/>
        <v>0</v>
      </c>
      <c r="T117" s="29">
        <f t="shared" si="10"/>
        <v>0</v>
      </c>
      <c r="U117" s="40">
        <f t="shared" si="11"/>
        <v>1</v>
      </c>
      <c r="V117" s="29">
        <f t="shared" si="12"/>
        <v>0</v>
      </c>
      <c r="W117" s="32"/>
    </row>
    <row r="118" spans="1:23" ht="13.5" customHeight="1" thickBot="1" x14ac:dyDescent="0.3">
      <c r="A118" s="116"/>
      <c r="B118" s="49">
        <v>23</v>
      </c>
      <c r="C118" s="37" t="s">
        <v>361</v>
      </c>
      <c r="D118" s="70" t="s">
        <v>362</v>
      </c>
      <c r="E118" s="70" t="s">
        <v>363</v>
      </c>
      <c r="F118" s="71" t="s">
        <v>339</v>
      </c>
      <c r="G118" s="72">
        <v>140</v>
      </c>
      <c r="H118" s="72" t="s">
        <v>34</v>
      </c>
      <c r="I118" s="73"/>
      <c r="J118" s="73"/>
      <c r="K118" s="73">
        <v>42</v>
      </c>
      <c r="L118" s="73"/>
      <c r="M118" s="73">
        <v>49</v>
      </c>
      <c r="N118" s="73"/>
      <c r="O118" s="73">
        <v>43</v>
      </c>
      <c r="P118" s="73"/>
      <c r="Q118" s="46">
        <f t="shared" si="9"/>
        <v>134</v>
      </c>
      <c r="R118" s="29">
        <f t="shared" si="14"/>
        <v>0</v>
      </c>
      <c r="S118" s="29">
        <f t="shared" si="13"/>
        <v>0</v>
      </c>
      <c r="T118" s="29">
        <f t="shared" si="10"/>
        <v>0</v>
      </c>
      <c r="U118" s="40">
        <f t="shared" si="11"/>
        <v>6</v>
      </c>
      <c r="V118" s="29">
        <f t="shared" si="12"/>
        <v>0</v>
      </c>
      <c r="W118" s="32"/>
    </row>
    <row r="119" spans="1:23" ht="13.5" customHeight="1" thickBot="1" x14ac:dyDescent="0.3">
      <c r="A119" s="116"/>
      <c r="B119" s="49">
        <v>24</v>
      </c>
      <c r="C119" s="37" t="s">
        <v>364</v>
      </c>
      <c r="D119" s="70" t="s">
        <v>95</v>
      </c>
      <c r="E119" s="70" t="s">
        <v>365</v>
      </c>
      <c r="F119" s="71" t="s">
        <v>366</v>
      </c>
      <c r="G119" s="72">
        <v>150</v>
      </c>
      <c r="H119" s="72" t="s">
        <v>61</v>
      </c>
      <c r="I119" s="73"/>
      <c r="J119" s="73"/>
      <c r="K119" s="73"/>
      <c r="L119" s="73"/>
      <c r="M119" s="73">
        <v>75</v>
      </c>
      <c r="N119" s="73"/>
      <c r="O119" s="73">
        <v>75</v>
      </c>
      <c r="P119" s="73"/>
      <c r="Q119" s="46">
        <f t="shared" si="9"/>
        <v>150</v>
      </c>
      <c r="R119" s="29">
        <f t="shared" si="14"/>
        <v>0</v>
      </c>
      <c r="S119" s="29">
        <f t="shared" si="13"/>
        <v>0</v>
      </c>
      <c r="T119" s="29">
        <f t="shared" si="10"/>
        <v>0</v>
      </c>
      <c r="U119" s="40">
        <f t="shared" si="11"/>
        <v>0</v>
      </c>
      <c r="V119" s="29">
        <f t="shared" si="12"/>
        <v>0</v>
      </c>
      <c r="W119" s="32"/>
    </row>
    <row r="120" spans="1:23" ht="13.5" customHeight="1" thickBot="1" x14ac:dyDescent="0.3">
      <c r="A120" s="116"/>
      <c r="B120" s="49">
        <v>25</v>
      </c>
      <c r="C120" s="37" t="s">
        <v>367</v>
      </c>
      <c r="D120" s="70" t="s">
        <v>368</v>
      </c>
      <c r="E120" s="70" t="s">
        <v>369</v>
      </c>
      <c r="F120" s="71" t="s">
        <v>237</v>
      </c>
      <c r="G120" s="72">
        <v>78</v>
      </c>
      <c r="H120" s="72" t="s">
        <v>34</v>
      </c>
      <c r="I120" s="73"/>
      <c r="J120" s="73"/>
      <c r="K120" s="73">
        <v>20</v>
      </c>
      <c r="L120" s="73"/>
      <c r="M120" s="73">
        <v>28</v>
      </c>
      <c r="N120" s="73">
        <v>2</v>
      </c>
      <c r="O120" s="73">
        <v>26</v>
      </c>
      <c r="P120" s="73">
        <v>2</v>
      </c>
      <c r="Q120" s="46">
        <f t="shared" si="9"/>
        <v>74</v>
      </c>
      <c r="R120" s="29">
        <f t="shared" si="14"/>
        <v>4</v>
      </c>
      <c r="S120" s="29">
        <f t="shared" si="13"/>
        <v>0</v>
      </c>
      <c r="T120" s="29">
        <f t="shared" si="10"/>
        <v>2</v>
      </c>
      <c r="U120" s="40">
        <f t="shared" si="11"/>
        <v>2</v>
      </c>
      <c r="V120" s="29">
        <f t="shared" si="12"/>
        <v>0</v>
      </c>
      <c r="W120" s="32"/>
    </row>
    <row r="121" spans="1:23" ht="13.5" customHeight="1" thickBot="1" x14ac:dyDescent="0.3">
      <c r="A121" s="116"/>
      <c r="B121" s="49">
        <v>26</v>
      </c>
      <c r="C121" s="37" t="s">
        <v>370</v>
      </c>
      <c r="D121" s="70" t="s">
        <v>368</v>
      </c>
      <c r="E121" s="70" t="s">
        <v>371</v>
      </c>
      <c r="F121" s="71" t="s">
        <v>299</v>
      </c>
      <c r="G121" s="72">
        <v>45</v>
      </c>
      <c r="H121" s="72" t="s">
        <v>34</v>
      </c>
      <c r="I121" s="73"/>
      <c r="J121" s="73"/>
      <c r="K121" s="73">
        <v>22</v>
      </c>
      <c r="L121" s="73">
        <v>1</v>
      </c>
      <c r="M121" s="73">
        <v>13</v>
      </c>
      <c r="N121" s="73">
        <v>1</v>
      </c>
      <c r="O121" s="73">
        <v>8</v>
      </c>
      <c r="P121" s="73"/>
      <c r="Q121" s="46">
        <f t="shared" si="9"/>
        <v>43</v>
      </c>
      <c r="R121" s="29">
        <f t="shared" si="14"/>
        <v>2</v>
      </c>
      <c r="S121" s="29">
        <f t="shared" si="13"/>
        <v>2</v>
      </c>
      <c r="T121" s="29">
        <f t="shared" si="10"/>
        <v>2</v>
      </c>
      <c r="U121" s="40">
        <f t="shared" si="11"/>
        <v>-2</v>
      </c>
      <c r="V121" s="29">
        <f t="shared" si="12"/>
        <v>-2</v>
      </c>
      <c r="W121" s="32"/>
    </row>
    <row r="122" spans="1:23" ht="13.5" customHeight="1" thickBot="1" x14ac:dyDescent="0.3">
      <c r="A122" s="116"/>
      <c r="B122" s="49">
        <v>27</v>
      </c>
      <c r="C122" s="37" t="s">
        <v>372</v>
      </c>
      <c r="D122" s="70" t="s">
        <v>373</v>
      </c>
      <c r="E122" s="70" t="s">
        <v>374</v>
      </c>
      <c r="F122" s="71" t="s">
        <v>308</v>
      </c>
      <c r="G122" s="72">
        <v>269</v>
      </c>
      <c r="H122" s="72" t="s">
        <v>34</v>
      </c>
      <c r="I122" s="73"/>
      <c r="J122" s="73"/>
      <c r="K122" s="73">
        <v>54</v>
      </c>
      <c r="L122" s="73"/>
      <c r="M122" s="73">
        <v>100</v>
      </c>
      <c r="N122" s="73">
        <v>2</v>
      </c>
      <c r="O122" s="73">
        <v>109</v>
      </c>
      <c r="P122" s="73">
        <v>4</v>
      </c>
      <c r="Q122" s="46">
        <f t="shared" si="9"/>
        <v>263</v>
      </c>
      <c r="R122" s="29">
        <f t="shared" si="14"/>
        <v>6</v>
      </c>
      <c r="S122" s="29">
        <f t="shared" si="13"/>
        <v>0</v>
      </c>
      <c r="T122" s="29">
        <f t="shared" si="10"/>
        <v>2</v>
      </c>
      <c r="U122" s="40">
        <f t="shared" si="11"/>
        <v>4</v>
      </c>
      <c r="V122" s="29">
        <f t="shared" si="12"/>
        <v>0</v>
      </c>
      <c r="W122" s="32"/>
    </row>
    <row r="123" spans="1:23" ht="13.5" customHeight="1" thickBot="1" x14ac:dyDescent="0.3">
      <c r="A123" s="116"/>
      <c r="B123" s="49">
        <v>28</v>
      </c>
      <c r="C123" s="37" t="s">
        <v>375</v>
      </c>
      <c r="D123" s="73" t="s">
        <v>376</v>
      </c>
      <c r="E123" s="70" t="s">
        <v>377</v>
      </c>
      <c r="F123" s="71" t="s">
        <v>237</v>
      </c>
      <c r="G123" s="72">
        <v>348</v>
      </c>
      <c r="H123" s="72"/>
      <c r="I123" s="73"/>
      <c r="J123" s="73"/>
      <c r="K123" s="73">
        <v>129</v>
      </c>
      <c r="L123" s="73"/>
      <c r="M123" s="73">
        <v>125</v>
      </c>
      <c r="N123" s="73">
        <v>3</v>
      </c>
      <c r="O123" s="73">
        <v>74</v>
      </c>
      <c r="P123" s="73">
        <v>3</v>
      </c>
      <c r="Q123" s="46">
        <f t="shared" si="9"/>
        <v>328</v>
      </c>
      <c r="R123" s="29">
        <f t="shared" si="14"/>
        <v>6</v>
      </c>
      <c r="S123" s="29">
        <f t="shared" si="13"/>
        <v>0</v>
      </c>
      <c r="T123" s="29">
        <f t="shared" si="10"/>
        <v>2</v>
      </c>
      <c r="U123" s="40">
        <f t="shared" si="11"/>
        <v>18</v>
      </c>
      <c r="V123" s="29">
        <f t="shared" si="12"/>
        <v>0</v>
      </c>
      <c r="W123" s="32"/>
    </row>
    <row r="124" spans="1:23" ht="13.5" customHeight="1" thickBot="1" x14ac:dyDescent="0.3">
      <c r="A124" s="116"/>
      <c r="B124" s="49">
        <v>29</v>
      </c>
      <c r="C124" s="37" t="s">
        <v>378</v>
      </c>
      <c r="D124" s="70" t="s">
        <v>373</v>
      </c>
      <c r="E124" s="70" t="s">
        <v>379</v>
      </c>
      <c r="F124" s="71" t="s">
        <v>299</v>
      </c>
      <c r="G124" s="72">
        <v>273</v>
      </c>
      <c r="H124" s="72" t="s">
        <v>34</v>
      </c>
      <c r="I124" s="73"/>
      <c r="J124" s="73"/>
      <c r="K124" s="73">
        <v>101</v>
      </c>
      <c r="L124" s="73"/>
      <c r="M124" s="73">
        <v>93</v>
      </c>
      <c r="N124" s="73"/>
      <c r="O124" s="73">
        <v>79</v>
      </c>
      <c r="P124" s="73"/>
      <c r="Q124" s="46">
        <f t="shared" si="9"/>
        <v>273</v>
      </c>
      <c r="R124" s="29">
        <f t="shared" si="14"/>
        <v>0</v>
      </c>
      <c r="S124" s="29">
        <f t="shared" si="13"/>
        <v>0</v>
      </c>
      <c r="T124" s="29">
        <f t="shared" si="10"/>
        <v>0</v>
      </c>
      <c r="U124" s="40">
        <f t="shared" si="11"/>
        <v>0</v>
      </c>
      <c r="V124" s="29">
        <f t="shared" si="12"/>
        <v>0</v>
      </c>
      <c r="W124" s="32"/>
    </row>
    <row r="125" spans="1:23" ht="13.5" customHeight="1" thickBot="1" x14ac:dyDescent="0.3">
      <c r="A125" s="116"/>
      <c r="B125" s="49">
        <v>30</v>
      </c>
      <c r="C125" s="37" t="s">
        <v>380</v>
      </c>
      <c r="D125" s="70" t="s">
        <v>381</v>
      </c>
      <c r="E125" s="70" t="s">
        <v>382</v>
      </c>
      <c r="F125" s="71" t="s">
        <v>339</v>
      </c>
      <c r="G125" s="72">
        <v>217</v>
      </c>
      <c r="H125" s="72" t="s">
        <v>47</v>
      </c>
      <c r="I125" s="73">
        <v>16</v>
      </c>
      <c r="J125" s="73"/>
      <c r="K125" s="73">
        <v>66</v>
      </c>
      <c r="L125" s="73"/>
      <c r="M125" s="73">
        <v>66</v>
      </c>
      <c r="N125" s="73"/>
      <c r="O125" s="73">
        <v>67</v>
      </c>
      <c r="P125" s="73">
        <v>2</v>
      </c>
      <c r="Q125" s="46">
        <f t="shared" si="9"/>
        <v>215</v>
      </c>
      <c r="R125" s="29">
        <f t="shared" si="14"/>
        <v>2</v>
      </c>
      <c r="S125" s="29">
        <f t="shared" si="13"/>
        <v>0</v>
      </c>
      <c r="T125" s="29">
        <f t="shared" si="10"/>
        <v>2</v>
      </c>
      <c r="U125" s="40">
        <f t="shared" si="11"/>
        <v>0</v>
      </c>
      <c r="V125" s="29">
        <f t="shared" si="12"/>
        <v>0</v>
      </c>
      <c r="W125" s="32"/>
    </row>
    <row r="126" spans="1:23" ht="13.5" customHeight="1" thickBot="1" x14ac:dyDescent="0.3">
      <c r="A126" s="116"/>
      <c r="B126" s="49">
        <v>31</v>
      </c>
      <c r="C126" s="37" t="s">
        <v>383</v>
      </c>
      <c r="D126" s="70" t="s">
        <v>383</v>
      </c>
      <c r="E126" s="70" t="s">
        <v>384</v>
      </c>
      <c r="F126" s="71" t="s">
        <v>354</v>
      </c>
      <c r="G126" s="72">
        <v>143</v>
      </c>
      <c r="H126" s="72" t="s">
        <v>34</v>
      </c>
      <c r="I126" s="73"/>
      <c r="J126" s="73"/>
      <c r="K126" s="73">
        <v>39</v>
      </c>
      <c r="L126" s="73"/>
      <c r="M126" s="73">
        <v>74</v>
      </c>
      <c r="N126" s="73"/>
      <c r="O126" s="73">
        <v>30</v>
      </c>
      <c r="P126" s="73"/>
      <c r="Q126" s="46">
        <f t="shared" si="9"/>
        <v>143</v>
      </c>
      <c r="R126" s="29">
        <f t="shared" si="14"/>
        <v>0</v>
      </c>
      <c r="S126" s="29">
        <f t="shared" si="13"/>
        <v>0</v>
      </c>
      <c r="T126" s="29">
        <f t="shared" si="10"/>
        <v>0</v>
      </c>
      <c r="U126" s="40">
        <f t="shared" si="11"/>
        <v>0</v>
      </c>
      <c r="V126" s="29">
        <f t="shared" si="12"/>
        <v>0</v>
      </c>
      <c r="W126" s="32"/>
    </row>
    <row r="127" spans="1:23" ht="13.5" customHeight="1" thickBot="1" x14ac:dyDescent="0.3">
      <c r="A127" s="116"/>
      <c r="B127" s="49">
        <v>32</v>
      </c>
      <c r="C127" s="37" t="s">
        <v>385</v>
      </c>
      <c r="D127" s="70" t="s">
        <v>386</v>
      </c>
      <c r="E127" s="70" t="s">
        <v>387</v>
      </c>
      <c r="F127" s="71" t="s">
        <v>319</v>
      </c>
      <c r="G127" s="72">
        <v>100</v>
      </c>
      <c r="H127" s="72" t="s">
        <v>61</v>
      </c>
      <c r="I127" s="73"/>
      <c r="J127" s="73"/>
      <c r="K127" s="73"/>
      <c r="L127" s="73"/>
      <c r="M127" s="73">
        <v>49</v>
      </c>
      <c r="N127" s="73">
        <v>1</v>
      </c>
      <c r="O127" s="73">
        <v>50</v>
      </c>
      <c r="P127" s="73"/>
      <c r="Q127" s="46">
        <f t="shared" si="9"/>
        <v>99</v>
      </c>
      <c r="R127" s="29">
        <f t="shared" si="14"/>
        <v>1</v>
      </c>
      <c r="S127" s="29">
        <f t="shared" si="13"/>
        <v>0</v>
      </c>
      <c r="T127" s="29">
        <f t="shared" si="10"/>
        <v>2</v>
      </c>
      <c r="U127" s="40">
        <f t="shared" si="11"/>
        <v>-1</v>
      </c>
      <c r="V127" s="29">
        <f t="shared" si="12"/>
        <v>-1</v>
      </c>
      <c r="W127" s="32"/>
    </row>
    <row r="128" spans="1:23" ht="13.5" customHeight="1" thickBot="1" x14ac:dyDescent="0.3">
      <c r="A128" s="116"/>
      <c r="B128" s="49">
        <v>33</v>
      </c>
      <c r="C128" s="37" t="s">
        <v>388</v>
      </c>
      <c r="D128" s="70" t="s">
        <v>389</v>
      </c>
      <c r="E128" s="70" t="s">
        <v>390</v>
      </c>
      <c r="F128" s="71" t="s">
        <v>299</v>
      </c>
      <c r="G128" s="72">
        <v>84</v>
      </c>
      <c r="H128" s="72" t="s">
        <v>34</v>
      </c>
      <c r="I128" s="73"/>
      <c r="J128" s="73"/>
      <c r="K128" s="73">
        <v>30</v>
      </c>
      <c r="L128" s="73"/>
      <c r="M128" s="73">
        <v>25</v>
      </c>
      <c r="N128" s="73"/>
      <c r="O128" s="73">
        <v>25</v>
      </c>
      <c r="P128" s="73">
        <v>3</v>
      </c>
      <c r="Q128" s="46">
        <f t="shared" si="9"/>
        <v>80</v>
      </c>
      <c r="R128" s="29">
        <f t="shared" si="14"/>
        <v>3</v>
      </c>
      <c r="S128" s="29">
        <f t="shared" si="13"/>
        <v>0</v>
      </c>
      <c r="T128" s="29">
        <f t="shared" si="10"/>
        <v>2</v>
      </c>
      <c r="U128" s="40">
        <f t="shared" si="11"/>
        <v>2</v>
      </c>
      <c r="V128" s="29">
        <f t="shared" si="12"/>
        <v>0</v>
      </c>
      <c r="W128" s="32"/>
    </row>
    <row r="129" spans="1:23" ht="13.5" customHeight="1" thickBot="1" x14ac:dyDescent="0.3">
      <c r="A129" s="116"/>
      <c r="B129" s="49">
        <v>34</v>
      </c>
      <c r="C129" s="37" t="s">
        <v>391</v>
      </c>
      <c r="D129" s="70" t="s">
        <v>392</v>
      </c>
      <c r="E129" s="70" t="s">
        <v>393</v>
      </c>
      <c r="F129" s="71" t="s">
        <v>237</v>
      </c>
      <c r="G129" s="72">
        <v>80</v>
      </c>
      <c r="H129" s="72" t="s">
        <v>61</v>
      </c>
      <c r="I129" s="73"/>
      <c r="J129" s="73"/>
      <c r="K129" s="73"/>
      <c r="L129" s="73"/>
      <c r="M129" s="73">
        <v>40</v>
      </c>
      <c r="N129" s="73"/>
      <c r="O129" s="73">
        <v>40</v>
      </c>
      <c r="P129" s="73"/>
      <c r="Q129" s="46">
        <f t="shared" si="9"/>
        <v>80</v>
      </c>
      <c r="R129" s="29">
        <f t="shared" si="14"/>
        <v>0</v>
      </c>
      <c r="S129" s="29">
        <f t="shared" si="13"/>
        <v>0</v>
      </c>
      <c r="T129" s="29">
        <f t="shared" si="10"/>
        <v>0</v>
      </c>
      <c r="U129" s="40">
        <f t="shared" si="11"/>
        <v>0</v>
      </c>
      <c r="V129" s="29">
        <f t="shared" si="12"/>
        <v>0</v>
      </c>
      <c r="W129" s="32"/>
    </row>
    <row r="130" spans="1:23" ht="13.5" customHeight="1" thickBot="1" x14ac:dyDescent="0.3">
      <c r="A130" s="116"/>
      <c r="B130" s="49">
        <v>35</v>
      </c>
      <c r="C130" s="37" t="s">
        <v>394</v>
      </c>
      <c r="D130" s="70" t="s">
        <v>394</v>
      </c>
      <c r="E130" s="70" t="s">
        <v>395</v>
      </c>
      <c r="F130" s="71" t="s">
        <v>327</v>
      </c>
      <c r="G130" s="72">
        <v>210</v>
      </c>
      <c r="H130" s="72" t="s">
        <v>61</v>
      </c>
      <c r="I130" s="73"/>
      <c r="J130" s="73"/>
      <c r="K130" s="73"/>
      <c r="L130" s="73"/>
      <c r="M130" s="73">
        <v>98</v>
      </c>
      <c r="N130" s="73"/>
      <c r="O130" s="73">
        <v>112</v>
      </c>
      <c r="P130" s="73"/>
      <c r="Q130" s="46">
        <f t="shared" si="9"/>
        <v>210</v>
      </c>
      <c r="R130" s="29">
        <f t="shared" si="14"/>
        <v>0</v>
      </c>
      <c r="S130" s="29">
        <f t="shared" si="13"/>
        <v>0</v>
      </c>
      <c r="T130" s="29">
        <f t="shared" si="10"/>
        <v>0</v>
      </c>
      <c r="U130" s="40">
        <f t="shared" si="11"/>
        <v>0</v>
      </c>
      <c r="V130" s="29">
        <f t="shared" si="12"/>
        <v>0</v>
      </c>
      <c r="W130" s="32"/>
    </row>
    <row r="131" spans="1:23" ht="13.5" customHeight="1" x14ac:dyDescent="0.25">
      <c r="A131" s="116"/>
      <c r="B131" s="49">
        <v>36</v>
      </c>
      <c r="C131" s="37" t="s">
        <v>396</v>
      </c>
      <c r="D131" s="73" t="s">
        <v>373</v>
      </c>
      <c r="E131" s="70" t="s">
        <v>397</v>
      </c>
      <c r="F131" s="71" t="s">
        <v>308</v>
      </c>
      <c r="G131" s="72">
        <v>188</v>
      </c>
      <c r="H131" s="72" t="s">
        <v>34</v>
      </c>
      <c r="I131" s="73"/>
      <c r="J131" s="73"/>
      <c r="K131" s="73">
        <v>59</v>
      </c>
      <c r="L131" s="73">
        <v>1</v>
      </c>
      <c r="M131" s="73">
        <v>75</v>
      </c>
      <c r="N131" s="73"/>
      <c r="O131" s="73">
        <v>53</v>
      </c>
      <c r="P131" s="73"/>
      <c r="Q131" s="46">
        <f t="shared" si="9"/>
        <v>187</v>
      </c>
      <c r="R131" s="29">
        <f t="shared" si="14"/>
        <v>1</v>
      </c>
      <c r="S131" s="29">
        <f t="shared" si="13"/>
        <v>2</v>
      </c>
      <c r="T131" s="29">
        <f t="shared" si="10"/>
        <v>0</v>
      </c>
      <c r="U131" s="40">
        <f t="shared" si="11"/>
        <v>-1</v>
      </c>
      <c r="V131" s="29">
        <f t="shared" si="12"/>
        <v>-1</v>
      </c>
      <c r="W131" s="32"/>
    </row>
    <row r="132" spans="1:23" ht="13.5" customHeight="1" x14ac:dyDescent="0.25">
      <c r="A132" s="116"/>
      <c r="B132" s="49">
        <v>37</v>
      </c>
      <c r="C132" s="37" t="s">
        <v>398</v>
      </c>
      <c r="D132" s="36" t="s">
        <v>297</v>
      </c>
      <c r="E132" s="70" t="s">
        <v>399</v>
      </c>
      <c r="F132" s="71" t="s">
        <v>400</v>
      </c>
      <c r="G132" s="72">
        <v>228</v>
      </c>
      <c r="H132" s="72" t="s">
        <v>61</v>
      </c>
      <c r="I132" s="73"/>
      <c r="J132" s="73"/>
      <c r="K132" s="73"/>
      <c r="L132" s="73"/>
      <c r="M132" s="73">
        <v>70</v>
      </c>
      <c r="N132" s="73"/>
      <c r="O132" s="73">
        <v>45</v>
      </c>
      <c r="P132" s="73"/>
      <c r="Q132" s="46">
        <f t="shared" si="9"/>
        <v>115</v>
      </c>
      <c r="R132" s="29">
        <f t="shared" si="14"/>
        <v>0</v>
      </c>
      <c r="S132" s="29">
        <f t="shared" si="13"/>
        <v>0</v>
      </c>
      <c r="T132" s="29">
        <f t="shared" si="10"/>
        <v>0</v>
      </c>
      <c r="U132" s="40">
        <f t="shared" si="11"/>
        <v>113</v>
      </c>
      <c r="V132" s="29">
        <f t="shared" si="12"/>
        <v>0</v>
      </c>
      <c r="W132" s="32" t="s">
        <v>401</v>
      </c>
    </row>
    <row r="133" spans="1:23" ht="13.5" customHeight="1" x14ac:dyDescent="0.25">
      <c r="A133" s="116"/>
      <c r="B133" s="49">
        <v>38</v>
      </c>
      <c r="C133" s="37" t="s">
        <v>402</v>
      </c>
      <c r="D133" s="36" t="s">
        <v>297</v>
      </c>
      <c r="E133" s="70" t="s">
        <v>403</v>
      </c>
      <c r="F133" s="71" t="s">
        <v>315</v>
      </c>
      <c r="G133" s="72">
        <v>412</v>
      </c>
      <c r="H133" s="72" t="s">
        <v>157</v>
      </c>
      <c r="I133" s="73"/>
      <c r="J133" s="73"/>
      <c r="K133" s="73"/>
      <c r="L133" s="73"/>
      <c r="M133" s="73">
        <v>51</v>
      </c>
      <c r="N133" s="73">
        <v>1</v>
      </c>
      <c r="O133" s="73">
        <v>11</v>
      </c>
      <c r="P133" s="73"/>
      <c r="Q133" s="46">
        <f t="shared" ref="Q133:Q195" si="15">SUM(I133,K133,M133,O133)</f>
        <v>62</v>
      </c>
      <c r="R133" s="29">
        <f t="shared" si="14"/>
        <v>1</v>
      </c>
      <c r="S133" s="29">
        <f t="shared" si="13"/>
        <v>0</v>
      </c>
      <c r="T133" s="29">
        <f t="shared" ref="T133:T195" si="16">IF((N133+P133)&gt;=1,2,0)</f>
        <v>2</v>
      </c>
      <c r="U133" s="40">
        <f t="shared" ref="U133:U195" si="17">SUM(G133-Q133-((S133*1)+(T133*1)))</f>
        <v>348</v>
      </c>
      <c r="V133" s="29">
        <f t="shared" si="12"/>
        <v>0</v>
      </c>
      <c r="W133" s="32" t="s">
        <v>404</v>
      </c>
    </row>
    <row r="134" spans="1:23" ht="13.5" customHeight="1" x14ac:dyDescent="0.25">
      <c r="A134" s="116"/>
      <c r="B134" s="49">
        <v>39</v>
      </c>
      <c r="C134" s="37" t="s">
        <v>405</v>
      </c>
      <c r="D134" s="36" t="s">
        <v>297</v>
      </c>
      <c r="E134" s="70" t="s">
        <v>406</v>
      </c>
      <c r="F134" s="71" t="s">
        <v>407</v>
      </c>
      <c r="G134" s="72">
        <v>132</v>
      </c>
      <c r="H134" s="72" t="s">
        <v>408</v>
      </c>
      <c r="I134" s="73"/>
      <c r="J134" s="73"/>
      <c r="K134" s="73"/>
      <c r="L134" s="73"/>
      <c r="M134" s="73">
        <v>26</v>
      </c>
      <c r="N134" s="73"/>
      <c r="O134" s="73">
        <v>10</v>
      </c>
      <c r="P134" s="73"/>
      <c r="Q134" s="46">
        <f t="shared" si="15"/>
        <v>36</v>
      </c>
      <c r="R134" s="29">
        <f t="shared" si="14"/>
        <v>0</v>
      </c>
      <c r="S134" s="29">
        <f t="shared" si="13"/>
        <v>0</v>
      </c>
      <c r="T134" s="29">
        <f t="shared" si="16"/>
        <v>0</v>
      </c>
      <c r="U134" s="40">
        <f t="shared" si="17"/>
        <v>96</v>
      </c>
      <c r="V134" s="29">
        <f t="shared" si="12"/>
        <v>0</v>
      </c>
      <c r="W134" s="32" t="s">
        <v>409</v>
      </c>
    </row>
    <row r="135" spans="1:23" ht="13.5" customHeight="1" x14ac:dyDescent="0.25">
      <c r="A135" s="117"/>
      <c r="B135" s="50">
        <v>40</v>
      </c>
      <c r="C135" s="84" t="s">
        <v>410</v>
      </c>
      <c r="D135" s="76" t="s">
        <v>410</v>
      </c>
      <c r="E135" s="76" t="s">
        <v>411</v>
      </c>
      <c r="F135" s="77" t="s">
        <v>327</v>
      </c>
      <c r="G135" s="78">
        <v>37</v>
      </c>
      <c r="H135" s="78" t="s">
        <v>412</v>
      </c>
      <c r="I135" s="79"/>
      <c r="J135" s="79"/>
      <c r="K135" s="79">
        <v>13</v>
      </c>
      <c r="L135" s="79"/>
      <c r="M135" s="79">
        <v>14</v>
      </c>
      <c r="N135" s="79"/>
      <c r="O135" s="79">
        <v>8</v>
      </c>
      <c r="P135" s="79">
        <v>1</v>
      </c>
      <c r="Q135" s="47">
        <f t="shared" si="15"/>
        <v>35</v>
      </c>
      <c r="R135" s="33">
        <f t="shared" si="14"/>
        <v>1</v>
      </c>
      <c r="S135" s="33">
        <f t="shared" si="13"/>
        <v>0</v>
      </c>
      <c r="T135" s="33">
        <f t="shared" si="16"/>
        <v>2</v>
      </c>
      <c r="U135" s="40">
        <f t="shared" si="17"/>
        <v>0</v>
      </c>
      <c r="V135" s="33">
        <f t="shared" si="12"/>
        <v>0</v>
      </c>
      <c r="W135" s="34" t="s">
        <v>413</v>
      </c>
    </row>
    <row r="136" spans="1:23" ht="13.5" customHeight="1" x14ac:dyDescent="0.25">
      <c r="A136" s="3"/>
      <c r="B136" s="3"/>
      <c r="Q136" s="4"/>
      <c r="R136" s="4"/>
      <c r="S136" s="4"/>
      <c r="T136" s="4"/>
      <c r="U136" s="30"/>
      <c r="V136" s="1"/>
      <c r="W136" s="2"/>
    </row>
    <row r="137" spans="1:23" ht="13.5" customHeight="1" thickBot="1" x14ac:dyDescent="0.3">
      <c r="A137" s="115" t="s">
        <v>414</v>
      </c>
      <c r="B137" s="80">
        <v>1</v>
      </c>
      <c r="C137" s="81" t="s">
        <v>415</v>
      </c>
      <c r="D137" s="64" t="s">
        <v>416</v>
      </c>
      <c r="E137" s="64" t="s">
        <v>417</v>
      </c>
      <c r="F137" s="65" t="s">
        <v>418</v>
      </c>
      <c r="G137" s="66">
        <v>115</v>
      </c>
      <c r="H137" s="66" t="s">
        <v>56</v>
      </c>
      <c r="I137" s="67">
        <v>7</v>
      </c>
      <c r="J137" s="67"/>
      <c r="K137" s="67">
        <v>28</v>
      </c>
      <c r="L137" s="67"/>
      <c r="M137" s="67">
        <v>40</v>
      </c>
      <c r="N137" s="67">
        <v>4</v>
      </c>
      <c r="O137" s="67">
        <v>38</v>
      </c>
      <c r="P137" s="67">
        <v>1</v>
      </c>
      <c r="Q137" s="45">
        <f t="shared" si="15"/>
        <v>113</v>
      </c>
      <c r="R137" s="30">
        <f t="shared" si="14"/>
        <v>5</v>
      </c>
      <c r="S137" s="30">
        <f t="shared" ref="S137:S199" si="18">IF((J137+L137)&gt;=1,2,0)</f>
        <v>0</v>
      </c>
      <c r="T137" s="30">
        <f t="shared" si="16"/>
        <v>2</v>
      </c>
      <c r="U137" s="40">
        <f t="shared" si="17"/>
        <v>0</v>
      </c>
      <c r="V137" s="30">
        <f t="shared" si="12"/>
        <v>0</v>
      </c>
      <c r="W137" s="31"/>
    </row>
    <row r="138" spans="1:23" ht="13.5" customHeight="1" thickBot="1" x14ac:dyDescent="0.3">
      <c r="A138" s="116"/>
      <c r="B138" s="82">
        <v>2</v>
      </c>
      <c r="C138" s="37" t="s">
        <v>419</v>
      </c>
      <c r="D138" s="73" t="s">
        <v>297</v>
      </c>
      <c r="E138" s="70" t="s">
        <v>420</v>
      </c>
      <c r="F138" s="71" t="s">
        <v>421</v>
      </c>
      <c r="G138" s="72">
        <v>135</v>
      </c>
      <c r="H138" s="72" t="s">
        <v>61</v>
      </c>
      <c r="I138" s="73"/>
      <c r="J138" s="73"/>
      <c r="K138" s="73"/>
      <c r="L138" s="73"/>
      <c r="M138" s="73">
        <v>72</v>
      </c>
      <c r="N138" s="73">
        <v>1</v>
      </c>
      <c r="O138" s="73">
        <v>65</v>
      </c>
      <c r="P138" s="73"/>
      <c r="Q138" s="46">
        <f t="shared" si="15"/>
        <v>137</v>
      </c>
      <c r="R138" s="29">
        <f t="shared" si="14"/>
        <v>1</v>
      </c>
      <c r="S138" s="29">
        <f t="shared" si="18"/>
        <v>0</v>
      </c>
      <c r="T138" s="29">
        <f t="shared" si="16"/>
        <v>2</v>
      </c>
      <c r="U138" s="40">
        <f t="shared" si="17"/>
        <v>-4</v>
      </c>
      <c r="V138" s="29">
        <f t="shared" ref="V138:V205" si="19">IF(U138&lt;0,U138,0)</f>
        <v>-4</v>
      </c>
      <c r="W138" s="32"/>
    </row>
    <row r="139" spans="1:23" ht="13.5" customHeight="1" thickBot="1" x14ac:dyDescent="0.3">
      <c r="A139" s="116"/>
      <c r="B139" s="82">
        <v>3</v>
      </c>
      <c r="C139" s="37" t="s">
        <v>422</v>
      </c>
      <c r="D139" s="73" t="s">
        <v>422</v>
      </c>
      <c r="E139" s="70" t="s">
        <v>423</v>
      </c>
      <c r="F139" s="71" t="s">
        <v>421</v>
      </c>
      <c r="G139" s="72">
        <v>229</v>
      </c>
      <c r="H139" s="72" t="s">
        <v>34</v>
      </c>
      <c r="I139" s="73"/>
      <c r="J139" s="73"/>
      <c r="K139" s="73">
        <v>75</v>
      </c>
      <c r="L139" s="73"/>
      <c r="M139" s="73">
        <v>77</v>
      </c>
      <c r="N139" s="73"/>
      <c r="O139" s="73">
        <v>77</v>
      </c>
      <c r="P139" s="73"/>
      <c r="Q139" s="46">
        <f t="shared" si="15"/>
        <v>229</v>
      </c>
      <c r="R139" s="29">
        <f t="shared" ref="R139:R200" si="20">SUM(J139,L139,N139,P139)</f>
        <v>0</v>
      </c>
      <c r="S139" s="29">
        <f t="shared" si="18"/>
        <v>0</v>
      </c>
      <c r="T139" s="29">
        <f t="shared" si="16"/>
        <v>0</v>
      </c>
      <c r="U139" s="40">
        <f t="shared" si="17"/>
        <v>0</v>
      </c>
      <c r="V139" s="29">
        <f t="shared" si="19"/>
        <v>0</v>
      </c>
      <c r="W139" s="32"/>
    </row>
    <row r="140" spans="1:23" ht="13.5" customHeight="1" x14ac:dyDescent="0.25">
      <c r="A140" s="116"/>
      <c r="B140" s="82">
        <v>4</v>
      </c>
      <c r="C140" s="37" t="s">
        <v>424</v>
      </c>
      <c r="D140" s="73" t="s">
        <v>424</v>
      </c>
      <c r="E140" s="70" t="s">
        <v>425</v>
      </c>
      <c r="F140" s="71" t="s">
        <v>426</v>
      </c>
      <c r="G140" s="72">
        <v>152</v>
      </c>
      <c r="H140" s="72"/>
      <c r="I140" s="73"/>
      <c r="J140" s="73"/>
      <c r="K140" s="73">
        <v>64</v>
      </c>
      <c r="L140" s="73"/>
      <c r="M140" s="73">
        <v>70</v>
      </c>
      <c r="N140" s="73"/>
      <c r="O140" s="73">
        <v>20</v>
      </c>
      <c r="P140" s="73"/>
      <c r="Q140" s="46">
        <f t="shared" si="15"/>
        <v>154</v>
      </c>
      <c r="R140" s="29">
        <f t="shared" si="20"/>
        <v>0</v>
      </c>
      <c r="S140" s="29">
        <f t="shared" si="18"/>
        <v>0</v>
      </c>
      <c r="T140" s="29">
        <f t="shared" si="16"/>
        <v>0</v>
      </c>
      <c r="U140" s="40">
        <f t="shared" si="17"/>
        <v>-2</v>
      </c>
      <c r="V140" s="29">
        <f t="shared" si="19"/>
        <v>-2</v>
      </c>
      <c r="W140" s="32"/>
    </row>
    <row r="141" spans="1:23" ht="13.5" customHeight="1" x14ac:dyDescent="0.25">
      <c r="A141" s="116"/>
      <c r="B141" s="82">
        <v>5</v>
      </c>
      <c r="C141" s="37" t="s">
        <v>427</v>
      </c>
      <c r="D141" s="70" t="s">
        <v>95</v>
      </c>
      <c r="E141" s="70" t="s">
        <v>428</v>
      </c>
      <c r="F141" s="71" t="s">
        <v>429</v>
      </c>
      <c r="G141" s="72">
        <v>100</v>
      </c>
      <c r="H141" s="72" t="s">
        <v>61</v>
      </c>
      <c r="I141" s="73"/>
      <c r="J141" s="73"/>
      <c r="K141" s="73"/>
      <c r="L141" s="73"/>
      <c r="M141" s="73">
        <v>60</v>
      </c>
      <c r="N141" s="73"/>
      <c r="O141" s="73">
        <v>38</v>
      </c>
      <c r="P141" s="73">
        <v>1</v>
      </c>
      <c r="Q141" s="46">
        <f t="shared" si="15"/>
        <v>98</v>
      </c>
      <c r="R141" s="29">
        <f t="shared" si="20"/>
        <v>1</v>
      </c>
      <c r="S141" s="29">
        <f t="shared" si="18"/>
        <v>0</v>
      </c>
      <c r="T141" s="29">
        <f t="shared" si="16"/>
        <v>2</v>
      </c>
      <c r="U141" s="40">
        <f t="shared" si="17"/>
        <v>0</v>
      </c>
      <c r="V141" s="29">
        <f t="shared" si="19"/>
        <v>0</v>
      </c>
      <c r="W141" s="32"/>
    </row>
    <row r="142" spans="1:23" ht="13.5" customHeight="1" x14ac:dyDescent="0.25">
      <c r="A142" s="116"/>
      <c r="B142" s="82">
        <v>6</v>
      </c>
      <c r="C142" s="37" t="s">
        <v>430</v>
      </c>
      <c r="D142" s="70" t="s">
        <v>431</v>
      </c>
      <c r="E142" s="70" t="s">
        <v>432</v>
      </c>
      <c r="F142" s="71" t="s">
        <v>433</v>
      </c>
      <c r="G142" s="72">
        <v>200</v>
      </c>
      <c r="H142" s="72" t="s">
        <v>34</v>
      </c>
      <c r="I142" s="73"/>
      <c r="J142" s="73"/>
      <c r="K142" s="73">
        <v>37</v>
      </c>
      <c r="L142" s="73"/>
      <c r="M142" s="73">
        <v>81</v>
      </c>
      <c r="N142" s="73"/>
      <c r="O142" s="73">
        <v>82</v>
      </c>
      <c r="P142" s="73">
        <v>1</v>
      </c>
      <c r="Q142" s="46">
        <f t="shared" si="15"/>
        <v>200</v>
      </c>
      <c r="R142" s="29">
        <f t="shared" si="20"/>
        <v>1</v>
      </c>
      <c r="S142" s="29">
        <f t="shared" si="18"/>
        <v>0</v>
      </c>
      <c r="T142" s="29">
        <f t="shared" si="16"/>
        <v>2</v>
      </c>
      <c r="U142" s="40">
        <f t="shared" si="17"/>
        <v>-2</v>
      </c>
      <c r="V142" s="29">
        <f t="shared" si="19"/>
        <v>-2</v>
      </c>
      <c r="W142" s="32"/>
    </row>
    <row r="143" spans="1:23" ht="13.5" customHeight="1" thickBot="1" x14ac:dyDescent="0.3">
      <c r="A143" s="116"/>
      <c r="B143" s="82">
        <v>7</v>
      </c>
      <c r="C143" s="37" t="s">
        <v>434</v>
      </c>
      <c r="D143" s="70" t="s">
        <v>95</v>
      </c>
      <c r="E143" s="70" t="s">
        <v>435</v>
      </c>
      <c r="F143" s="71" t="s">
        <v>436</v>
      </c>
      <c r="G143" s="72">
        <v>65</v>
      </c>
      <c r="H143" s="72" t="s">
        <v>61</v>
      </c>
      <c r="I143" s="73"/>
      <c r="J143" s="73"/>
      <c r="K143" s="73"/>
      <c r="L143" s="73"/>
      <c r="M143" s="73">
        <v>30</v>
      </c>
      <c r="N143" s="73"/>
      <c r="O143" s="73">
        <v>35</v>
      </c>
      <c r="P143" s="73">
        <v>2</v>
      </c>
      <c r="Q143" s="46">
        <f t="shared" si="15"/>
        <v>65</v>
      </c>
      <c r="R143" s="29">
        <f t="shared" si="20"/>
        <v>2</v>
      </c>
      <c r="S143" s="29">
        <f t="shared" si="18"/>
        <v>0</v>
      </c>
      <c r="T143" s="29">
        <f t="shared" si="16"/>
        <v>2</v>
      </c>
      <c r="U143" s="40">
        <f t="shared" si="17"/>
        <v>-2</v>
      </c>
      <c r="V143" s="29">
        <f t="shared" si="19"/>
        <v>-2</v>
      </c>
      <c r="W143" s="32"/>
    </row>
    <row r="144" spans="1:23" ht="13.5" customHeight="1" thickBot="1" x14ac:dyDescent="0.3">
      <c r="A144" s="116"/>
      <c r="B144" s="82">
        <v>8</v>
      </c>
      <c r="C144" s="37" t="s">
        <v>437</v>
      </c>
      <c r="D144" s="73" t="s">
        <v>438</v>
      </c>
      <c r="E144" s="70" t="s">
        <v>439</v>
      </c>
      <c r="F144" s="71" t="s">
        <v>440</v>
      </c>
      <c r="G144" s="72">
        <v>42</v>
      </c>
      <c r="H144" s="72"/>
      <c r="I144" s="73"/>
      <c r="J144" s="73"/>
      <c r="K144" s="73"/>
      <c r="L144" s="73"/>
      <c r="M144" s="73">
        <v>21</v>
      </c>
      <c r="N144" s="73"/>
      <c r="O144" s="73">
        <v>21</v>
      </c>
      <c r="P144" s="73"/>
      <c r="Q144" s="46">
        <f t="shared" si="15"/>
        <v>42</v>
      </c>
      <c r="R144" s="29">
        <f t="shared" si="20"/>
        <v>0</v>
      </c>
      <c r="S144" s="29">
        <f t="shared" si="18"/>
        <v>0</v>
      </c>
      <c r="T144" s="29">
        <f t="shared" si="16"/>
        <v>0</v>
      </c>
      <c r="U144" s="40">
        <f t="shared" si="17"/>
        <v>0</v>
      </c>
      <c r="V144" s="29">
        <f t="shared" si="19"/>
        <v>0</v>
      </c>
      <c r="W144" s="32"/>
    </row>
    <row r="145" spans="1:23" ht="13.5" customHeight="1" thickBot="1" x14ac:dyDescent="0.3">
      <c r="A145" s="116"/>
      <c r="B145" s="82">
        <v>9</v>
      </c>
      <c r="C145" s="37" t="s">
        <v>441</v>
      </c>
      <c r="D145" s="70" t="s">
        <v>442</v>
      </c>
      <c r="E145" s="70" t="s">
        <v>443</v>
      </c>
      <c r="F145" s="71" t="s">
        <v>421</v>
      </c>
      <c r="G145" s="72">
        <v>56</v>
      </c>
      <c r="H145" s="72" t="s">
        <v>61</v>
      </c>
      <c r="I145" s="73"/>
      <c r="J145" s="73"/>
      <c r="K145" s="73"/>
      <c r="L145" s="73"/>
      <c r="M145" s="73">
        <v>20</v>
      </c>
      <c r="N145" s="73">
        <v>1</v>
      </c>
      <c r="O145" s="73">
        <v>36</v>
      </c>
      <c r="P145" s="73">
        <v>1</v>
      </c>
      <c r="Q145" s="46">
        <f t="shared" si="15"/>
        <v>56</v>
      </c>
      <c r="R145" s="29">
        <f t="shared" si="20"/>
        <v>2</v>
      </c>
      <c r="S145" s="29">
        <f t="shared" si="18"/>
        <v>0</v>
      </c>
      <c r="T145" s="29">
        <f t="shared" si="16"/>
        <v>2</v>
      </c>
      <c r="U145" s="40">
        <f t="shared" si="17"/>
        <v>-2</v>
      </c>
      <c r="V145" s="29">
        <f t="shared" si="19"/>
        <v>-2</v>
      </c>
      <c r="W145" s="32"/>
    </row>
    <row r="146" spans="1:23" ht="13.5" customHeight="1" thickBot="1" x14ac:dyDescent="0.3">
      <c r="A146" s="116"/>
      <c r="B146" s="82">
        <v>10</v>
      </c>
      <c r="C146" s="37" t="s">
        <v>444</v>
      </c>
      <c r="D146" s="70" t="s">
        <v>445</v>
      </c>
      <c r="E146" s="70" t="s">
        <v>446</v>
      </c>
      <c r="F146" s="71" t="s">
        <v>447</v>
      </c>
      <c r="G146" s="72">
        <v>47</v>
      </c>
      <c r="H146" s="72" t="s">
        <v>412</v>
      </c>
      <c r="I146" s="73"/>
      <c r="J146" s="73"/>
      <c r="K146" s="73"/>
      <c r="L146" s="73"/>
      <c r="M146" s="73">
        <v>23</v>
      </c>
      <c r="N146" s="73">
        <v>1</v>
      </c>
      <c r="O146" s="73">
        <v>23</v>
      </c>
      <c r="P146" s="73"/>
      <c r="Q146" s="46">
        <f t="shared" si="15"/>
        <v>46</v>
      </c>
      <c r="R146" s="29">
        <f t="shared" si="20"/>
        <v>1</v>
      </c>
      <c r="S146" s="29">
        <f t="shared" si="18"/>
        <v>0</v>
      </c>
      <c r="T146" s="29">
        <f t="shared" si="16"/>
        <v>2</v>
      </c>
      <c r="U146" s="40">
        <f t="shared" si="17"/>
        <v>-1</v>
      </c>
      <c r="V146" s="29">
        <f t="shared" ref="V146:V147" si="21">IF(U146&lt;0,U146,0)</f>
        <v>-1</v>
      </c>
      <c r="W146" s="32"/>
    </row>
    <row r="147" spans="1:23" ht="13.5" customHeight="1" x14ac:dyDescent="0.25">
      <c r="A147" s="116"/>
      <c r="B147" s="82">
        <v>11</v>
      </c>
      <c r="C147" s="37" t="s">
        <v>448</v>
      </c>
      <c r="D147" s="73" t="s">
        <v>449</v>
      </c>
      <c r="E147" s="70" t="s">
        <v>450</v>
      </c>
      <c r="F147" s="71" t="s">
        <v>433</v>
      </c>
      <c r="G147" s="72">
        <v>48</v>
      </c>
      <c r="H147" s="72"/>
      <c r="I147" s="73"/>
      <c r="J147" s="73"/>
      <c r="K147" s="73"/>
      <c r="L147" s="73"/>
      <c r="M147" s="73">
        <v>24</v>
      </c>
      <c r="N147" s="73"/>
      <c r="O147" s="73">
        <v>24</v>
      </c>
      <c r="P147" s="73"/>
      <c r="Q147" s="46">
        <f t="shared" si="15"/>
        <v>48</v>
      </c>
      <c r="R147" s="29">
        <f t="shared" si="20"/>
        <v>0</v>
      </c>
      <c r="S147" s="29">
        <f t="shared" si="18"/>
        <v>0</v>
      </c>
      <c r="T147" s="29">
        <f t="shared" si="16"/>
        <v>0</v>
      </c>
      <c r="U147" s="40">
        <f t="shared" si="17"/>
        <v>0</v>
      </c>
      <c r="V147" s="29">
        <f t="shared" si="21"/>
        <v>0</v>
      </c>
      <c r="W147" s="32"/>
    </row>
    <row r="148" spans="1:23" ht="13.5" customHeight="1" x14ac:dyDescent="0.25">
      <c r="A148" s="117"/>
      <c r="B148" s="83">
        <v>12</v>
      </c>
      <c r="C148" s="84" t="s">
        <v>451</v>
      </c>
      <c r="D148" s="86" t="s">
        <v>297</v>
      </c>
      <c r="E148" s="79" t="s">
        <v>452</v>
      </c>
      <c r="F148" s="76" t="s">
        <v>319</v>
      </c>
      <c r="G148" s="78">
        <v>269</v>
      </c>
      <c r="H148" s="78" t="s">
        <v>61</v>
      </c>
      <c r="I148" s="79"/>
      <c r="J148" s="79"/>
      <c r="K148" s="79"/>
      <c r="L148" s="79"/>
      <c r="M148" s="79">
        <v>67</v>
      </c>
      <c r="N148" s="79"/>
      <c r="O148" s="79">
        <v>21</v>
      </c>
      <c r="P148" s="79">
        <v>1</v>
      </c>
      <c r="Q148" s="47">
        <f t="shared" si="15"/>
        <v>88</v>
      </c>
      <c r="R148" s="33">
        <f t="shared" si="20"/>
        <v>1</v>
      </c>
      <c r="S148" s="33">
        <f t="shared" si="18"/>
        <v>0</v>
      </c>
      <c r="T148" s="33">
        <f t="shared" si="16"/>
        <v>2</v>
      </c>
      <c r="U148" s="40">
        <f t="shared" si="17"/>
        <v>179</v>
      </c>
      <c r="V148" s="33">
        <f t="shared" si="19"/>
        <v>0</v>
      </c>
      <c r="W148" s="34" t="s">
        <v>453</v>
      </c>
    </row>
    <row r="149" spans="1:23" ht="13.5" customHeight="1" x14ac:dyDescent="0.25">
      <c r="A149" s="3"/>
      <c r="B149" s="3"/>
      <c r="Q149" s="4"/>
      <c r="R149" s="4"/>
      <c r="S149" s="4"/>
      <c r="T149" s="4"/>
      <c r="U149" s="30"/>
      <c r="V149" s="1"/>
      <c r="W149" s="2"/>
    </row>
    <row r="150" spans="1:23" ht="13.5" customHeight="1" thickBot="1" x14ac:dyDescent="0.3">
      <c r="A150" s="115" t="s">
        <v>454</v>
      </c>
      <c r="B150" s="80">
        <v>1</v>
      </c>
      <c r="C150" s="81" t="s">
        <v>455</v>
      </c>
      <c r="D150" s="64" t="s">
        <v>422</v>
      </c>
      <c r="E150" s="64" t="s">
        <v>456</v>
      </c>
      <c r="F150" s="65" t="s">
        <v>457</v>
      </c>
      <c r="G150" s="66">
        <v>218</v>
      </c>
      <c r="H150" s="66"/>
      <c r="I150" s="67"/>
      <c r="J150" s="67"/>
      <c r="K150" s="67">
        <v>72</v>
      </c>
      <c r="L150" s="67"/>
      <c r="M150" s="67">
        <v>72</v>
      </c>
      <c r="N150" s="67"/>
      <c r="O150" s="67">
        <v>43</v>
      </c>
      <c r="P150" s="67"/>
      <c r="Q150" s="45">
        <f t="shared" si="15"/>
        <v>187</v>
      </c>
      <c r="R150" s="30">
        <f t="shared" si="20"/>
        <v>0</v>
      </c>
      <c r="S150" s="30">
        <f t="shared" si="18"/>
        <v>0</v>
      </c>
      <c r="T150" s="30">
        <f t="shared" si="16"/>
        <v>0</v>
      </c>
      <c r="U150" s="40">
        <f t="shared" si="17"/>
        <v>31</v>
      </c>
      <c r="V150" s="30">
        <f t="shared" si="19"/>
        <v>0</v>
      </c>
      <c r="W150" s="31"/>
    </row>
    <row r="151" spans="1:23" ht="13.5" customHeight="1" thickBot="1" x14ac:dyDescent="0.3">
      <c r="A151" s="116"/>
      <c r="B151" s="82">
        <v>2</v>
      </c>
      <c r="C151" s="37" t="s">
        <v>458</v>
      </c>
      <c r="D151" s="73" t="s">
        <v>458</v>
      </c>
      <c r="E151" s="70" t="s">
        <v>459</v>
      </c>
      <c r="F151" s="71" t="s">
        <v>460</v>
      </c>
      <c r="G151" s="72">
        <v>112</v>
      </c>
      <c r="H151" s="72"/>
      <c r="I151" s="73"/>
      <c r="J151" s="73"/>
      <c r="K151" s="73">
        <v>25</v>
      </c>
      <c r="L151" s="73"/>
      <c r="M151" s="73">
        <v>45</v>
      </c>
      <c r="N151" s="73"/>
      <c r="O151" s="73">
        <v>40</v>
      </c>
      <c r="P151" s="73">
        <v>1</v>
      </c>
      <c r="Q151" s="46">
        <f t="shared" si="15"/>
        <v>110</v>
      </c>
      <c r="R151" s="29">
        <f t="shared" si="20"/>
        <v>1</v>
      </c>
      <c r="S151" s="29">
        <f t="shared" si="18"/>
        <v>0</v>
      </c>
      <c r="T151" s="29">
        <f t="shared" si="16"/>
        <v>2</v>
      </c>
      <c r="U151" s="40">
        <f t="shared" si="17"/>
        <v>0</v>
      </c>
      <c r="V151" s="29">
        <f t="shared" si="19"/>
        <v>0</v>
      </c>
      <c r="W151" s="32"/>
    </row>
    <row r="152" spans="1:23" ht="13.5" customHeight="1" thickBot="1" x14ac:dyDescent="0.3">
      <c r="A152" s="116"/>
      <c r="B152" s="82">
        <v>3</v>
      </c>
      <c r="C152" s="37" t="s">
        <v>461</v>
      </c>
      <c r="D152" s="70" t="s">
        <v>461</v>
      </c>
      <c r="E152" s="70" t="s">
        <v>462</v>
      </c>
      <c r="F152" s="71" t="s">
        <v>463</v>
      </c>
      <c r="G152" s="72">
        <v>74</v>
      </c>
      <c r="H152" s="72" t="s">
        <v>56</v>
      </c>
      <c r="I152" s="73"/>
      <c r="J152" s="73"/>
      <c r="K152" s="73"/>
      <c r="L152" s="73"/>
      <c r="M152" s="73">
        <v>26</v>
      </c>
      <c r="N152" s="73"/>
      <c r="O152" s="73">
        <v>48</v>
      </c>
      <c r="P152" s="73">
        <v>1</v>
      </c>
      <c r="Q152" s="46">
        <f t="shared" si="15"/>
        <v>74</v>
      </c>
      <c r="R152" s="29"/>
      <c r="S152" s="29">
        <f t="shared" si="18"/>
        <v>0</v>
      </c>
      <c r="T152" s="29">
        <f t="shared" si="16"/>
        <v>2</v>
      </c>
      <c r="U152" s="40">
        <f t="shared" si="17"/>
        <v>-2</v>
      </c>
      <c r="V152" s="29">
        <f t="shared" si="19"/>
        <v>-2</v>
      </c>
      <c r="W152" s="32"/>
    </row>
    <row r="153" spans="1:23" ht="13.5" customHeight="1" thickBot="1" x14ac:dyDescent="0.3">
      <c r="A153" s="116"/>
      <c r="B153" s="82">
        <v>4</v>
      </c>
      <c r="C153" s="37" t="s">
        <v>464</v>
      </c>
      <c r="D153" s="70" t="s">
        <v>465</v>
      </c>
      <c r="E153" s="70" t="s">
        <v>466</v>
      </c>
      <c r="F153" s="71" t="s">
        <v>467</v>
      </c>
      <c r="G153" s="72">
        <v>272</v>
      </c>
      <c r="H153" s="72" t="s">
        <v>61</v>
      </c>
      <c r="I153" s="73"/>
      <c r="J153" s="73"/>
      <c r="K153" s="73"/>
      <c r="L153" s="73"/>
      <c r="M153" s="73">
        <v>146</v>
      </c>
      <c r="N153" s="73"/>
      <c r="O153" s="73">
        <v>123</v>
      </c>
      <c r="P153" s="73">
        <v>1</v>
      </c>
      <c r="Q153" s="46">
        <f t="shared" si="15"/>
        <v>269</v>
      </c>
      <c r="R153" s="29">
        <f t="shared" si="20"/>
        <v>1</v>
      </c>
      <c r="S153" s="29">
        <f t="shared" si="18"/>
        <v>0</v>
      </c>
      <c r="T153" s="29">
        <f t="shared" si="16"/>
        <v>2</v>
      </c>
      <c r="U153" s="40">
        <f t="shared" si="17"/>
        <v>1</v>
      </c>
      <c r="V153" s="29">
        <f t="shared" si="19"/>
        <v>0</v>
      </c>
      <c r="W153" s="32"/>
    </row>
    <row r="154" spans="1:23" ht="13.5" customHeight="1" thickBot="1" x14ac:dyDescent="0.3">
      <c r="A154" s="116"/>
      <c r="B154" s="82">
        <v>5</v>
      </c>
      <c r="C154" s="37" t="s">
        <v>468</v>
      </c>
      <c r="D154" s="70" t="s">
        <v>469</v>
      </c>
      <c r="E154" s="70" t="s">
        <v>470</v>
      </c>
      <c r="F154" s="71" t="s">
        <v>463</v>
      </c>
      <c r="G154" s="72">
        <v>120</v>
      </c>
      <c r="H154" s="72" t="s">
        <v>56</v>
      </c>
      <c r="I154" s="73"/>
      <c r="J154" s="73"/>
      <c r="K154" s="73"/>
      <c r="L154" s="73"/>
      <c r="M154" s="73">
        <v>48</v>
      </c>
      <c r="N154" s="73"/>
      <c r="O154" s="73">
        <v>72</v>
      </c>
      <c r="P154" s="73"/>
      <c r="Q154" s="46">
        <f t="shared" si="15"/>
        <v>120</v>
      </c>
      <c r="R154" s="29">
        <f t="shared" si="20"/>
        <v>0</v>
      </c>
      <c r="S154" s="29">
        <f t="shared" si="18"/>
        <v>0</v>
      </c>
      <c r="T154" s="29">
        <f t="shared" si="16"/>
        <v>0</v>
      </c>
      <c r="U154" s="40">
        <f t="shared" si="17"/>
        <v>0</v>
      </c>
      <c r="V154" s="29">
        <f t="shared" si="19"/>
        <v>0</v>
      </c>
      <c r="W154" s="32"/>
    </row>
    <row r="155" spans="1:23" ht="13.5" customHeight="1" thickBot="1" x14ac:dyDescent="0.3">
      <c r="A155" s="116"/>
      <c r="B155" s="82">
        <v>6</v>
      </c>
      <c r="C155" s="37" t="s">
        <v>471</v>
      </c>
      <c r="D155" s="70" t="s">
        <v>472</v>
      </c>
      <c r="E155" s="70" t="s">
        <v>473</v>
      </c>
      <c r="F155" s="71" t="s">
        <v>474</v>
      </c>
      <c r="G155" s="72">
        <v>103</v>
      </c>
      <c r="H155" s="72"/>
      <c r="I155" s="73"/>
      <c r="J155" s="73"/>
      <c r="K155" s="73">
        <v>27</v>
      </c>
      <c r="L155" s="73"/>
      <c r="M155" s="73">
        <v>26</v>
      </c>
      <c r="N155" s="73"/>
      <c r="O155" s="73">
        <v>48</v>
      </c>
      <c r="P155" s="73">
        <v>1</v>
      </c>
      <c r="Q155" s="46">
        <f t="shared" si="15"/>
        <v>101</v>
      </c>
      <c r="R155" s="29">
        <f t="shared" si="20"/>
        <v>1</v>
      </c>
      <c r="S155" s="29">
        <f t="shared" si="18"/>
        <v>0</v>
      </c>
      <c r="T155" s="29">
        <f t="shared" si="16"/>
        <v>2</v>
      </c>
      <c r="U155" s="40">
        <f t="shared" si="17"/>
        <v>0</v>
      </c>
      <c r="V155" s="29">
        <f t="shared" si="19"/>
        <v>0</v>
      </c>
      <c r="W155" s="32"/>
    </row>
    <row r="156" spans="1:23" ht="13.5" customHeight="1" thickBot="1" x14ac:dyDescent="0.3">
      <c r="A156" s="116"/>
      <c r="B156" s="82">
        <v>7</v>
      </c>
      <c r="C156" s="37" t="s">
        <v>475</v>
      </c>
      <c r="D156" s="70" t="s">
        <v>95</v>
      </c>
      <c r="E156" s="70" t="s">
        <v>476</v>
      </c>
      <c r="F156" s="71" t="s">
        <v>467</v>
      </c>
      <c r="G156" s="72">
        <v>60</v>
      </c>
      <c r="H156" s="72" t="s">
        <v>56</v>
      </c>
      <c r="I156" s="73"/>
      <c r="J156" s="73"/>
      <c r="K156" s="73"/>
      <c r="L156" s="73"/>
      <c r="M156" s="73">
        <v>32</v>
      </c>
      <c r="N156" s="73">
        <v>1</v>
      </c>
      <c r="O156" s="73">
        <v>24</v>
      </c>
      <c r="P156" s="73">
        <v>1</v>
      </c>
      <c r="Q156" s="46">
        <f t="shared" si="15"/>
        <v>56</v>
      </c>
      <c r="R156" s="29">
        <f t="shared" si="20"/>
        <v>2</v>
      </c>
      <c r="S156" s="29">
        <f t="shared" si="18"/>
        <v>0</v>
      </c>
      <c r="T156" s="29">
        <f t="shared" si="16"/>
        <v>2</v>
      </c>
      <c r="U156" s="40">
        <f t="shared" si="17"/>
        <v>2</v>
      </c>
      <c r="V156" s="29">
        <f t="shared" si="19"/>
        <v>0</v>
      </c>
      <c r="W156" s="32"/>
    </row>
    <row r="157" spans="1:23" ht="13.5" customHeight="1" thickBot="1" x14ac:dyDescent="0.3">
      <c r="A157" s="116"/>
      <c r="B157" s="82">
        <v>8</v>
      </c>
      <c r="C157" s="37" t="s">
        <v>477</v>
      </c>
      <c r="D157" s="70" t="s">
        <v>477</v>
      </c>
      <c r="E157" s="70" t="s">
        <v>478</v>
      </c>
      <c r="F157" s="71" t="s">
        <v>463</v>
      </c>
      <c r="G157" s="72">
        <v>93</v>
      </c>
      <c r="H157" s="72" t="s">
        <v>56</v>
      </c>
      <c r="I157" s="73"/>
      <c r="J157" s="73"/>
      <c r="K157" s="73"/>
      <c r="L157" s="73"/>
      <c r="M157" s="73">
        <v>25</v>
      </c>
      <c r="N157" s="73"/>
      <c r="O157" s="73">
        <v>68</v>
      </c>
      <c r="P157" s="73"/>
      <c r="Q157" s="46">
        <f t="shared" si="15"/>
        <v>93</v>
      </c>
      <c r="R157" s="29">
        <f t="shared" si="20"/>
        <v>0</v>
      </c>
      <c r="S157" s="29">
        <f t="shared" si="18"/>
        <v>0</v>
      </c>
      <c r="T157" s="29">
        <f t="shared" si="16"/>
        <v>0</v>
      </c>
      <c r="U157" s="40">
        <f t="shared" si="17"/>
        <v>0</v>
      </c>
      <c r="V157" s="29">
        <f t="shared" si="19"/>
        <v>0</v>
      </c>
      <c r="W157" s="32"/>
    </row>
    <row r="158" spans="1:23" ht="13.5" customHeight="1" thickBot="1" x14ac:dyDescent="0.3">
      <c r="A158" s="116"/>
      <c r="B158" s="82">
        <v>9</v>
      </c>
      <c r="C158" s="37" t="s">
        <v>479</v>
      </c>
      <c r="D158" s="70" t="s">
        <v>480</v>
      </c>
      <c r="E158" s="70" t="s">
        <v>481</v>
      </c>
      <c r="F158" s="71" t="s">
        <v>467</v>
      </c>
      <c r="G158" s="72">
        <v>114</v>
      </c>
      <c r="H158" s="72" t="s">
        <v>56</v>
      </c>
      <c r="I158" s="73"/>
      <c r="J158" s="73"/>
      <c r="K158" s="73"/>
      <c r="L158" s="73"/>
      <c r="M158" s="73">
        <v>57</v>
      </c>
      <c r="N158" s="73"/>
      <c r="O158" s="73">
        <v>55</v>
      </c>
      <c r="P158" s="73">
        <v>1</v>
      </c>
      <c r="Q158" s="46">
        <f t="shared" si="15"/>
        <v>112</v>
      </c>
      <c r="R158" s="29">
        <f t="shared" si="20"/>
        <v>1</v>
      </c>
      <c r="S158" s="29">
        <f t="shared" si="18"/>
        <v>0</v>
      </c>
      <c r="T158" s="29">
        <f t="shared" si="16"/>
        <v>2</v>
      </c>
      <c r="U158" s="40">
        <f t="shared" si="17"/>
        <v>0</v>
      </c>
      <c r="V158" s="29">
        <f t="shared" si="19"/>
        <v>0</v>
      </c>
      <c r="W158" s="32"/>
    </row>
    <row r="159" spans="1:23" ht="13.5" customHeight="1" thickBot="1" x14ac:dyDescent="0.3">
      <c r="A159" s="116"/>
      <c r="B159" s="82">
        <v>10</v>
      </c>
      <c r="C159" s="37" t="s">
        <v>482</v>
      </c>
      <c r="D159" s="70" t="s">
        <v>483</v>
      </c>
      <c r="E159" s="70" t="s">
        <v>484</v>
      </c>
      <c r="F159" s="71" t="s">
        <v>460</v>
      </c>
      <c r="G159" s="72">
        <v>170</v>
      </c>
      <c r="H159" s="72" t="s">
        <v>56</v>
      </c>
      <c r="I159" s="73">
        <v>15</v>
      </c>
      <c r="J159" s="73"/>
      <c r="K159" s="73">
        <v>46</v>
      </c>
      <c r="L159" s="73"/>
      <c r="M159" s="73">
        <v>55</v>
      </c>
      <c r="N159" s="73"/>
      <c r="O159" s="73">
        <v>54</v>
      </c>
      <c r="P159" s="73"/>
      <c r="Q159" s="46">
        <f t="shared" si="15"/>
        <v>170</v>
      </c>
      <c r="R159" s="29">
        <f t="shared" si="20"/>
        <v>0</v>
      </c>
      <c r="S159" s="29">
        <f t="shared" si="18"/>
        <v>0</v>
      </c>
      <c r="T159" s="29">
        <f t="shared" si="16"/>
        <v>0</v>
      </c>
      <c r="U159" s="40">
        <f t="shared" si="17"/>
        <v>0</v>
      </c>
      <c r="V159" s="29">
        <f t="shared" si="19"/>
        <v>0</v>
      </c>
      <c r="W159" s="32"/>
    </row>
    <row r="160" spans="1:23" ht="13.5" customHeight="1" thickBot="1" x14ac:dyDescent="0.3">
      <c r="A160" s="117"/>
      <c r="B160" s="83">
        <v>11</v>
      </c>
      <c r="C160" s="84" t="s">
        <v>485</v>
      </c>
      <c r="D160" s="76" t="s">
        <v>485</v>
      </c>
      <c r="E160" s="76" t="s">
        <v>486</v>
      </c>
      <c r="F160" s="77" t="s">
        <v>467</v>
      </c>
      <c r="G160" s="78">
        <v>101</v>
      </c>
      <c r="H160" s="78" t="s">
        <v>56</v>
      </c>
      <c r="I160" s="79"/>
      <c r="J160" s="79"/>
      <c r="K160" s="79">
        <v>39</v>
      </c>
      <c r="L160" s="79"/>
      <c r="M160" s="79">
        <v>31</v>
      </c>
      <c r="N160" s="79"/>
      <c r="O160" s="79">
        <v>29</v>
      </c>
      <c r="P160" s="79">
        <v>1</v>
      </c>
      <c r="Q160" s="47">
        <f t="shared" si="15"/>
        <v>99</v>
      </c>
      <c r="R160" s="33">
        <f t="shared" si="20"/>
        <v>1</v>
      </c>
      <c r="S160" s="33">
        <f t="shared" si="18"/>
        <v>0</v>
      </c>
      <c r="T160" s="33">
        <f t="shared" si="16"/>
        <v>2</v>
      </c>
      <c r="U160" s="40">
        <f t="shared" si="17"/>
        <v>0</v>
      </c>
      <c r="V160" s="33">
        <f t="shared" si="19"/>
        <v>0</v>
      </c>
      <c r="W160" s="34"/>
    </row>
    <row r="161" spans="1:23" ht="13.5" customHeight="1" x14ac:dyDescent="0.25">
      <c r="A161" s="4"/>
      <c r="B161" s="4"/>
      <c r="C161" s="3"/>
      <c r="D161" s="3"/>
      <c r="E161" s="3"/>
      <c r="F161" s="85"/>
      <c r="G161" s="4"/>
      <c r="H161" s="4"/>
      <c r="I161" s="3"/>
      <c r="J161" s="3"/>
      <c r="K161" s="3"/>
      <c r="L161" s="3"/>
      <c r="M161" s="3"/>
      <c r="N161" s="3"/>
      <c r="O161" s="3"/>
      <c r="P161" s="3"/>
      <c r="Q161" s="4"/>
      <c r="R161" s="4"/>
      <c r="S161" s="4"/>
      <c r="T161" s="4"/>
      <c r="U161" s="60"/>
      <c r="V161" s="4"/>
      <c r="W161" s="35"/>
    </row>
    <row r="162" spans="1:23" ht="13.5" customHeight="1" x14ac:dyDescent="0.25">
      <c r="A162" s="133" t="s">
        <v>487</v>
      </c>
      <c r="B162" s="87">
        <v>1</v>
      </c>
      <c r="C162" s="88" t="s">
        <v>488</v>
      </c>
      <c r="D162" s="89" t="s">
        <v>198</v>
      </c>
      <c r="E162" s="89" t="s">
        <v>489</v>
      </c>
      <c r="F162" s="90" t="s">
        <v>490</v>
      </c>
      <c r="G162" s="91">
        <v>150</v>
      </c>
      <c r="H162" s="91" t="s">
        <v>61</v>
      </c>
      <c r="I162" s="92"/>
      <c r="J162" s="92"/>
      <c r="K162" s="92"/>
      <c r="L162" s="92"/>
      <c r="M162" s="92">
        <v>74</v>
      </c>
      <c r="N162" s="92"/>
      <c r="O162" s="92">
        <v>76</v>
      </c>
      <c r="P162" s="92"/>
      <c r="Q162" s="51">
        <f t="shared" si="15"/>
        <v>150</v>
      </c>
      <c r="R162" s="52">
        <f t="shared" si="20"/>
        <v>0</v>
      </c>
      <c r="S162" s="52">
        <f t="shared" si="18"/>
        <v>0</v>
      </c>
      <c r="T162" s="52">
        <f t="shared" si="16"/>
        <v>0</v>
      </c>
      <c r="U162" s="53">
        <f t="shared" si="17"/>
        <v>0</v>
      </c>
      <c r="V162" s="52">
        <f t="shared" si="19"/>
        <v>0</v>
      </c>
      <c r="W162" s="54"/>
    </row>
    <row r="163" spans="1:23" ht="13.5" customHeight="1" x14ac:dyDescent="0.25">
      <c r="A163" s="134"/>
      <c r="B163" s="82">
        <v>2</v>
      </c>
      <c r="C163" s="37" t="s">
        <v>491</v>
      </c>
      <c r="D163" s="70" t="s">
        <v>492</v>
      </c>
      <c r="E163" s="70" t="s">
        <v>493</v>
      </c>
      <c r="F163" s="71" t="s">
        <v>494</v>
      </c>
      <c r="G163" s="72">
        <v>117</v>
      </c>
      <c r="H163" s="72" t="s">
        <v>34</v>
      </c>
      <c r="I163" s="73"/>
      <c r="J163" s="73"/>
      <c r="K163" s="73">
        <v>25</v>
      </c>
      <c r="L163" s="73"/>
      <c r="M163" s="73">
        <v>25</v>
      </c>
      <c r="N163" s="73"/>
      <c r="O163" s="73">
        <v>67</v>
      </c>
      <c r="P163" s="73"/>
      <c r="Q163" s="46">
        <f t="shared" si="15"/>
        <v>117</v>
      </c>
      <c r="R163" s="29">
        <f t="shared" si="20"/>
        <v>0</v>
      </c>
      <c r="S163" s="29">
        <f t="shared" si="18"/>
        <v>0</v>
      </c>
      <c r="T163" s="29">
        <f t="shared" si="16"/>
        <v>0</v>
      </c>
      <c r="U163" s="40">
        <f t="shared" si="17"/>
        <v>0</v>
      </c>
      <c r="V163" s="29">
        <f t="shared" si="19"/>
        <v>0</v>
      </c>
      <c r="W163" s="55"/>
    </row>
    <row r="164" spans="1:23" ht="13.5" customHeight="1" x14ac:dyDescent="0.25">
      <c r="A164" s="134"/>
      <c r="B164" s="82">
        <v>3</v>
      </c>
      <c r="C164" s="37" t="s">
        <v>495</v>
      </c>
      <c r="D164" s="70" t="s">
        <v>496</v>
      </c>
      <c r="E164" s="70" t="s">
        <v>497</v>
      </c>
      <c r="F164" s="71" t="s">
        <v>498</v>
      </c>
      <c r="G164" s="72">
        <v>115</v>
      </c>
      <c r="H164" s="72" t="s">
        <v>34</v>
      </c>
      <c r="I164" s="73"/>
      <c r="J164" s="73"/>
      <c r="K164" s="73">
        <v>21</v>
      </c>
      <c r="L164" s="73"/>
      <c r="M164" s="73">
        <v>46</v>
      </c>
      <c r="N164" s="73"/>
      <c r="O164" s="73">
        <v>48</v>
      </c>
      <c r="P164" s="73"/>
      <c r="Q164" s="46">
        <f t="shared" si="15"/>
        <v>115</v>
      </c>
      <c r="R164" s="29">
        <f t="shared" si="20"/>
        <v>0</v>
      </c>
      <c r="S164" s="29">
        <f t="shared" si="18"/>
        <v>0</v>
      </c>
      <c r="T164" s="29">
        <f t="shared" si="16"/>
        <v>0</v>
      </c>
      <c r="U164" s="40">
        <f t="shared" si="17"/>
        <v>0</v>
      </c>
      <c r="V164" s="29">
        <f t="shared" si="19"/>
        <v>0</v>
      </c>
      <c r="W164" s="55"/>
    </row>
    <row r="165" spans="1:23" ht="13.5" customHeight="1" x14ac:dyDescent="0.25">
      <c r="A165" s="134"/>
      <c r="B165" s="82">
        <v>4</v>
      </c>
      <c r="C165" s="37" t="s">
        <v>499</v>
      </c>
      <c r="D165" s="70" t="s">
        <v>496</v>
      </c>
      <c r="E165" s="70" t="s">
        <v>500</v>
      </c>
      <c r="F165" s="71" t="s">
        <v>498</v>
      </c>
      <c r="G165" s="72">
        <v>115</v>
      </c>
      <c r="H165" s="72" t="s">
        <v>34</v>
      </c>
      <c r="I165" s="73"/>
      <c r="J165" s="73"/>
      <c r="K165" s="73">
        <v>19</v>
      </c>
      <c r="L165" s="73"/>
      <c r="M165" s="73">
        <v>48</v>
      </c>
      <c r="N165" s="73"/>
      <c r="O165" s="73">
        <v>46</v>
      </c>
      <c r="P165" s="73">
        <v>2</v>
      </c>
      <c r="Q165" s="46">
        <f t="shared" si="15"/>
        <v>113</v>
      </c>
      <c r="R165" s="29">
        <f t="shared" si="20"/>
        <v>2</v>
      </c>
      <c r="S165" s="29">
        <f t="shared" si="18"/>
        <v>0</v>
      </c>
      <c r="T165" s="29">
        <f t="shared" si="16"/>
        <v>2</v>
      </c>
      <c r="U165" s="40">
        <f t="shared" si="17"/>
        <v>0</v>
      </c>
      <c r="V165" s="29">
        <f t="shared" si="19"/>
        <v>0</v>
      </c>
      <c r="W165" s="55"/>
    </row>
    <row r="166" spans="1:23" ht="13.5" customHeight="1" x14ac:dyDescent="0.25">
      <c r="A166" s="134"/>
      <c r="B166" s="82">
        <v>5</v>
      </c>
      <c r="C166" s="37" t="s">
        <v>501</v>
      </c>
      <c r="D166" s="70" t="s">
        <v>501</v>
      </c>
      <c r="E166" s="70" t="s">
        <v>502</v>
      </c>
      <c r="F166" s="71" t="s">
        <v>503</v>
      </c>
      <c r="G166" s="72">
        <v>125</v>
      </c>
      <c r="H166" s="72"/>
      <c r="I166" s="73"/>
      <c r="J166" s="73"/>
      <c r="K166" s="73">
        <v>24</v>
      </c>
      <c r="L166" s="73"/>
      <c r="M166" s="73">
        <v>69</v>
      </c>
      <c r="N166" s="73">
        <v>1</v>
      </c>
      <c r="O166" s="73">
        <v>33</v>
      </c>
      <c r="P166" s="73"/>
      <c r="Q166" s="46">
        <f t="shared" si="15"/>
        <v>126</v>
      </c>
      <c r="R166" s="29">
        <f t="shared" si="20"/>
        <v>1</v>
      </c>
      <c r="S166" s="29">
        <f t="shared" si="18"/>
        <v>0</v>
      </c>
      <c r="T166" s="29">
        <f t="shared" si="16"/>
        <v>2</v>
      </c>
      <c r="U166" s="40">
        <f t="shared" si="17"/>
        <v>-3</v>
      </c>
      <c r="V166" s="29">
        <f t="shared" si="19"/>
        <v>-3</v>
      </c>
      <c r="W166" s="55"/>
    </row>
    <row r="167" spans="1:23" ht="13.5" customHeight="1" x14ac:dyDescent="0.25">
      <c r="A167" s="134"/>
      <c r="B167" s="82">
        <v>6</v>
      </c>
      <c r="C167" s="37" t="s">
        <v>504</v>
      </c>
      <c r="D167" s="70" t="s">
        <v>505</v>
      </c>
      <c r="E167" s="70" t="s">
        <v>506</v>
      </c>
      <c r="F167" s="71" t="s">
        <v>507</v>
      </c>
      <c r="G167" s="72">
        <v>261</v>
      </c>
      <c r="H167" s="72" t="s">
        <v>56</v>
      </c>
      <c r="I167" s="73">
        <v>24</v>
      </c>
      <c r="J167" s="73"/>
      <c r="K167" s="73">
        <v>23</v>
      </c>
      <c r="L167" s="73">
        <v>1</v>
      </c>
      <c r="M167" s="73">
        <v>95</v>
      </c>
      <c r="N167" s="73">
        <v>2</v>
      </c>
      <c r="O167" s="73">
        <v>114</v>
      </c>
      <c r="P167" s="73">
        <v>5</v>
      </c>
      <c r="Q167" s="46">
        <f t="shared" si="15"/>
        <v>256</v>
      </c>
      <c r="R167" s="29">
        <f t="shared" si="20"/>
        <v>8</v>
      </c>
      <c r="S167" s="29">
        <f t="shared" si="18"/>
        <v>2</v>
      </c>
      <c r="T167" s="29">
        <f t="shared" si="16"/>
        <v>2</v>
      </c>
      <c r="U167" s="40">
        <f t="shared" si="17"/>
        <v>1</v>
      </c>
      <c r="V167" s="29">
        <f t="shared" si="19"/>
        <v>0</v>
      </c>
      <c r="W167" s="55"/>
    </row>
    <row r="168" spans="1:23" ht="13.5" customHeight="1" x14ac:dyDescent="0.25">
      <c r="A168" s="134"/>
      <c r="B168" s="82">
        <v>7</v>
      </c>
      <c r="C168" s="37" t="s">
        <v>508</v>
      </c>
      <c r="D168" s="70" t="s">
        <v>509</v>
      </c>
      <c r="E168" s="70" t="s">
        <v>510</v>
      </c>
      <c r="F168" s="71" t="s">
        <v>490</v>
      </c>
      <c r="G168" s="72">
        <v>65</v>
      </c>
      <c r="H168" s="72" t="s">
        <v>61</v>
      </c>
      <c r="I168" s="73"/>
      <c r="J168" s="73"/>
      <c r="K168" s="73"/>
      <c r="L168" s="73"/>
      <c r="M168" s="73">
        <v>28</v>
      </c>
      <c r="N168" s="73"/>
      <c r="O168" s="73">
        <v>37</v>
      </c>
      <c r="P168" s="73"/>
      <c r="Q168" s="46">
        <f t="shared" si="15"/>
        <v>65</v>
      </c>
      <c r="R168" s="29">
        <f t="shared" si="20"/>
        <v>0</v>
      </c>
      <c r="S168" s="29">
        <f t="shared" si="18"/>
        <v>0</v>
      </c>
      <c r="T168" s="29">
        <f t="shared" si="16"/>
        <v>0</v>
      </c>
      <c r="U168" s="40">
        <f t="shared" si="17"/>
        <v>0</v>
      </c>
      <c r="V168" s="29">
        <f t="shared" si="19"/>
        <v>0</v>
      </c>
      <c r="W168" s="55"/>
    </row>
    <row r="169" spans="1:23" ht="13.5" customHeight="1" x14ac:dyDescent="0.25">
      <c r="A169" s="134"/>
      <c r="B169" s="82">
        <v>8</v>
      </c>
      <c r="C169" s="37" t="s">
        <v>511</v>
      </c>
      <c r="D169" s="70" t="s">
        <v>512</v>
      </c>
      <c r="E169" s="70" t="s">
        <v>513</v>
      </c>
      <c r="F169" s="71" t="s">
        <v>514</v>
      </c>
      <c r="G169" s="72">
        <v>140</v>
      </c>
      <c r="H169" s="72" t="s">
        <v>34</v>
      </c>
      <c r="I169" s="73"/>
      <c r="J169" s="73"/>
      <c r="K169" s="73">
        <v>46</v>
      </c>
      <c r="L169" s="73">
        <v>1</v>
      </c>
      <c r="M169" s="73">
        <v>34</v>
      </c>
      <c r="N169" s="73">
        <v>1</v>
      </c>
      <c r="O169" s="73">
        <v>60</v>
      </c>
      <c r="P169" s="73">
        <v>1</v>
      </c>
      <c r="Q169" s="46">
        <f t="shared" si="15"/>
        <v>140</v>
      </c>
      <c r="R169" s="29">
        <f t="shared" si="20"/>
        <v>3</v>
      </c>
      <c r="S169" s="29">
        <f t="shared" si="18"/>
        <v>2</v>
      </c>
      <c r="T169" s="29">
        <f t="shared" si="16"/>
        <v>2</v>
      </c>
      <c r="U169" s="40">
        <f t="shared" si="17"/>
        <v>-4</v>
      </c>
      <c r="V169" s="29">
        <f t="shared" si="19"/>
        <v>-4</v>
      </c>
      <c r="W169" s="55"/>
    </row>
    <row r="170" spans="1:23" ht="13.5" customHeight="1" x14ac:dyDescent="0.25">
      <c r="A170" s="134"/>
      <c r="B170" s="82">
        <v>9</v>
      </c>
      <c r="C170" s="37" t="s">
        <v>515</v>
      </c>
      <c r="D170" s="70" t="s">
        <v>516</v>
      </c>
      <c r="E170" s="70" t="s">
        <v>517</v>
      </c>
      <c r="F170" s="71" t="s">
        <v>518</v>
      </c>
      <c r="G170" s="72">
        <v>87</v>
      </c>
      <c r="H170" s="72" t="s">
        <v>61</v>
      </c>
      <c r="I170" s="73"/>
      <c r="J170" s="73"/>
      <c r="K170" s="73"/>
      <c r="L170" s="73"/>
      <c r="M170" s="73">
        <v>35</v>
      </c>
      <c r="N170" s="73"/>
      <c r="O170" s="73">
        <v>49</v>
      </c>
      <c r="P170" s="73">
        <v>1</v>
      </c>
      <c r="Q170" s="46">
        <f t="shared" si="15"/>
        <v>84</v>
      </c>
      <c r="R170" s="29">
        <f t="shared" si="20"/>
        <v>1</v>
      </c>
      <c r="S170" s="29">
        <f t="shared" si="18"/>
        <v>0</v>
      </c>
      <c r="T170" s="29">
        <f t="shared" si="16"/>
        <v>2</v>
      </c>
      <c r="U170" s="40">
        <f t="shared" si="17"/>
        <v>1</v>
      </c>
      <c r="V170" s="29">
        <f t="shared" si="19"/>
        <v>0</v>
      </c>
      <c r="W170" s="55"/>
    </row>
    <row r="171" spans="1:23" ht="13.5" customHeight="1" x14ac:dyDescent="0.25">
      <c r="A171" s="134"/>
      <c r="B171" s="82">
        <v>10</v>
      </c>
      <c r="C171" s="37" t="s">
        <v>519</v>
      </c>
      <c r="D171" s="70" t="s">
        <v>516</v>
      </c>
      <c r="E171" s="70" t="s">
        <v>520</v>
      </c>
      <c r="F171" s="71" t="s">
        <v>518</v>
      </c>
      <c r="G171" s="72">
        <v>170</v>
      </c>
      <c r="H171" s="72" t="s">
        <v>61</v>
      </c>
      <c r="I171" s="73"/>
      <c r="J171" s="73"/>
      <c r="K171" s="73"/>
      <c r="L171" s="73"/>
      <c r="M171" s="73">
        <v>83</v>
      </c>
      <c r="N171" s="73">
        <v>1</v>
      </c>
      <c r="O171" s="73">
        <v>85</v>
      </c>
      <c r="P171" s="73"/>
      <c r="Q171" s="46">
        <f t="shared" si="15"/>
        <v>168</v>
      </c>
      <c r="R171" s="29">
        <f t="shared" si="20"/>
        <v>1</v>
      </c>
      <c r="S171" s="29">
        <f t="shared" si="18"/>
        <v>0</v>
      </c>
      <c r="T171" s="29">
        <f t="shared" si="16"/>
        <v>2</v>
      </c>
      <c r="U171" s="40">
        <f t="shared" si="17"/>
        <v>0</v>
      </c>
      <c r="V171" s="29">
        <f t="shared" si="19"/>
        <v>0</v>
      </c>
      <c r="W171" s="55"/>
    </row>
    <row r="172" spans="1:23" ht="13.5" customHeight="1" x14ac:dyDescent="0.25">
      <c r="A172" s="134"/>
      <c r="B172" s="82">
        <v>11</v>
      </c>
      <c r="C172" s="37" t="s">
        <v>521</v>
      </c>
      <c r="D172" s="70" t="s">
        <v>522</v>
      </c>
      <c r="E172" s="70" t="s">
        <v>523</v>
      </c>
      <c r="F172" s="71" t="s">
        <v>524</v>
      </c>
      <c r="G172" s="72">
        <v>115</v>
      </c>
      <c r="H172" s="72" t="s">
        <v>61</v>
      </c>
      <c r="I172" s="73"/>
      <c r="J172" s="73"/>
      <c r="K172" s="73"/>
      <c r="L172" s="73"/>
      <c r="M172" s="73">
        <v>61</v>
      </c>
      <c r="N172" s="73"/>
      <c r="O172" s="73">
        <v>53</v>
      </c>
      <c r="P172" s="73">
        <v>1</v>
      </c>
      <c r="Q172" s="46">
        <f t="shared" si="15"/>
        <v>114</v>
      </c>
      <c r="R172" s="29">
        <f t="shared" si="20"/>
        <v>1</v>
      </c>
      <c r="S172" s="29">
        <f t="shared" si="18"/>
        <v>0</v>
      </c>
      <c r="T172" s="29">
        <f t="shared" si="16"/>
        <v>2</v>
      </c>
      <c r="U172" s="40">
        <f t="shared" si="17"/>
        <v>-1</v>
      </c>
      <c r="V172" s="29">
        <f t="shared" si="19"/>
        <v>-1</v>
      </c>
      <c r="W172" s="55"/>
    </row>
    <row r="173" spans="1:23" ht="13.5" customHeight="1" x14ac:dyDescent="0.25">
      <c r="A173" s="134"/>
      <c r="B173" s="82">
        <v>12</v>
      </c>
      <c r="C173" s="37" t="s">
        <v>525</v>
      </c>
      <c r="D173" s="70" t="s">
        <v>526</v>
      </c>
      <c r="E173" s="70" t="s">
        <v>527</v>
      </c>
      <c r="F173" s="71" t="s">
        <v>528</v>
      </c>
      <c r="G173" s="72">
        <v>60</v>
      </c>
      <c r="H173" s="72" t="s">
        <v>61</v>
      </c>
      <c r="I173" s="73"/>
      <c r="J173" s="73"/>
      <c r="K173" s="73"/>
      <c r="L173" s="73"/>
      <c r="M173" s="73">
        <v>20</v>
      </c>
      <c r="N173" s="73"/>
      <c r="O173" s="73">
        <v>40</v>
      </c>
      <c r="P173" s="73"/>
      <c r="Q173" s="46">
        <f t="shared" si="15"/>
        <v>60</v>
      </c>
      <c r="R173" s="29">
        <f t="shared" si="20"/>
        <v>0</v>
      </c>
      <c r="S173" s="29">
        <f t="shared" si="18"/>
        <v>0</v>
      </c>
      <c r="T173" s="29">
        <f t="shared" si="16"/>
        <v>0</v>
      </c>
      <c r="U173" s="40">
        <f t="shared" si="17"/>
        <v>0</v>
      </c>
      <c r="V173" s="29">
        <f t="shared" si="19"/>
        <v>0</v>
      </c>
      <c r="W173" s="55"/>
    </row>
    <row r="174" spans="1:23" ht="13.5" customHeight="1" x14ac:dyDescent="0.25">
      <c r="A174" s="134"/>
      <c r="B174" s="82">
        <v>13</v>
      </c>
      <c r="C174" s="37" t="s">
        <v>529</v>
      </c>
      <c r="D174" s="70" t="s">
        <v>530</v>
      </c>
      <c r="E174" s="70" t="s">
        <v>531</v>
      </c>
      <c r="F174" s="71" t="s">
        <v>532</v>
      </c>
      <c r="G174" s="72">
        <v>154</v>
      </c>
      <c r="H174" s="72"/>
      <c r="I174" s="73"/>
      <c r="J174" s="73"/>
      <c r="K174" s="73"/>
      <c r="L174" s="73"/>
      <c r="M174" s="73">
        <v>63</v>
      </c>
      <c r="N174" s="73"/>
      <c r="O174" s="73">
        <v>88</v>
      </c>
      <c r="P174" s="73"/>
      <c r="Q174" s="46">
        <f t="shared" si="15"/>
        <v>151</v>
      </c>
      <c r="R174" s="29">
        <f t="shared" si="20"/>
        <v>0</v>
      </c>
      <c r="S174" s="29">
        <f t="shared" si="18"/>
        <v>0</v>
      </c>
      <c r="T174" s="29">
        <f t="shared" si="16"/>
        <v>0</v>
      </c>
      <c r="U174" s="40">
        <f t="shared" si="17"/>
        <v>3</v>
      </c>
      <c r="V174" s="29">
        <f t="shared" si="19"/>
        <v>0</v>
      </c>
      <c r="W174" s="55"/>
    </row>
    <row r="175" spans="1:23" ht="13.5" customHeight="1" x14ac:dyDescent="0.25">
      <c r="A175" s="134"/>
      <c r="B175" s="82">
        <v>14</v>
      </c>
      <c r="C175" s="37" t="s">
        <v>533</v>
      </c>
      <c r="D175" s="70" t="s">
        <v>534</v>
      </c>
      <c r="E175" s="70" t="s">
        <v>535</v>
      </c>
      <c r="F175" s="71" t="s">
        <v>536</v>
      </c>
      <c r="G175" s="72">
        <v>73</v>
      </c>
      <c r="H175" s="72"/>
      <c r="I175" s="73"/>
      <c r="J175" s="73"/>
      <c r="K175" s="73"/>
      <c r="L175" s="73"/>
      <c r="M175" s="73">
        <v>34</v>
      </c>
      <c r="N175" s="73"/>
      <c r="O175" s="73">
        <v>35</v>
      </c>
      <c r="P175" s="73">
        <v>4</v>
      </c>
      <c r="Q175" s="46">
        <f t="shared" si="15"/>
        <v>69</v>
      </c>
      <c r="R175" s="29">
        <f t="shared" si="20"/>
        <v>4</v>
      </c>
      <c r="S175" s="29">
        <f t="shared" si="18"/>
        <v>0</v>
      </c>
      <c r="T175" s="29">
        <f t="shared" si="16"/>
        <v>2</v>
      </c>
      <c r="U175" s="40">
        <f t="shared" si="17"/>
        <v>2</v>
      </c>
      <c r="V175" s="29">
        <f t="shared" si="19"/>
        <v>0</v>
      </c>
      <c r="W175" s="55"/>
    </row>
    <row r="176" spans="1:23" ht="13.5" customHeight="1" x14ac:dyDescent="0.25">
      <c r="A176" s="134"/>
      <c r="B176" s="82">
        <v>15</v>
      </c>
      <c r="C176" s="37" t="s">
        <v>537</v>
      </c>
      <c r="D176" s="70" t="s">
        <v>538</v>
      </c>
      <c r="E176" s="70" t="s">
        <v>539</v>
      </c>
      <c r="F176" s="71" t="s">
        <v>494</v>
      </c>
      <c r="G176" s="72">
        <v>207</v>
      </c>
      <c r="H176" s="72" t="s">
        <v>56</v>
      </c>
      <c r="I176" s="73">
        <v>22</v>
      </c>
      <c r="J176" s="73"/>
      <c r="K176" s="73">
        <v>44</v>
      </c>
      <c r="L176" s="73"/>
      <c r="M176" s="73">
        <v>68</v>
      </c>
      <c r="N176" s="73">
        <v>1</v>
      </c>
      <c r="O176" s="73">
        <v>72</v>
      </c>
      <c r="P176" s="73"/>
      <c r="Q176" s="46">
        <f t="shared" si="15"/>
        <v>206</v>
      </c>
      <c r="R176" s="29">
        <f t="shared" si="20"/>
        <v>1</v>
      </c>
      <c r="S176" s="29">
        <f t="shared" si="18"/>
        <v>0</v>
      </c>
      <c r="T176" s="29">
        <f t="shared" si="16"/>
        <v>2</v>
      </c>
      <c r="U176" s="40">
        <f t="shared" si="17"/>
        <v>-1</v>
      </c>
      <c r="V176" s="29">
        <f t="shared" si="19"/>
        <v>-1</v>
      </c>
      <c r="W176" s="55"/>
    </row>
    <row r="177" spans="1:23" ht="13.5" customHeight="1" x14ac:dyDescent="0.25">
      <c r="A177" s="134"/>
      <c r="B177" s="82">
        <v>16</v>
      </c>
      <c r="C177" s="37" t="s">
        <v>540</v>
      </c>
      <c r="D177" s="70" t="s">
        <v>541</v>
      </c>
      <c r="E177" s="70" t="s">
        <v>542</v>
      </c>
      <c r="F177" s="71" t="s">
        <v>524</v>
      </c>
      <c r="G177" s="72">
        <v>80</v>
      </c>
      <c r="H177" s="72" t="s">
        <v>34</v>
      </c>
      <c r="I177" s="73"/>
      <c r="J177" s="73"/>
      <c r="K177" s="73">
        <v>11</v>
      </c>
      <c r="L177" s="73"/>
      <c r="M177" s="73">
        <v>50</v>
      </c>
      <c r="N177" s="73">
        <v>2</v>
      </c>
      <c r="O177" s="73">
        <v>17</v>
      </c>
      <c r="P177" s="73"/>
      <c r="Q177" s="46">
        <f t="shared" si="15"/>
        <v>78</v>
      </c>
      <c r="R177" s="29">
        <f t="shared" si="20"/>
        <v>2</v>
      </c>
      <c r="S177" s="29">
        <f t="shared" si="18"/>
        <v>0</v>
      </c>
      <c r="T177" s="29">
        <f t="shared" si="16"/>
        <v>2</v>
      </c>
      <c r="U177" s="40">
        <f t="shared" si="17"/>
        <v>0</v>
      </c>
      <c r="V177" s="29">
        <f t="shared" ref="V177:V179" si="22">IF(U177&lt;0,U177,0)</f>
        <v>0</v>
      </c>
      <c r="W177" s="55"/>
    </row>
    <row r="178" spans="1:23" ht="13.5" customHeight="1" x14ac:dyDescent="0.25">
      <c r="A178" s="134"/>
      <c r="B178" s="82">
        <v>17</v>
      </c>
      <c r="C178" s="37" t="s">
        <v>543</v>
      </c>
      <c r="D178" s="70" t="s">
        <v>544</v>
      </c>
      <c r="E178" s="70" t="s">
        <v>545</v>
      </c>
      <c r="F178" s="71" t="s">
        <v>524</v>
      </c>
      <c r="G178" s="72">
        <v>159</v>
      </c>
      <c r="H178" s="72" t="s">
        <v>61</v>
      </c>
      <c r="I178" s="73"/>
      <c r="J178" s="73"/>
      <c r="K178" s="73"/>
      <c r="L178" s="73"/>
      <c r="M178" s="73">
        <v>58</v>
      </c>
      <c r="N178" s="73"/>
      <c r="O178" s="73">
        <v>94</v>
      </c>
      <c r="P178" s="73"/>
      <c r="Q178" s="46">
        <f t="shared" si="15"/>
        <v>152</v>
      </c>
      <c r="R178" s="29">
        <f t="shared" si="20"/>
        <v>0</v>
      </c>
      <c r="S178" s="29">
        <f t="shared" si="18"/>
        <v>0</v>
      </c>
      <c r="T178" s="29">
        <f t="shared" si="16"/>
        <v>0</v>
      </c>
      <c r="U178" s="40">
        <f t="shared" si="17"/>
        <v>7</v>
      </c>
      <c r="V178" s="29">
        <f t="shared" si="22"/>
        <v>0</v>
      </c>
      <c r="W178" s="55"/>
    </row>
    <row r="179" spans="1:23" ht="13.5" customHeight="1" x14ac:dyDescent="0.25">
      <c r="A179" s="134"/>
      <c r="B179" s="82">
        <v>18</v>
      </c>
      <c r="C179" s="37" t="s">
        <v>546</v>
      </c>
      <c r="D179" s="70" t="s">
        <v>547</v>
      </c>
      <c r="E179" s="70" t="s">
        <v>548</v>
      </c>
      <c r="F179" s="71" t="s">
        <v>549</v>
      </c>
      <c r="G179" s="72">
        <v>120</v>
      </c>
      <c r="H179" s="72" t="s">
        <v>61</v>
      </c>
      <c r="I179" s="73"/>
      <c r="J179" s="73"/>
      <c r="K179" s="73"/>
      <c r="L179" s="73"/>
      <c r="M179" s="73">
        <v>60</v>
      </c>
      <c r="N179" s="73"/>
      <c r="O179" s="73">
        <v>60</v>
      </c>
      <c r="P179" s="73"/>
      <c r="Q179" s="46">
        <f t="shared" si="15"/>
        <v>120</v>
      </c>
      <c r="R179" s="29">
        <f t="shared" si="20"/>
        <v>0</v>
      </c>
      <c r="S179" s="29">
        <f t="shared" si="18"/>
        <v>0</v>
      </c>
      <c r="T179" s="29">
        <f t="shared" si="16"/>
        <v>0</v>
      </c>
      <c r="U179" s="40">
        <f t="shared" si="17"/>
        <v>0</v>
      </c>
      <c r="V179" s="29">
        <f t="shared" si="22"/>
        <v>0</v>
      </c>
      <c r="W179" s="55"/>
    </row>
    <row r="180" spans="1:23" ht="13.5" customHeight="1" x14ac:dyDescent="0.25">
      <c r="A180" s="135"/>
      <c r="B180" s="93">
        <v>19</v>
      </c>
      <c r="C180" s="94" t="s">
        <v>550</v>
      </c>
      <c r="E180" s="95" t="s">
        <v>551</v>
      </c>
      <c r="F180" s="96" t="s">
        <v>552</v>
      </c>
      <c r="G180" s="97">
        <v>100</v>
      </c>
      <c r="H180" s="97" t="s">
        <v>56</v>
      </c>
      <c r="I180" s="98"/>
      <c r="J180" s="98"/>
      <c r="K180" s="98"/>
      <c r="L180" s="98"/>
      <c r="M180" s="98">
        <v>50</v>
      </c>
      <c r="N180" s="98"/>
      <c r="O180" s="98">
        <v>46</v>
      </c>
      <c r="P180" s="98"/>
      <c r="Q180" s="56">
        <f t="shared" si="15"/>
        <v>96</v>
      </c>
      <c r="R180" s="57">
        <f t="shared" si="20"/>
        <v>0</v>
      </c>
      <c r="S180" s="57">
        <f t="shared" si="18"/>
        <v>0</v>
      </c>
      <c r="T180" s="57">
        <f t="shared" si="16"/>
        <v>0</v>
      </c>
      <c r="U180" s="58">
        <f t="shared" si="17"/>
        <v>4</v>
      </c>
      <c r="V180" s="57">
        <f t="shared" si="19"/>
        <v>0</v>
      </c>
      <c r="W180" s="59" t="s">
        <v>553</v>
      </c>
    </row>
    <row r="181" spans="1:23" ht="13.5" customHeight="1" x14ac:dyDescent="0.25">
      <c r="A181" s="3"/>
      <c r="B181" s="3"/>
      <c r="Q181" s="4"/>
      <c r="R181" s="4"/>
      <c r="S181" s="4"/>
      <c r="T181" s="4"/>
      <c r="U181" s="61"/>
      <c r="V181" s="1"/>
      <c r="W181" s="2"/>
    </row>
    <row r="182" spans="1:23" ht="13.5" customHeight="1" x14ac:dyDescent="0.25">
      <c r="A182" s="115" t="s">
        <v>554</v>
      </c>
      <c r="B182" s="80">
        <v>1</v>
      </c>
      <c r="C182" s="81" t="s">
        <v>555</v>
      </c>
      <c r="D182" s="64" t="s">
        <v>297</v>
      </c>
      <c r="E182" s="64" t="s">
        <v>556</v>
      </c>
      <c r="F182" s="65" t="s">
        <v>557</v>
      </c>
      <c r="G182" s="66">
        <v>56</v>
      </c>
      <c r="H182" s="66" t="s">
        <v>34</v>
      </c>
      <c r="I182" s="67"/>
      <c r="J182" s="67"/>
      <c r="K182" s="67">
        <v>15</v>
      </c>
      <c r="L182" s="67"/>
      <c r="M182" s="67">
        <v>19</v>
      </c>
      <c r="N182" s="67">
        <v>1</v>
      </c>
      <c r="O182" s="67">
        <v>20</v>
      </c>
      <c r="P182" s="67">
        <v>1</v>
      </c>
      <c r="Q182" s="45">
        <f t="shared" si="15"/>
        <v>54</v>
      </c>
      <c r="R182" s="30">
        <f t="shared" si="20"/>
        <v>2</v>
      </c>
      <c r="S182" s="30">
        <f t="shared" si="18"/>
        <v>0</v>
      </c>
      <c r="T182" s="30">
        <f t="shared" si="16"/>
        <v>2</v>
      </c>
      <c r="U182" s="40">
        <f t="shared" si="17"/>
        <v>0</v>
      </c>
      <c r="V182" s="30">
        <f t="shared" si="19"/>
        <v>0</v>
      </c>
      <c r="W182" s="31"/>
    </row>
    <row r="183" spans="1:23" ht="13.5" customHeight="1" thickBot="1" x14ac:dyDescent="0.3">
      <c r="A183" s="116"/>
      <c r="B183" s="82">
        <v>2</v>
      </c>
      <c r="C183" s="37" t="s">
        <v>558</v>
      </c>
      <c r="D183" s="73" t="s">
        <v>297</v>
      </c>
      <c r="E183" s="70" t="s">
        <v>559</v>
      </c>
      <c r="F183" s="71" t="s">
        <v>557</v>
      </c>
      <c r="G183" s="72">
        <v>260</v>
      </c>
      <c r="H183" s="72"/>
      <c r="I183" s="73"/>
      <c r="J183" s="73"/>
      <c r="K183" s="73">
        <v>82</v>
      </c>
      <c r="L183" s="73"/>
      <c r="M183" s="73">
        <v>96</v>
      </c>
      <c r="N183" s="73"/>
      <c r="O183" s="73">
        <v>68</v>
      </c>
      <c r="P183" s="73"/>
      <c r="Q183" s="46">
        <f t="shared" si="15"/>
        <v>246</v>
      </c>
      <c r="R183" s="29">
        <f t="shared" si="20"/>
        <v>0</v>
      </c>
      <c r="S183" s="29">
        <f t="shared" si="18"/>
        <v>0</v>
      </c>
      <c r="T183" s="29">
        <f t="shared" si="16"/>
        <v>0</v>
      </c>
      <c r="U183" s="40">
        <f t="shared" si="17"/>
        <v>14</v>
      </c>
      <c r="V183" s="29">
        <f t="shared" si="19"/>
        <v>0</v>
      </c>
      <c r="W183" s="32"/>
    </row>
    <row r="184" spans="1:23" ht="13.5" customHeight="1" thickBot="1" x14ac:dyDescent="0.3">
      <c r="A184" s="116"/>
      <c r="B184" s="82">
        <v>3</v>
      </c>
      <c r="C184" s="37" t="s">
        <v>560</v>
      </c>
      <c r="D184" s="73" t="s">
        <v>422</v>
      </c>
      <c r="E184" s="70" t="s">
        <v>561</v>
      </c>
      <c r="F184" s="71" t="s">
        <v>557</v>
      </c>
      <c r="G184" s="72">
        <v>227</v>
      </c>
      <c r="H184" s="72"/>
      <c r="I184" s="73"/>
      <c r="J184" s="73"/>
      <c r="K184" s="73">
        <v>69</v>
      </c>
      <c r="L184" s="73"/>
      <c r="M184" s="73">
        <v>36</v>
      </c>
      <c r="N184" s="73"/>
      <c r="O184" s="73">
        <v>24</v>
      </c>
      <c r="P184" s="73"/>
      <c r="Q184" s="46">
        <f t="shared" si="15"/>
        <v>129</v>
      </c>
      <c r="R184" s="29">
        <f t="shared" si="20"/>
        <v>0</v>
      </c>
      <c r="S184" s="29">
        <f t="shared" si="18"/>
        <v>0</v>
      </c>
      <c r="T184" s="29">
        <f t="shared" si="16"/>
        <v>0</v>
      </c>
      <c r="U184" s="40">
        <f t="shared" si="17"/>
        <v>98</v>
      </c>
      <c r="V184" s="29">
        <f t="shared" si="19"/>
        <v>0</v>
      </c>
      <c r="W184" s="32"/>
    </row>
    <row r="185" spans="1:23" ht="13.5" customHeight="1" thickBot="1" x14ac:dyDescent="0.3">
      <c r="A185" s="116"/>
      <c r="B185" s="82">
        <v>4</v>
      </c>
      <c r="C185" s="37" t="s">
        <v>562</v>
      </c>
      <c r="D185" s="70" t="s">
        <v>563</v>
      </c>
      <c r="E185" s="70" t="s">
        <v>564</v>
      </c>
      <c r="F185" s="71" t="s">
        <v>557</v>
      </c>
      <c r="G185" s="72">
        <v>52</v>
      </c>
      <c r="H185" s="72" t="s">
        <v>157</v>
      </c>
      <c r="I185" s="73"/>
      <c r="J185" s="73"/>
      <c r="K185" s="73"/>
      <c r="L185" s="73"/>
      <c r="M185" s="73"/>
      <c r="N185" s="73"/>
      <c r="O185" s="73">
        <v>40</v>
      </c>
      <c r="P185" s="73"/>
      <c r="Q185" s="46">
        <f t="shared" si="15"/>
        <v>40</v>
      </c>
      <c r="R185" s="29">
        <f t="shared" si="20"/>
        <v>0</v>
      </c>
      <c r="S185" s="29">
        <f t="shared" si="18"/>
        <v>0</v>
      </c>
      <c r="T185" s="29">
        <f t="shared" si="16"/>
        <v>0</v>
      </c>
      <c r="U185" s="40">
        <f t="shared" si="17"/>
        <v>12</v>
      </c>
      <c r="V185" s="29">
        <f t="shared" si="19"/>
        <v>0</v>
      </c>
      <c r="W185" s="32"/>
    </row>
    <row r="186" spans="1:23" ht="13.5" customHeight="1" thickBot="1" x14ac:dyDescent="0.3">
      <c r="A186" s="116"/>
      <c r="B186" s="82">
        <v>5</v>
      </c>
      <c r="C186" s="37" t="s">
        <v>565</v>
      </c>
      <c r="D186" s="70" t="s">
        <v>565</v>
      </c>
      <c r="E186" s="70" t="s">
        <v>566</v>
      </c>
      <c r="F186" s="71" t="s">
        <v>567</v>
      </c>
      <c r="G186" s="72">
        <v>98</v>
      </c>
      <c r="H186" s="72" t="s">
        <v>34</v>
      </c>
      <c r="I186" s="73">
        <v>6</v>
      </c>
      <c r="J186" s="73"/>
      <c r="K186" s="73">
        <v>21</v>
      </c>
      <c r="L186" s="73"/>
      <c r="M186" s="73">
        <v>37</v>
      </c>
      <c r="N186" s="73"/>
      <c r="O186" s="73">
        <v>33</v>
      </c>
      <c r="P186" s="73"/>
      <c r="Q186" s="46">
        <f t="shared" si="15"/>
        <v>97</v>
      </c>
      <c r="R186" s="29">
        <f t="shared" si="20"/>
        <v>0</v>
      </c>
      <c r="S186" s="29">
        <f t="shared" si="18"/>
        <v>0</v>
      </c>
      <c r="T186" s="29">
        <f t="shared" si="16"/>
        <v>0</v>
      </c>
      <c r="U186" s="40">
        <f t="shared" si="17"/>
        <v>1</v>
      </c>
      <c r="V186" s="29">
        <f t="shared" si="19"/>
        <v>0</v>
      </c>
      <c r="W186" s="32"/>
    </row>
    <row r="187" spans="1:23" ht="13.5" customHeight="1" thickBot="1" x14ac:dyDescent="0.3">
      <c r="A187" s="116"/>
      <c r="B187" s="82">
        <v>6</v>
      </c>
      <c r="C187" s="37" t="s">
        <v>568</v>
      </c>
      <c r="D187" s="73" t="s">
        <v>568</v>
      </c>
      <c r="E187" s="70" t="s">
        <v>569</v>
      </c>
      <c r="F187" s="71" t="s">
        <v>557</v>
      </c>
      <c r="G187" s="72">
        <v>361</v>
      </c>
      <c r="H187" s="72"/>
      <c r="I187" s="73"/>
      <c r="J187" s="73"/>
      <c r="K187" s="73">
        <v>143</v>
      </c>
      <c r="L187" s="73"/>
      <c r="M187" s="73">
        <v>150</v>
      </c>
      <c r="N187" s="73"/>
      <c r="O187" s="73">
        <v>67</v>
      </c>
      <c r="P187" s="73"/>
      <c r="Q187" s="46">
        <f t="shared" si="15"/>
        <v>360</v>
      </c>
      <c r="R187" s="29">
        <f t="shared" si="20"/>
        <v>0</v>
      </c>
      <c r="S187" s="29">
        <f t="shared" si="18"/>
        <v>0</v>
      </c>
      <c r="T187" s="29">
        <f t="shared" si="16"/>
        <v>0</v>
      </c>
      <c r="U187" s="40">
        <f t="shared" si="17"/>
        <v>1</v>
      </c>
      <c r="V187" s="29">
        <f t="shared" si="19"/>
        <v>0</v>
      </c>
      <c r="W187" s="32"/>
    </row>
    <row r="188" spans="1:23" ht="13.5" customHeight="1" thickBot="1" x14ac:dyDescent="0.3">
      <c r="A188" s="116"/>
      <c r="B188" s="82">
        <v>7</v>
      </c>
      <c r="C188" s="37" t="s">
        <v>570</v>
      </c>
      <c r="D188" s="73" t="s">
        <v>571</v>
      </c>
      <c r="E188" s="70" t="s">
        <v>572</v>
      </c>
      <c r="F188" s="71" t="s">
        <v>557</v>
      </c>
      <c r="G188" s="72">
        <v>103</v>
      </c>
      <c r="H188" s="72"/>
      <c r="I188" s="73"/>
      <c r="J188" s="73"/>
      <c r="K188" s="73"/>
      <c r="L188" s="73"/>
      <c r="M188" s="73">
        <v>42</v>
      </c>
      <c r="N188" s="73"/>
      <c r="O188" s="73">
        <v>61</v>
      </c>
      <c r="P188" s="73"/>
      <c r="Q188" s="46">
        <f t="shared" si="15"/>
        <v>103</v>
      </c>
      <c r="R188" s="29">
        <f t="shared" si="20"/>
        <v>0</v>
      </c>
      <c r="S188" s="29">
        <f t="shared" si="18"/>
        <v>0</v>
      </c>
      <c r="T188" s="29">
        <f t="shared" si="16"/>
        <v>0</v>
      </c>
      <c r="U188" s="40">
        <f t="shared" si="17"/>
        <v>0</v>
      </c>
      <c r="V188" s="29">
        <f t="shared" si="19"/>
        <v>0</v>
      </c>
      <c r="W188" s="32"/>
    </row>
    <row r="189" spans="1:23" ht="13.5" customHeight="1" thickBot="1" x14ac:dyDescent="0.3">
      <c r="A189" s="116"/>
      <c r="B189" s="82">
        <v>8</v>
      </c>
      <c r="C189" s="37" t="s">
        <v>573</v>
      </c>
      <c r="D189" s="73" t="s">
        <v>573</v>
      </c>
      <c r="E189" s="70" t="s">
        <v>574</v>
      </c>
      <c r="F189" s="71" t="s">
        <v>567</v>
      </c>
      <c r="G189" s="72">
        <v>59</v>
      </c>
      <c r="H189" s="72"/>
      <c r="I189" s="73"/>
      <c r="J189" s="73"/>
      <c r="K189" s="73"/>
      <c r="L189" s="73"/>
      <c r="M189" s="73">
        <v>24</v>
      </c>
      <c r="N189" s="73"/>
      <c r="O189" s="73">
        <v>31</v>
      </c>
      <c r="P189" s="73"/>
      <c r="Q189" s="46">
        <f t="shared" si="15"/>
        <v>55</v>
      </c>
      <c r="R189" s="29">
        <f t="shared" si="20"/>
        <v>0</v>
      </c>
      <c r="S189" s="29">
        <f t="shared" si="18"/>
        <v>0</v>
      </c>
      <c r="T189" s="29">
        <f t="shared" si="16"/>
        <v>0</v>
      </c>
      <c r="U189" s="40">
        <f t="shared" si="17"/>
        <v>4</v>
      </c>
      <c r="V189" s="29">
        <f t="shared" si="19"/>
        <v>0</v>
      </c>
      <c r="W189" s="32"/>
    </row>
    <row r="190" spans="1:23" ht="13.5" customHeight="1" thickBot="1" x14ac:dyDescent="0.3">
      <c r="A190" s="116"/>
      <c r="B190" s="82">
        <v>9</v>
      </c>
      <c r="C190" s="37" t="s">
        <v>575</v>
      </c>
      <c r="D190" s="70" t="s">
        <v>576</v>
      </c>
      <c r="E190" s="70" t="s">
        <v>577</v>
      </c>
      <c r="F190" s="71" t="s">
        <v>578</v>
      </c>
      <c r="G190" s="72">
        <v>100</v>
      </c>
      <c r="H190" s="72" t="s">
        <v>579</v>
      </c>
      <c r="I190" s="73">
        <v>17</v>
      </c>
      <c r="J190" s="73"/>
      <c r="K190" s="73">
        <v>24</v>
      </c>
      <c r="L190" s="73"/>
      <c r="M190" s="73">
        <v>26</v>
      </c>
      <c r="N190" s="73"/>
      <c r="O190" s="73">
        <v>33</v>
      </c>
      <c r="P190" s="73"/>
      <c r="Q190" s="46">
        <f t="shared" si="15"/>
        <v>100</v>
      </c>
      <c r="R190" s="29">
        <f t="shared" si="20"/>
        <v>0</v>
      </c>
      <c r="S190" s="29">
        <f t="shared" si="18"/>
        <v>0</v>
      </c>
      <c r="T190" s="29">
        <f t="shared" si="16"/>
        <v>0</v>
      </c>
      <c r="U190" s="40">
        <f t="shared" si="17"/>
        <v>0</v>
      </c>
      <c r="V190" s="29">
        <f t="shared" si="19"/>
        <v>0</v>
      </c>
      <c r="W190" s="32"/>
    </row>
    <row r="191" spans="1:23" ht="13.5" customHeight="1" thickBot="1" x14ac:dyDescent="0.3">
      <c r="A191" s="116"/>
      <c r="B191" s="82">
        <v>10</v>
      </c>
      <c r="C191" s="37" t="s">
        <v>580</v>
      </c>
      <c r="D191" s="70" t="s">
        <v>581</v>
      </c>
      <c r="E191" s="70" t="s">
        <v>582</v>
      </c>
      <c r="F191" s="71" t="s">
        <v>583</v>
      </c>
      <c r="G191" s="72">
        <v>80</v>
      </c>
      <c r="H191" s="72" t="s">
        <v>61</v>
      </c>
      <c r="I191" s="73"/>
      <c r="J191" s="73"/>
      <c r="K191" s="73"/>
      <c r="L191" s="73"/>
      <c r="M191" s="73">
        <v>40</v>
      </c>
      <c r="N191" s="73"/>
      <c r="O191" s="73">
        <v>39</v>
      </c>
      <c r="P191" s="73"/>
      <c r="Q191" s="46">
        <f t="shared" si="15"/>
        <v>79</v>
      </c>
      <c r="R191" s="29">
        <f t="shared" si="20"/>
        <v>0</v>
      </c>
      <c r="S191" s="29">
        <f t="shared" si="18"/>
        <v>0</v>
      </c>
      <c r="T191" s="29">
        <f t="shared" si="16"/>
        <v>0</v>
      </c>
      <c r="U191" s="40">
        <f t="shared" si="17"/>
        <v>1</v>
      </c>
      <c r="V191" s="29">
        <f t="shared" si="19"/>
        <v>0</v>
      </c>
      <c r="W191" s="32"/>
    </row>
    <row r="192" spans="1:23" ht="13.5" customHeight="1" thickBot="1" x14ac:dyDescent="0.3">
      <c r="A192" s="116"/>
      <c r="B192" s="82">
        <v>11</v>
      </c>
      <c r="C192" s="37" t="s">
        <v>584</v>
      </c>
      <c r="D192" s="70" t="s">
        <v>585</v>
      </c>
      <c r="E192" s="70" t="s">
        <v>586</v>
      </c>
      <c r="F192" s="71" t="s">
        <v>557</v>
      </c>
      <c r="G192" s="72">
        <v>145</v>
      </c>
      <c r="H192" s="72" t="s">
        <v>34</v>
      </c>
      <c r="I192" s="73"/>
      <c r="J192" s="73"/>
      <c r="K192" s="73">
        <v>48</v>
      </c>
      <c r="L192" s="73"/>
      <c r="M192" s="73">
        <v>40</v>
      </c>
      <c r="N192" s="73"/>
      <c r="O192" s="73">
        <v>43</v>
      </c>
      <c r="P192" s="73"/>
      <c r="Q192" s="46">
        <f t="shared" si="15"/>
        <v>131</v>
      </c>
      <c r="R192" s="29">
        <f t="shared" si="20"/>
        <v>0</v>
      </c>
      <c r="S192" s="29">
        <f t="shared" si="18"/>
        <v>0</v>
      </c>
      <c r="T192" s="29">
        <f t="shared" si="16"/>
        <v>0</v>
      </c>
      <c r="U192" s="40">
        <f t="shared" si="17"/>
        <v>14</v>
      </c>
      <c r="V192" s="29">
        <f t="shared" si="19"/>
        <v>0</v>
      </c>
      <c r="W192" s="32"/>
    </row>
    <row r="193" spans="1:23" ht="13.5" customHeight="1" thickBot="1" x14ac:dyDescent="0.3">
      <c r="A193" s="116"/>
      <c r="B193" s="82">
        <v>12</v>
      </c>
      <c r="C193" s="37" t="s">
        <v>587</v>
      </c>
      <c r="D193" s="70" t="s">
        <v>584</v>
      </c>
      <c r="E193" s="70" t="s">
        <v>588</v>
      </c>
      <c r="F193" s="71" t="s">
        <v>589</v>
      </c>
      <c r="G193" s="72">
        <v>214</v>
      </c>
      <c r="H193" s="72" t="s">
        <v>34</v>
      </c>
      <c r="I193" s="73"/>
      <c r="J193" s="73"/>
      <c r="K193" s="73">
        <v>49</v>
      </c>
      <c r="L193" s="73"/>
      <c r="M193" s="73">
        <v>62</v>
      </c>
      <c r="N193" s="73">
        <v>1</v>
      </c>
      <c r="O193" s="73">
        <v>96</v>
      </c>
      <c r="P193" s="73">
        <v>2</v>
      </c>
      <c r="Q193" s="46">
        <f t="shared" si="15"/>
        <v>207</v>
      </c>
      <c r="R193" s="29">
        <f t="shared" si="20"/>
        <v>3</v>
      </c>
      <c r="S193" s="29">
        <f t="shared" si="18"/>
        <v>0</v>
      </c>
      <c r="T193" s="29">
        <f t="shared" si="16"/>
        <v>2</v>
      </c>
      <c r="U193" s="40">
        <f t="shared" si="17"/>
        <v>5</v>
      </c>
      <c r="V193" s="29">
        <f t="shared" si="19"/>
        <v>0</v>
      </c>
      <c r="W193" s="32"/>
    </row>
    <row r="194" spans="1:23" ht="13.5" customHeight="1" thickBot="1" x14ac:dyDescent="0.3">
      <c r="A194" s="116"/>
      <c r="B194" s="82">
        <v>13</v>
      </c>
      <c r="C194" s="37" t="s">
        <v>590</v>
      </c>
      <c r="D194" s="70" t="s">
        <v>591</v>
      </c>
      <c r="E194" s="70" t="s">
        <v>592</v>
      </c>
      <c r="F194" s="71" t="s">
        <v>557</v>
      </c>
      <c r="G194" s="72">
        <v>35</v>
      </c>
      <c r="H194" s="72" t="s">
        <v>34</v>
      </c>
      <c r="I194" s="73"/>
      <c r="J194" s="73"/>
      <c r="K194" s="73">
        <v>11</v>
      </c>
      <c r="L194" s="73"/>
      <c r="M194" s="73">
        <v>10</v>
      </c>
      <c r="N194" s="73"/>
      <c r="O194" s="73">
        <v>13</v>
      </c>
      <c r="P194" s="73"/>
      <c r="Q194" s="46">
        <f t="shared" si="15"/>
        <v>34</v>
      </c>
      <c r="R194" s="29">
        <f t="shared" si="20"/>
        <v>0</v>
      </c>
      <c r="S194" s="29">
        <f t="shared" si="18"/>
        <v>0</v>
      </c>
      <c r="T194" s="29">
        <f t="shared" si="16"/>
        <v>0</v>
      </c>
      <c r="U194" s="40">
        <f t="shared" si="17"/>
        <v>1</v>
      </c>
      <c r="V194" s="29">
        <f t="shared" si="19"/>
        <v>0</v>
      </c>
      <c r="W194" s="32"/>
    </row>
    <row r="195" spans="1:23" ht="13.5" customHeight="1" thickBot="1" x14ac:dyDescent="0.3">
      <c r="A195" s="116"/>
      <c r="B195" s="82">
        <v>14</v>
      </c>
      <c r="C195" s="37" t="s">
        <v>593</v>
      </c>
      <c r="D195" s="73" t="s">
        <v>594</v>
      </c>
      <c r="E195" s="73" t="s">
        <v>595</v>
      </c>
      <c r="F195" s="71" t="s">
        <v>589</v>
      </c>
      <c r="G195" s="72">
        <v>70</v>
      </c>
      <c r="H195" s="72"/>
      <c r="I195" s="73"/>
      <c r="J195" s="73"/>
      <c r="K195" s="73"/>
      <c r="L195" s="73"/>
      <c r="M195" s="73">
        <v>34</v>
      </c>
      <c r="N195" s="73"/>
      <c r="O195" s="73">
        <v>34</v>
      </c>
      <c r="P195" s="73"/>
      <c r="Q195" s="46">
        <f t="shared" si="15"/>
        <v>68</v>
      </c>
      <c r="R195" s="29">
        <f t="shared" si="20"/>
        <v>0</v>
      </c>
      <c r="S195" s="29">
        <f t="shared" si="18"/>
        <v>0</v>
      </c>
      <c r="T195" s="29">
        <f t="shared" si="16"/>
        <v>0</v>
      </c>
      <c r="U195" s="40">
        <f t="shared" si="17"/>
        <v>2</v>
      </c>
      <c r="V195" s="29">
        <f t="shared" si="19"/>
        <v>0</v>
      </c>
      <c r="W195" s="32"/>
    </row>
    <row r="196" spans="1:23" ht="13.5" customHeight="1" thickBot="1" x14ac:dyDescent="0.3">
      <c r="A196" s="116"/>
      <c r="B196" s="82">
        <v>15</v>
      </c>
      <c r="C196" s="37" t="s">
        <v>596</v>
      </c>
      <c r="D196" s="73" t="s">
        <v>274</v>
      </c>
      <c r="E196" s="70" t="s">
        <v>597</v>
      </c>
      <c r="F196" s="71" t="s">
        <v>557</v>
      </c>
      <c r="G196" s="72">
        <v>165</v>
      </c>
      <c r="H196" s="72"/>
      <c r="I196" s="73"/>
      <c r="J196" s="73"/>
      <c r="K196" s="73"/>
      <c r="L196" s="73"/>
      <c r="M196" s="73">
        <v>59</v>
      </c>
      <c r="N196" s="73"/>
      <c r="O196" s="73">
        <v>27</v>
      </c>
      <c r="P196" s="73"/>
      <c r="Q196" s="46">
        <f t="shared" ref="Q196:Q259" si="23">SUM(I196,K196,M196,O196)</f>
        <v>86</v>
      </c>
      <c r="R196" s="29">
        <f t="shared" si="20"/>
        <v>0</v>
      </c>
      <c r="S196" s="29">
        <f t="shared" si="18"/>
        <v>0</v>
      </c>
      <c r="T196" s="29">
        <f t="shared" ref="T196:T259" si="24">IF((N196+P196)&gt;=1,2,0)</f>
        <v>0</v>
      </c>
      <c r="U196" s="40">
        <f t="shared" ref="U196:U259" si="25">SUM(G196-Q196-((S196*1)+(T196*1)))</f>
        <v>79</v>
      </c>
      <c r="V196" s="29">
        <f t="shared" ref="V196:V198" si="26">IF(U196&lt;0,U196,0)</f>
        <v>0</v>
      </c>
      <c r="W196" s="32"/>
    </row>
    <row r="197" spans="1:23" ht="13.5" customHeight="1" thickBot="1" x14ac:dyDescent="0.3">
      <c r="A197" s="116"/>
      <c r="B197" s="82">
        <v>16</v>
      </c>
      <c r="C197" s="37" t="s">
        <v>598</v>
      </c>
      <c r="D197" s="70" t="s">
        <v>538</v>
      </c>
      <c r="E197" s="70" t="s">
        <v>599</v>
      </c>
      <c r="F197" s="71" t="s">
        <v>557</v>
      </c>
      <c r="G197" s="72">
        <v>200</v>
      </c>
      <c r="H197" s="72" t="s">
        <v>56</v>
      </c>
      <c r="I197" s="73">
        <v>20</v>
      </c>
      <c r="J197" s="73"/>
      <c r="K197" s="73">
        <v>45</v>
      </c>
      <c r="L197" s="73"/>
      <c r="M197" s="73">
        <v>62</v>
      </c>
      <c r="N197" s="73">
        <v>1</v>
      </c>
      <c r="O197" s="73">
        <v>68</v>
      </c>
      <c r="P197" s="73">
        <v>2</v>
      </c>
      <c r="Q197" s="46">
        <f t="shared" si="23"/>
        <v>195</v>
      </c>
      <c r="R197" s="29">
        <f t="shared" si="20"/>
        <v>3</v>
      </c>
      <c r="S197" s="29">
        <f t="shared" si="18"/>
        <v>0</v>
      </c>
      <c r="T197" s="29">
        <f t="shared" si="24"/>
        <v>2</v>
      </c>
      <c r="U197" s="40">
        <f t="shared" si="25"/>
        <v>3</v>
      </c>
      <c r="V197" s="29">
        <f t="shared" si="26"/>
        <v>0</v>
      </c>
      <c r="W197" s="32"/>
    </row>
    <row r="198" spans="1:23" ht="13.5" customHeight="1" x14ac:dyDescent="0.25">
      <c r="A198" s="116"/>
      <c r="B198" s="82">
        <v>17</v>
      </c>
      <c r="C198" s="37" t="s">
        <v>600</v>
      </c>
      <c r="D198" s="70" t="s">
        <v>601</v>
      </c>
      <c r="E198" s="70" t="s">
        <v>602</v>
      </c>
      <c r="F198" s="71" t="s">
        <v>603</v>
      </c>
      <c r="G198" s="72">
        <v>50</v>
      </c>
      <c r="H198" s="72" t="s">
        <v>34</v>
      </c>
      <c r="I198" s="73"/>
      <c r="J198" s="73"/>
      <c r="K198" s="73"/>
      <c r="L198" s="73"/>
      <c r="M198" s="73">
        <v>20</v>
      </c>
      <c r="N198" s="73"/>
      <c r="O198" s="73">
        <v>30</v>
      </c>
      <c r="P198" s="73"/>
      <c r="Q198" s="46">
        <f t="shared" si="23"/>
        <v>50</v>
      </c>
      <c r="R198" s="29">
        <f t="shared" si="20"/>
        <v>0</v>
      </c>
      <c r="S198" s="29">
        <f t="shared" si="18"/>
        <v>0</v>
      </c>
      <c r="T198" s="29">
        <f t="shared" si="24"/>
        <v>0</v>
      </c>
      <c r="U198" s="40">
        <f t="shared" si="25"/>
        <v>0</v>
      </c>
      <c r="V198" s="29">
        <f t="shared" si="26"/>
        <v>0</v>
      </c>
      <c r="W198" s="32"/>
    </row>
    <row r="199" spans="1:23" ht="13.5" customHeight="1" x14ac:dyDescent="0.25">
      <c r="A199" s="116"/>
      <c r="B199" s="82">
        <v>18</v>
      </c>
      <c r="C199" s="37" t="s">
        <v>604</v>
      </c>
      <c r="D199" s="70"/>
      <c r="E199" s="70" t="s">
        <v>605</v>
      </c>
      <c r="F199" s="71" t="s">
        <v>589</v>
      </c>
      <c r="G199" s="72">
        <v>189</v>
      </c>
      <c r="H199" s="72" t="s">
        <v>61</v>
      </c>
      <c r="I199" s="73"/>
      <c r="J199" s="73"/>
      <c r="K199" s="73"/>
      <c r="L199" s="73"/>
      <c r="M199" s="73">
        <v>115</v>
      </c>
      <c r="N199" s="73"/>
      <c r="O199" s="73">
        <v>39</v>
      </c>
      <c r="P199" s="73"/>
      <c r="Q199" s="46">
        <f t="shared" si="23"/>
        <v>154</v>
      </c>
      <c r="R199" s="29">
        <f t="shared" si="20"/>
        <v>0</v>
      </c>
      <c r="S199" s="29">
        <f t="shared" si="18"/>
        <v>0</v>
      </c>
      <c r="T199" s="29">
        <f t="shared" si="24"/>
        <v>0</v>
      </c>
      <c r="U199" s="40">
        <f t="shared" si="25"/>
        <v>35</v>
      </c>
      <c r="V199" s="29">
        <f t="shared" si="19"/>
        <v>0</v>
      </c>
      <c r="W199" s="32" t="s">
        <v>553</v>
      </c>
    </row>
    <row r="200" spans="1:23" ht="13.5" customHeight="1" x14ac:dyDescent="0.25">
      <c r="A200" s="117"/>
      <c r="B200" s="83">
        <v>19</v>
      </c>
      <c r="C200" s="84" t="s">
        <v>606</v>
      </c>
      <c r="D200" s="76"/>
      <c r="E200" s="76" t="s">
        <v>607</v>
      </c>
      <c r="F200" s="77" t="s">
        <v>608</v>
      </c>
      <c r="G200" s="78">
        <v>38</v>
      </c>
      <c r="H200" s="78" t="s">
        <v>34</v>
      </c>
      <c r="I200" s="79"/>
      <c r="J200" s="79"/>
      <c r="K200" s="79">
        <v>18</v>
      </c>
      <c r="L200" s="79"/>
      <c r="M200" s="79">
        <v>10</v>
      </c>
      <c r="N200" s="79"/>
      <c r="O200" s="79">
        <v>10</v>
      </c>
      <c r="P200" s="79"/>
      <c r="Q200" s="47">
        <f t="shared" si="23"/>
        <v>38</v>
      </c>
      <c r="R200" s="33">
        <f t="shared" si="20"/>
        <v>0</v>
      </c>
      <c r="S200" s="33">
        <f t="shared" ref="S200:S263" si="27">IF((J200+L200)&gt;=1,2,0)</f>
        <v>0</v>
      </c>
      <c r="T200" s="33">
        <f t="shared" si="24"/>
        <v>0</v>
      </c>
      <c r="U200" s="40">
        <f t="shared" si="25"/>
        <v>0</v>
      </c>
      <c r="V200" s="33">
        <f t="shared" si="19"/>
        <v>0</v>
      </c>
      <c r="W200" s="34" t="s">
        <v>553</v>
      </c>
    </row>
    <row r="201" spans="1:23" ht="13.5" customHeight="1" x14ac:dyDescent="0.25">
      <c r="A201" s="3"/>
      <c r="B201" s="3"/>
      <c r="Q201" s="4"/>
      <c r="R201" s="4"/>
      <c r="S201" s="4"/>
      <c r="T201" s="4"/>
      <c r="U201" s="30"/>
      <c r="V201" s="1"/>
      <c r="W201" s="2"/>
    </row>
    <row r="202" spans="1:23" ht="13.5" customHeight="1" thickBot="1" x14ac:dyDescent="0.3">
      <c r="A202" s="115" t="s">
        <v>609</v>
      </c>
      <c r="B202" s="80">
        <v>1</v>
      </c>
      <c r="C202" s="81" t="s">
        <v>610</v>
      </c>
      <c r="D202" s="64" t="s">
        <v>610</v>
      </c>
      <c r="E202" s="67" t="s">
        <v>611</v>
      </c>
      <c r="F202" s="65" t="s">
        <v>612</v>
      </c>
      <c r="G202" s="66">
        <v>70</v>
      </c>
      <c r="H202" s="66"/>
      <c r="I202" s="67"/>
      <c r="J202" s="67"/>
      <c r="K202" s="67">
        <v>24</v>
      </c>
      <c r="L202" s="67">
        <v>1</v>
      </c>
      <c r="M202" s="67">
        <v>25</v>
      </c>
      <c r="N202" s="67"/>
      <c r="O202" s="67">
        <v>20</v>
      </c>
      <c r="P202" s="67"/>
      <c r="Q202" s="45">
        <f t="shared" si="23"/>
        <v>69</v>
      </c>
      <c r="R202" s="30">
        <f t="shared" ref="R202:R265" si="28">SUM(J202,L202,N202,P202)</f>
        <v>1</v>
      </c>
      <c r="S202" s="30">
        <f t="shared" si="27"/>
        <v>2</v>
      </c>
      <c r="T202" s="30">
        <f t="shared" si="24"/>
        <v>0</v>
      </c>
      <c r="U202" s="40">
        <f t="shared" si="25"/>
        <v>-1</v>
      </c>
      <c r="V202" s="30">
        <f t="shared" si="19"/>
        <v>-1</v>
      </c>
      <c r="W202" s="31"/>
    </row>
    <row r="203" spans="1:23" ht="13.5" customHeight="1" thickBot="1" x14ac:dyDescent="0.3">
      <c r="A203" s="116"/>
      <c r="B203" s="82">
        <v>2</v>
      </c>
      <c r="C203" s="37" t="s">
        <v>613</v>
      </c>
      <c r="D203" s="70" t="s">
        <v>613</v>
      </c>
      <c r="E203" s="70" t="s">
        <v>614</v>
      </c>
      <c r="F203" s="71" t="s">
        <v>612</v>
      </c>
      <c r="G203" s="38">
        <v>100</v>
      </c>
      <c r="H203" s="72"/>
      <c r="I203" s="73"/>
      <c r="J203" s="73"/>
      <c r="K203" s="73">
        <v>24</v>
      </c>
      <c r="L203" s="73"/>
      <c r="M203" s="73">
        <v>42</v>
      </c>
      <c r="N203" s="73"/>
      <c r="O203" s="73">
        <v>34</v>
      </c>
      <c r="P203" s="73">
        <v>1</v>
      </c>
      <c r="Q203" s="46">
        <f t="shared" si="23"/>
        <v>100</v>
      </c>
      <c r="R203" s="29">
        <f t="shared" si="28"/>
        <v>1</v>
      </c>
      <c r="S203" s="29">
        <f t="shared" si="27"/>
        <v>0</v>
      </c>
      <c r="T203" s="29">
        <f t="shared" si="24"/>
        <v>2</v>
      </c>
      <c r="U203" s="40">
        <f t="shared" si="25"/>
        <v>-2</v>
      </c>
      <c r="V203" s="29">
        <f t="shared" si="19"/>
        <v>-2</v>
      </c>
      <c r="W203" s="32"/>
    </row>
    <row r="204" spans="1:23" ht="13.5" customHeight="1" thickBot="1" x14ac:dyDescent="0.3">
      <c r="A204" s="116"/>
      <c r="B204" s="82">
        <v>3</v>
      </c>
      <c r="C204" s="37" t="s">
        <v>615</v>
      </c>
      <c r="D204" s="70" t="s">
        <v>95</v>
      </c>
      <c r="E204" s="70" t="s">
        <v>616</v>
      </c>
      <c r="F204" s="71" t="s">
        <v>612</v>
      </c>
      <c r="G204" s="72">
        <v>35</v>
      </c>
      <c r="H204" s="72" t="s">
        <v>61</v>
      </c>
      <c r="I204" s="73"/>
      <c r="J204" s="73"/>
      <c r="K204" s="73"/>
      <c r="L204" s="73"/>
      <c r="M204" s="73">
        <v>15</v>
      </c>
      <c r="N204" s="73"/>
      <c r="O204" s="73">
        <v>20</v>
      </c>
      <c r="P204" s="73"/>
      <c r="Q204" s="46">
        <f t="shared" si="23"/>
        <v>35</v>
      </c>
      <c r="R204" s="29">
        <f t="shared" si="28"/>
        <v>0</v>
      </c>
      <c r="S204" s="29">
        <f t="shared" si="27"/>
        <v>0</v>
      </c>
      <c r="T204" s="29">
        <f t="shared" si="24"/>
        <v>0</v>
      </c>
      <c r="U204" s="40">
        <f t="shared" si="25"/>
        <v>0</v>
      </c>
      <c r="V204" s="29">
        <f t="shared" si="19"/>
        <v>0</v>
      </c>
      <c r="W204" s="32"/>
    </row>
    <row r="205" spans="1:23" ht="13.5" customHeight="1" thickBot="1" x14ac:dyDescent="0.3">
      <c r="A205" s="116"/>
      <c r="B205" s="82">
        <v>4</v>
      </c>
      <c r="C205" s="37" t="s">
        <v>617</v>
      </c>
      <c r="D205" s="70" t="s">
        <v>617</v>
      </c>
      <c r="E205" s="70" t="s">
        <v>618</v>
      </c>
      <c r="F205" s="71" t="s">
        <v>619</v>
      </c>
      <c r="G205" s="72">
        <v>70</v>
      </c>
      <c r="H205" s="72" t="s">
        <v>34</v>
      </c>
      <c r="I205" s="73"/>
      <c r="J205" s="73"/>
      <c r="K205" s="73">
        <v>18</v>
      </c>
      <c r="L205" s="73"/>
      <c r="M205" s="73">
        <v>34</v>
      </c>
      <c r="N205" s="73"/>
      <c r="O205" s="73">
        <v>18</v>
      </c>
      <c r="P205" s="73"/>
      <c r="Q205" s="46">
        <f t="shared" si="23"/>
        <v>70</v>
      </c>
      <c r="R205" s="29">
        <f t="shared" si="28"/>
        <v>0</v>
      </c>
      <c r="S205" s="29">
        <f t="shared" si="27"/>
        <v>0</v>
      </c>
      <c r="T205" s="29">
        <f t="shared" si="24"/>
        <v>0</v>
      </c>
      <c r="U205" s="40">
        <f t="shared" si="25"/>
        <v>0</v>
      </c>
      <c r="V205" s="29">
        <f t="shared" si="19"/>
        <v>0</v>
      </c>
      <c r="W205" s="32"/>
    </row>
    <row r="206" spans="1:23" ht="13.5" customHeight="1" thickBot="1" x14ac:dyDescent="0.3">
      <c r="A206" s="116"/>
      <c r="B206" s="82">
        <v>5</v>
      </c>
      <c r="C206" s="100" t="s">
        <v>620</v>
      </c>
      <c r="D206" s="73" t="s">
        <v>621</v>
      </c>
      <c r="E206" s="70" t="s">
        <v>622</v>
      </c>
      <c r="F206" s="71" t="s">
        <v>612</v>
      </c>
      <c r="G206" s="72">
        <v>152</v>
      </c>
      <c r="H206" s="72"/>
      <c r="I206" s="73"/>
      <c r="J206" s="73"/>
      <c r="K206" s="73">
        <v>69</v>
      </c>
      <c r="L206" s="73"/>
      <c r="M206" s="73">
        <v>60</v>
      </c>
      <c r="N206" s="73"/>
      <c r="O206" s="73">
        <v>23</v>
      </c>
      <c r="P206" s="73"/>
      <c r="Q206" s="46">
        <f t="shared" si="23"/>
        <v>152</v>
      </c>
      <c r="R206" s="29">
        <f t="shared" si="28"/>
        <v>0</v>
      </c>
      <c r="S206" s="29">
        <f t="shared" si="27"/>
        <v>0</v>
      </c>
      <c r="T206" s="29">
        <f t="shared" si="24"/>
        <v>0</v>
      </c>
      <c r="U206" s="40">
        <f t="shared" si="25"/>
        <v>0</v>
      </c>
      <c r="V206" s="29">
        <f t="shared" ref="V206:V271" si="29">IF(U206&lt;0,U206,0)</f>
        <v>0</v>
      </c>
      <c r="W206" s="32"/>
    </row>
    <row r="207" spans="1:23" ht="13.5" customHeight="1" thickBot="1" x14ac:dyDescent="0.3">
      <c r="A207" s="116"/>
      <c r="B207" s="82">
        <v>6</v>
      </c>
      <c r="C207" s="37" t="s">
        <v>623</v>
      </c>
      <c r="D207" s="70" t="s">
        <v>624</v>
      </c>
      <c r="E207" s="70" t="s">
        <v>625</v>
      </c>
      <c r="F207" s="71" t="s">
        <v>626</v>
      </c>
      <c r="G207" s="72">
        <v>168</v>
      </c>
      <c r="H207" s="72" t="s">
        <v>627</v>
      </c>
      <c r="I207" s="73"/>
      <c r="J207" s="73"/>
      <c r="K207" s="73">
        <v>14</v>
      </c>
      <c r="L207" s="73"/>
      <c r="M207" s="73">
        <v>67</v>
      </c>
      <c r="N207" s="73"/>
      <c r="O207" s="73">
        <v>82</v>
      </c>
      <c r="P207" s="73"/>
      <c r="Q207" s="46">
        <f t="shared" si="23"/>
        <v>163</v>
      </c>
      <c r="R207" s="29">
        <f t="shared" si="28"/>
        <v>0</v>
      </c>
      <c r="S207" s="29">
        <f t="shared" si="27"/>
        <v>0</v>
      </c>
      <c r="T207" s="29">
        <f t="shared" si="24"/>
        <v>0</v>
      </c>
      <c r="U207" s="40">
        <f t="shared" si="25"/>
        <v>5</v>
      </c>
      <c r="V207" s="29">
        <f t="shared" si="29"/>
        <v>0</v>
      </c>
      <c r="W207" s="32"/>
    </row>
    <row r="208" spans="1:23" ht="13.5" customHeight="1" thickBot="1" x14ac:dyDescent="0.3">
      <c r="A208" s="116"/>
      <c r="B208" s="82">
        <v>7</v>
      </c>
      <c r="C208" s="37" t="s">
        <v>628</v>
      </c>
      <c r="D208" s="73" t="s">
        <v>629</v>
      </c>
      <c r="E208" s="70" t="s">
        <v>630</v>
      </c>
      <c r="F208" s="71" t="s">
        <v>612</v>
      </c>
      <c r="G208" s="72">
        <v>124</v>
      </c>
      <c r="H208" s="72"/>
      <c r="I208" s="73"/>
      <c r="J208" s="73"/>
      <c r="K208" s="73"/>
      <c r="L208" s="73"/>
      <c r="M208" s="73">
        <v>46</v>
      </c>
      <c r="N208" s="73"/>
      <c r="O208" s="73">
        <v>76</v>
      </c>
      <c r="P208" s="73">
        <v>3</v>
      </c>
      <c r="Q208" s="46">
        <f t="shared" si="23"/>
        <v>122</v>
      </c>
      <c r="R208" s="29">
        <f t="shared" si="28"/>
        <v>3</v>
      </c>
      <c r="S208" s="29">
        <f t="shared" si="27"/>
        <v>0</v>
      </c>
      <c r="T208" s="29">
        <f t="shared" si="24"/>
        <v>2</v>
      </c>
      <c r="U208" s="40">
        <f t="shared" si="25"/>
        <v>0</v>
      </c>
      <c r="V208" s="29">
        <f t="shared" si="29"/>
        <v>0</v>
      </c>
      <c r="W208" s="32"/>
    </row>
    <row r="209" spans="1:23" ht="13.5" customHeight="1" thickBot="1" x14ac:dyDescent="0.3">
      <c r="A209" s="116"/>
      <c r="B209" s="82">
        <v>8</v>
      </c>
      <c r="C209" s="37" t="s">
        <v>631</v>
      </c>
      <c r="D209" s="70" t="s">
        <v>346</v>
      </c>
      <c r="E209" s="70" t="s">
        <v>632</v>
      </c>
      <c r="F209" s="71" t="s">
        <v>633</v>
      </c>
      <c r="G209" s="72">
        <v>151</v>
      </c>
      <c r="H209" s="72"/>
      <c r="I209" s="73"/>
      <c r="J209" s="73"/>
      <c r="K209" s="73">
        <v>50</v>
      </c>
      <c r="L209" s="73"/>
      <c r="M209" s="73">
        <v>49</v>
      </c>
      <c r="N209" s="73"/>
      <c r="O209" s="73">
        <v>20</v>
      </c>
      <c r="P209" s="73">
        <v>1</v>
      </c>
      <c r="Q209" s="46">
        <f t="shared" si="23"/>
        <v>119</v>
      </c>
      <c r="R209" s="29">
        <f t="shared" si="28"/>
        <v>1</v>
      </c>
      <c r="S209" s="29">
        <f t="shared" si="27"/>
        <v>0</v>
      </c>
      <c r="T209" s="29">
        <f t="shared" si="24"/>
        <v>2</v>
      </c>
      <c r="U209" s="40">
        <f t="shared" si="25"/>
        <v>30</v>
      </c>
      <c r="V209" s="29">
        <f t="shared" si="29"/>
        <v>0</v>
      </c>
      <c r="W209" s="32"/>
    </row>
    <row r="210" spans="1:23" ht="13.5" customHeight="1" thickBot="1" x14ac:dyDescent="0.3">
      <c r="A210" s="116"/>
      <c r="B210" s="82">
        <v>9</v>
      </c>
      <c r="C210" s="37" t="s">
        <v>634</v>
      </c>
      <c r="D210" s="70" t="s">
        <v>95</v>
      </c>
      <c r="E210" s="70" t="s">
        <v>635</v>
      </c>
      <c r="F210" s="71" t="s">
        <v>612</v>
      </c>
      <c r="G210" s="72">
        <v>34</v>
      </c>
      <c r="H210" s="72" t="s">
        <v>61</v>
      </c>
      <c r="I210" s="73"/>
      <c r="J210" s="73"/>
      <c r="K210" s="73"/>
      <c r="L210" s="73"/>
      <c r="M210" s="73">
        <v>15</v>
      </c>
      <c r="N210" s="73"/>
      <c r="O210" s="73">
        <v>19</v>
      </c>
      <c r="P210" s="73"/>
      <c r="Q210" s="46">
        <f t="shared" si="23"/>
        <v>34</v>
      </c>
      <c r="R210" s="29">
        <f t="shared" si="28"/>
        <v>0</v>
      </c>
      <c r="S210" s="29">
        <f t="shared" si="27"/>
        <v>0</v>
      </c>
      <c r="T210" s="29">
        <f t="shared" si="24"/>
        <v>0</v>
      </c>
      <c r="U210" s="40">
        <f t="shared" si="25"/>
        <v>0</v>
      </c>
      <c r="V210" s="29">
        <f t="shared" ref="V210:V213" si="30">IF(U210&lt;0,U210,0)</f>
        <v>0</v>
      </c>
      <c r="W210" s="32"/>
    </row>
    <row r="211" spans="1:23" ht="13.5" customHeight="1" thickBot="1" x14ac:dyDescent="0.3">
      <c r="A211" s="116"/>
      <c r="B211" s="82">
        <v>10</v>
      </c>
      <c r="C211" s="37" t="s">
        <v>636</v>
      </c>
      <c r="D211" s="70" t="s">
        <v>95</v>
      </c>
      <c r="E211" s="70" t="s">
        <v>637</v>
      </c>
      <c r="F211" s="71" t="s">
        <v>638</v>
      </c>
      <c r="G211" s="72">
        <v>35</v>
      </c>
      <c r="H211" s="72" t="s">
        <v>61</v>
      </c>
      <c r="I211" s="73"/>
      <c r="J211" s="73"/>
      <c r="K211" s="73"/>
      <c r="L211" s="73"/>
      <c r="M211" s="73">
        <v>15</v>
      </c>
      <c r="N211" s="73"/>
      <c r="O211" s="73">
        <v>19</v>
      </c>
      <c r="P211" s="73"/>
      <c r="Q211" s="46">
        <f t="shared" si="23"/>
        <v>34</v>
      </c>
      <c r="R211" s="29">
        <f t="shared" si="28"/>
        <v>0</v>
      </c>
      <c r="S211" s="29">
        <f t="shared" si="27"/>
        <v>0</v>
      </c>
      <c r="T211" s="29">
        <f t="shared" si="24"/>
        <v>0</v>
      </c>
      <c r="U211" s="40">
        <f t="shared" si="25"/>
        <v>1</v>
      </c>
      <c r="V211" s="29">
        <f t="shared" si="30"/>
        <v>0</v>
      </c>
      <c r="W211" s="32"/>
    </row>
    <row r="212" spans="1:23" ht="13.5" customHeight="1" thickBot="1" x14ac:dyDescent="0.3">
      <c r="A212" s="116"/>
      <c r="B212" s="82">
        <v>11</v>
      </c>
      <c r="C212" s="37" t="s">
        <v>639</v>
      </c>
      <c r="D212" s="70" t="s">
        <v>640</v>
      </c>
      <c r="E212" s="70" t="s">
        <v>641</v>
      </c>
      <c r="F212" s="71" t="s">
        <v>612</v>
      </c>
      <c r="G212" s="72">
        <v>85</v>
      </c>
      <c r="H212" s="72" t="s">
        <v>34</v>
      </c>
      <c r="I212" s="73"/>
      <c r="J212" s="73"/>
      <c r="K212" s="73">
        <v>16</v>
      </c>
      <c r="L212" s="73"/>
      <c r="M212" s="73">
        <v>49</v>
      </c>
      <c r="N212" s="73"/>
      <c r="O212" s="73">
        <v>20</v>
      </c>
      <c r="P212" s="73"/>
      <c r="Q212" s="46">
        <f t="shared" si="23"/>
        <v>85</v>
      </c>
      <c r="R212" s="29">
        <f t="shared" si="28"/>
        <v>0</v>
      </c>
      <c r="S212" s="29">
        <f t="shared" si="27"/>
        <v>0</v>
      </c>
      <c r="T212" s="29">
        <f t="shared" si="24"/>
        <v>0</v>
      </c>
      <c r="U212" s="40">
        <f t="shared" si="25"/>
        <v>0</v>
      </c>
      <c r="V212" s="29">
        <f t="shared" si="30"/>
        <v>0</v>
      </c>
      <c r="W212" s="32"/>
    </row>
    <row r="213" spans="1:23" ht="13.5" customHeight="1" x14ac:dyDescent="0.25">
      <c r="A213" s="116"/>
      <c r="B213" s="82">
        <v>12</v>
      </c>
      <c r="C213" s="37" t="s">
        <v>642</v>
      </c>
      <c r="D213" s="70" t="s">
        <v>643</v>
      </c>
      <c r="E213" s="70" t="s">
        <v>644</v>
      </c>
      <c r="F213" s="71" t="s">
        <v>633</v>
      </c>
      <c r="G213" s="72">
        <v>117</v>
      </c>
      <c r="H213" s="72" t="s">
        <v>34</v>
      </c>
      <c r="I213" s="73"/>
      <c r="J213" s="73"/>
      <c r="K213" s="73">
        <v>17</v>
      </c>
      <c r="L213" s="73"/>
      <c r="M213" s="73">
        <v>40</v>
      </c>
      <c r="N213" s="73"/>
      <c r="O213" s="73">
        <v>60</v>
      </c>
      <c r="P213" s="73"/>
      <c r="Q213" s="46">
        <f t="shared" si="23"/>
        <v>117</v>
      </c>
      <c r="R213" s="29">
        <f t="shared" si="28"/>
        <v>0</v>
      </c>
      <c r="S213" s="29">
        <f t="shared" si="27"/>
        <v>0</v>
      </c>
      <c r="T213" s="29">
        <f t="shared" si="24"/>
        <v>0</v>
      </c>
      <c r="U213" s="40">
        <f t="shared" si="25"/>
        <v>0</v>
      </c>
      <c r="V213" s="29">
        <f t="shared" si="30"/>
        <v>0</v>
      </c>
      <c r="W213" s="32"/>
    </row>
    <row r="214" spans="1:23" ht="13.5" customHeight="1" x14ac:dyDescent="0.25">
      <c r="A214" s="116"/>
      <c r="B214" s="82">
        <v>13</v>
      </c>
      <c r="C214" s="37" t="s">
        <v>645</v>
      </c>
      <c r="D214" s="70" t="s">
        <v>646</v>
      </c>
      <c r="E214" s="70" t="s">
        <v>647</v>
      </c>
      <c r="F214" s="71" t="s">
        <v>633</v>
      </c>
      <c r="G214" s="72">
        <v>202</v>
      </c>
      <c r="H214" s="72" t="s">
        <v>34</v>
      </c>
      <c r="I214" s="73"/>
      <c r="J214" s="73"/>
      <c r="K214" s="73">
        <v>74</v>
      </c>
      <c r="L214" s="73"/>
      <c r="M214" s="73">
        <v>39</v>
      </c>
      <c r="N214" s="73"/>
      <c r="O214" s="73">
        <v>13</v>
      </c>
      <c r="P214" s="73"/>
      <c r="Q214" s="46">
        <f t="shared" si="23"/>
        <v>126</v>
      </c>
      <c r="R214" s="29">
        <f t="shared" si="28"/>
        <v>0</v>
      </c>
      <c r="S214" s="29">
        <f t="shared" si="27"/>
        <v>0</v>
      </c>
      <c r="T214" s="29">
        <f t="shared" si="24"/>
        <v>0</v>
      </c>
      <c r="U214" s="40">
        <f t="shared" si="25"/>
        <v>76</v>
      </c>
      <c r="V214" s="29">
        <f t="shared" si="29"/>
        <v>0</v>
      </c>
      <c r="W214" s="32" t="s">
        <v>553</v>
      </c>
    </row>
    <row r="215" spans="1:23" ht="13.5" customHeight="1" x14ac:dyDescent="0.25">
      <c r="A215" s="116"/>
      <c r="B215" s="82">
        <v>14</v>
      </c>
      <c r="C215" s="37" t="s">
        <v>648</v>
      </c>
      <c r="D215" s="70" t="s">
        <v>646</v>
      </c>
      <c r="E215" s="70" t="s">
        <v>649</v>
      </c>
      <c r="F215" s="71" t="s">
        <v>612</v>
      </c>
      <c r="G215" s="72">
        <v>125</v>
      </c>
      <c r="H215" s="72" t="s">
        <v>34</v>
      </c>
      <c r="I215" s="73"/>
      <c r="J215" s="73"/>
      <c r="K215" s="73"/>
      <c r="L215" s="73"/>
      <c r="M215" s="73"/>
      <c r="N215" s="73"/>
      <c r="O215" s="73"/>
      <c r="P215" s="73"/>
      <c r="Q215" s="46">
        <f t="shared" si="23"/>
        <v>0</v>
      </c>
      <c r="R215" s="29">
        <f t="shared" si="28"/>
        <v>0</v>
      </c>
      <c r="S215" s="29">
        <f t="shared" si="27"/>
        <v>0</v>
      </c>
      <c r="T215" s="29">
        <f t="shared" si="24"/>
        <v>0</v>
      </c>
      <c r="U215" s="40">
        <f t="shared" si="25"/>
        <v>125</v>
      </c>
      <c r="V215" s="29">
        <f t="shared" si="29"/>
        <v>0</v>
      </c>
      <c r="W215" s="32" t="s">
        <v>553</v>
      </c>
    </row>
    <row r="216" spans="1:23" ht="13.5" customHeight="1" x14ac:dyDescent="0.25">
      <c r="A216" s="117"/>
      <c r="B216" s="83">
        <v>15</v>
      </c>
      <c r="C216" s="84" t="s">
        <v>650</v>
      </c>
      <c r="D216" s="76"/>
      <c r="E216" s="76" t="s">
        <v>651</v>
      </c>
      <c r="F216" s="77" t="s">
        <v>652</v>
      </c>
      <c r="G216" s="78">
        <v>140</v>
      </c>
      <c r="H216" s="78" t="s">
        <v>61</v>
      </c>
      <c r="I216" s="79"/>
      <c r="J216" s="79"/>
      <c r="K216" s="79"/>
      <c r="L216" s="79"/>
      <c r="M216" s="79">
        <v>22</v>
      </c>
      <c r="N216" s="79"/>
      <c r="O216" s="79">
        <v>89</v>
      </c>
      <c r="P216" s="79"/>
      <c r="Q216" s="47">
        <f t="shared" si="23"/>
        <v>111</v>
      </c>
      <c r="R216" s="33">
        <f t="shared" si="28"/>
        <v>0</v>
      </c>
      <c r="S216" s="33">
        <f t="shared" si="27"/>
        <v>0</v>
      </c>
      <c r="T216" s="33">
        <f t="shared" si="24"/>
        <v>0</v>
      </c>
      <c r="U216" s="40">
        <f t="shared" si="25"/>
        <v>29</v>
      </c>
      <c r="V216" s="33">
        <f t="shared" si="29"/>
        <v>0</v>
      </c>
      <c r="W216" s="34" t="s">
        <v>553</v>
      </c>
    </row>
    <row r="217" spans="1:23" ht="13.5" customHeight="1" x14ac:dyDescent="0.25">
      <c r="A217" s="3"/>
      <c r="B217" s="3"/>
      <c r="Q217" s="4"/>
      <c r="R217" s="4"/>
      <c r="S217" s="4"/>
      <c r="T217" s="4"/>
      <c r="U217" s="30"/>
      <c r="V217" s="1"/>
      <c r="W217" s="2"/>
    </row>
    <row r="218" spans="1:23" ht="13.5" customHeight="1" thickBot="1" x14ac:dyDescent="0.3">
      <c r="A218" s="115" t="s">
        <v>653</v>
      </c>
      <c r="B218" s="80">
        <v>1</v>
      </c>
      <c r="C218" s="81" t="s">
        <v>654</v>
      </c>
      <c r="D218" s="64" t="s">
        <v>654</v>
      </c>
      <c r="E218" s="64" t="s">
        <v>655</v>
      </c>
      <c r="F218" s="65" t="s">
        <v>656</v>
      </c>
      <c r="G218" s="66">
        <v>75</v>
      </c>
      <c r="H218" s="66" t="s">
        <v>61</v>
      </c>
      <c r="I218" s="67"/>
      <c r="J218" s="67"/>
      <c r="K218" s="67"/>
      <c r="L218" s="67"/>
      <c r="M218" s="67">
        <v>25</v>
      </c>
      <c r="N218" s="67"/>
      <c r="O218" s="67">
        <v>50</v>
      </c>
      <c r="P218" s="67"/>
      <c r="Q218" s="45">
        <f t="shared" si="23"/>
        <v>75</v>
      </c>
      <c r="R218" s="30">
        <f t="shared" si="28"/>
        <v>0</v>
      </c>
      <c r="S218" s="30">
        <f t="shared" si="27"/>
        <v>0</v>
      </c>
      <c r="T218" s="30">
        <f t="shared" si="24"/>
        <v>0</v>
      </c>
      <c r="U218" s="40">
        <f t="shared" si="25"/>
        <v>0</v>
      </c>
      <c r="V218" s="30">
        <f t="shared" si="29"/>
        <v>0</v>
      </c>
      <c r="W218" s="31"/>
    </row>
    <row r="219" spans="1:23" ht="13.5" customHeight="1" thickBot="1" x14ac:dyDescent="0.3">
      <c r="A219" s="116"/>
      <c r="B219" s="82">
        <v>2</v>
      </c>
      <c r="C219" s="37" t="s">
        <v>657</v>
      </c>
      <c r="D219" s="70" t="s">
        <v>657</v>
      </c>
      <c r="E219" s="70" t="s">
        <v>658</v>
      </c>
      <c r="F219" s="71" t="s">
        <v>659</v>
      </c>
      <c r="G219" s="72">
        <v>220</v>
      </c>
      <c r="H219" s="72" t="s">
        <v>61</v>
      </c>
      <c r="I219" s="73"/>
      <c r="J219" s="73"/>
      <c r="K219" s="73"/>
      <c r="L219" s="73"/>
      <c r="M219" s="73">
        <v>126</v>
      </c>
      <c r="N219" s="73"/>
      <c r="O219" s="73">
        <v>104</v>
      </c>
      <c r="P219" s="73"/>
      <c r="Q219" s="46">
        <f t="shared" si="23"/>
        <v>230</v>
      </c>
      <c r="R219" s="29">
        <f t="shared" si="28"/>
        <v>0</v>
      </c>
      <c r="S219" s="29">
        <f t="shared" si="27"/>
        <v>0</v>
      </c>
      <c r="T219" s="29">
        <f t="shared" si="24"/>
        <v>0</v>
      </c>
      <c r="U219" s="40">
        <f t="shared" si="25"/>
        <v>-10</v>
      </c>
      <c r="V219" s="29">
        <f t="shared" si="29"/>
        <v>-10</v>
      </c>
      <c r="W219" s="32"/>
    </row>
    <row r="220" spans="1:23" ht="13.5" customHeight="1" thickBot="1" x14ac:dyDescent="0.3">
      <c r="A220" s="116"/>
      <c r="B220" s="82">
        <v>3</v>
      </c>
      <c r="C220" s="37" t="s">
        <v>660</v>
      </c>
      <c r="D220" s="70" t="s">
        <v>660</v>
      </c>
      <c r="E220" s="70" t="s">
        <v>661</v>
      </c>
      <c r="F220" s="71" t="s">
        <v>656</v>
      </c>
      <c r="G220" s="72">
        <v>50</v>
      </c>
      <c r="H220" s="72" t="s">
        <v>34</v>
      </c>
      <c r="I220" s="73"/>
      <c r="J220" s="73"/>
      <c r="K220" s="73"/>
      <c r="L220" s="73"/>
      <c r="M220" s="73">
        <v>25</v>
      </c>
      <c r="N220" s="73"/>
      <c r="O220" s="73">
        <v>24</v>
      </c>
      <c r="P220" s="73"/>
      <c r="Q220" s="46">
        <f t="shared" si="23"/>
        <v>49</v>
      </c>
      <c r="R220" s="29">
        <f t="shared" si="28"/>
        <v>0</v>
      </c>
      <c r="S220" s="29">
        <f t="shared" si="27"/>
        <v>0</v>
      </c>
      <c r="T220" s="29">
        <f t="shared" si="24"/>
        <v>0</v>
      </c>
      <c r="U220" s="40">
        <f t="shared" si="25"/>
        <v>1</v>
      </c>
      <c r="V220" s="29">
        <f t="shared" si="29"/>
        <v>0</v>
      </c>
      <c r="W220" s="32"/>
    </row>
    <row r="221" spans="1:23" ht="13.5" customHeight="1" thickBot="1" x14ac:dyDescent="0.3">
      <c r="A221" s="116"/>
      <c r="B221" s="82">
        <v>4</v>
      </c>
      <c r="C221" s="37" t="s">
        <v>662</v>
      </c>
      <c r="D221" s="70" t="s">
        <v>660</v>
      </c>
      <c r="E221" s="70" t="s">
        <v>663</v>
      </c>
      <c r="F221" s="71" t="s">
        <v>656</v>
      </c>
      <c r="G221" s="72">
        <v>163</v>
      </c>
      <c r="H221" s="72" t="s">
        <v>61</v>
      </c>
      <c r="I221" s="73"/>
      <c r="J221" s="73"/>
      <c r="K221" s="73">
        <v>24</v>
      </c>
      <c r="L221" s="73"/>
      <c r="M221" s="73">
        <v>81</v>
      </c>
      <c r="N221" s="73">
        <v>1</v>
      </c>
      <c r="O221" s="73">
        <v>56</v>
      </c>
      <c r="P221" s="73"/>
      <c r="Q221" s="46">
        <f t="shared" si="23"/>
        <v>161</v>
      </c>
      <c r="R221" s="29">
        <f t="shared" si="28"/>
        <v>1</v>
      </c>
      <c r="S221" s="29">
        <f t="shared" si="27"/>
        <v>0</v>
      </c>
      <c r="T221" s="29">
        <f t="shared" si="24"/>
        <v>2</v>
      </c>
      <c r="U221" s="40">
        <f t="shared" si="25"/>
        <v>0</v>
      </c>
      <c r="V221" s="29">
        <f t="shared" si="29"/>
        <v>0</v>
      </c>
      <c r="W221" s="32"/>
    </row>
    <row r="222" spans="1:23" ht="13.5" customHeight="1" thickBot="1" x14ac:dyDescent="0.3">
      <c r="A222" s="116"/>
      <c r="B222" s="82">
        <v>5</v>
      </c>
      <c r="C222" s="37" t="s">
        <v>664</v>
      </c>
      <c r="D222" s="70" t="s">
        <v>22</v>
      </c>
      <c r="E222" s="70" t="s">
        <v>665</v>
      </c>
      <c r="F222" s="71" t="s">
        <v>656</v>
      </c>
      <c r="G222" s="72">
        <v>175</v>
      </c>
      <c r="H222" s="72" t="s">
        <v>61</v>
      </c>
      <c r="I222" s="73"/>
      <c r="J222" s="73"/>
      <c r="K222" s="73"/>
      <c r="L222" s="73"/>
      <c r="M222" s="73">
        <v>75</v>
      </c>
      <c r="N222" s="73"/>
      <c r="O222" s="73">
        <v>100</v>
      </c>
      <c r="P222" s="73"/>
      <c r="Q222" s="46">
        <f t="shared" si="23"/>
        <v>175</v>
      </c>
      <c r="R222" s="29">
        <f t="shared" si="28"/>
        <v>0</v>
      </c>
      <c r="S222" s="29">
        <f t="shared" si="27"/>
        <v>0</v>
      </c>
      <c r="T222" s="29">
        <f t="shared" si="24"/>
        <v>0</v>
      </c>
      <c r="U222" s="40">
        <f t="shared" si="25"/>
        <v>0</v>
      </c>
      <c r="V222" s="29">
        <f t="shared" si="29"/>
        <v>0</v>
      </c>
      <c r="W222" s="32"/>
    </row>
    <row r="223" spans="1:23" ht="13.5" customHeight="1" thickBot="1" x14ac:dyDescent="0.3">
      <c r="A223" s="116"/>
      <c r="B223" s="82">
        <v>6</v>
      </c>
      <c r="C223" s="37" t="s">
        <v>666</v>
      </c>
      <c r="D223" s="70" t="s">
        <v>666</v>
      </c>
      <c r="E223" s="70" t="s">
        <v>667</v>
      </c>
      <c r="F223" s="71" t="s">
        <v>668</v>
      </c>
      <c r="G223" s="72">
        <v>112</v>
      </c>
      <c r="H223" s="72"/>
      <c r="I223" s="73"/>
      <c r="J223" s="73"/>
      <c r="K223" s="73"/>
      <c r="L223" s="73"/>
      <c r="M223" s="73">
        <v>15</v>
      </c>
      <c r="N223" s="73"/>
      <c r="O223" s="73">
        <v>15</v>
      </c>
      <c r="P223" s="73"/>
      <c r="Q223" s="46">
        <f t="shared" si="23"/>
        <v>30</v>
      </c>
      <c r="R223" s="29">
        <f t="shared" si="28"/>
        <v>0</v>
      </c>
      <c r="S223" s="29">
        <f t="shared" si="27"/>
        <v>0</v>
      </c>
      <c r="T223" s="29">
        <f t="shared" si="24"/>
        <v>0</v>
      </c>
      <c r="U223" s="40">
        <f t="shared" si="25"/>
        <v>82</v>
      </c>
      <c r="V223" s="29">
        <f t="shared" si="29"/>
        <v>0</v>
      </c>
      <c r="W223" s="32"/>
    </row>
    <row r="224" spans="1:23" ht="13.5" customHeight="1" thickBot="1" x14ac:dyDescent="0.3">
      <c r="A224" s="116"/>
      <c r="B224" s="82">
        <v>7</v>
      </c>
      <c r="C224" s="37" t="s">
        <v>669</v>
      </c>
      <c r="D224" s="70" t="s">
        <v>669</v>
      </c>
      <c r="E224" s="70" t="s">
        <v>670</v>
      </c>
      <c r="F224" s="71" t="s">
        <v>656</v>
      </c>
      <c r="G224" s="72">
        <v>186</v>
      </c>
      <c r="H224" s="72" t="s">
        <v>34</v>
      </c>
      <c r="I224" s="73"/>
      <c r="J224" s="73"/>
      <c r="K224" s="73">
        <v>66</v>
      </c>
      <c r="L224" s="73"/>
      <c r="M224" s="73">
        <v>62</v>
      </c>
      <c r="N224" s="73"/>
      <c r="O224" s="73">
        <v>58</v>
      </c>
      <c r="P224" s="73"/>
      <c r="Q224" s="46">
        <f t="shared" si="23"/>
        <v>186</v>
      </c>
      <c r="R224" s="29">
        <f t="shared" si="28"/>
        <v>0</v>
      </c>
      <c r="S224" s="29">
        <f t="shared" si="27"/>
        <v>0</v>
      </c>
      <c r="T224" s="29">
        <f t="shared" si="24"/>
        <v>0</v>
      </c>
      <c r="U224" s="40">
        <f t="shared" si="25"/>
        <v>0</v>
      </c>
      <c r="V224" s="29">
        <f t="shared" si="29"/>
        <v>0</v>
      </c>
      <c r="W224" s="32"/>
    </row>
    <row r="225" spans="1:23" ht="13.5" customHeight="1" thickBot="1" x14ac:dyDescent="0.3">
      <c r="A225" s="116"/>
      <c r="B225" s="82">
        <v>8</v>
      </c>
      <c r="C225" s="37" t="s">
        <v>671</v>
      </c>
      <c r="D225" s="70" t="s">
        <v>669</v>
      </c>
      <c r="E225" s="70" t="s">
        <v>672</v>
      </c>
      <c r="F225" s="71" t="s">
        <v>633</v>
      </c>
      <c r="G225" s="72">
        <v>305</v>
      </c>
      <c r="H225" s="72"/>
      <c r="I225" s="73"/>
      <c r="J225" s="73"/>
      <c r="K225" s="73">
        <v>208</v>
      </c>
      <c r="L225" s="73"/>
      <c r="M225" s="73">
        <v>74</v>
      </c>
      <c r="N225" s="73"/>
      <c r="O225" s="73">
        <v>25</v>
      </c>
      <c r="P225" s="73"/>
      <c r="Q225" s="46">
        <f t="shared" si="23"/>
        <v>307</v>
      </c>
      <c r="R225" s="29">
        <f t="shared" si="28"/>
        <v>0</v>
      </c>
      <c r="S225" s="29">
        <f t="shared" si="27"/>
        <v>0</v>
      </c>
      <c r="T225" s="29">
        <f t="shared" si="24"/>
        <v>0</v>
      </c>
      <c r="U225" s="40">
        <f t="shared" si="25"/>
        <v>-2</v>
      </c>
      <c r="V225" s="29">
        <f t="shared" si="29"/>
        <v>-2</v>
      </c>
      <c r="W225" s="32"/>
    </row>
    <row r="226" spans="1:23" ht="13.5" customHeight="1" thickBot="1" x14ac:dyDescent="0.3">
      <c r="A226" s="116"/>
      <c r="B226" s="82">
        <v>9</v>
      </c>
      <c r="C226" s="37" t="s">
        <v>673</v>
      </c>
      <c r="D226" s="70" t="s">
        <v>674</v>
      </c>
      <c r="E226" s="70" t="s">
        <v>675</v>
      </c>
      <c r="F226" s="71" t="s">
        <v>676</v>
      </c>
      <c r="G226" s="72">
        <v>200</v>
      </c>
      <c r="H226" s="72" t="s">
        <v>34</v>
      </c>
      <c r="I226" s="73"/>
      <c r="J226" s="73"/>
      <c r="K226" s="73">
        <v>58</v>
      </c>
      <c r="L226" s="73"/>
      <c r="M226" s="73">
        <v>72</v>
      </c>
      <c r="N226" s="73"/>
      <c r="O226" s="73">
        <v>71</v>
      </c>
      <c r="P226" s="73"/>
      <c r="Q226" s="46">
        <f t="shared" si="23"/>
        <v>201</v>
      </c>
      <c r="R226" s="29">
        <f t="shared" si="28"/>
        <v>0</v>
      </c>
      <c r="S226" s="29">
        <f t="shared" si="27"/>
        <v>0</v>
      </c>
      <c r="T226" s="29">
        <f t="shared" si="24"/>
        <v>0</v>
      </c>
      <c r="U226" s="40">
        <f t="shared" si="25"/>
        <v>-1</v>
      </c>
      <c r="V226" s="29">
        <f t="shared" si="29"/>
        <v>-1</v>
      </c>
      <c r="W226" s="39"/>
    </row>
    <row r="227" spans="1:23" ht="13.5" customHeight="1" thickBot="1" x14ac:dyDescent="0.3">
      <c r="A227" s="116"/>
      <c r="B227" s="82">
        <v>10</v>
      </c>
      <c r="C227" s="37" t="s">
        <v>677</v>
      </c>
      <c r="D227" s="70" t="s">
        <v>674</v>
      </c>
      <c r="E227" s="70" t="s">
        <v>678</v>
      </c>
      <c r="F227" s="71" t="s">
        <v>676</v>
      </c>
      <c r="G227" s="72">
        <v>128</v>
      </c>
      <c r="H227" s="72" t="s">
        <v>34</v>
      </c>
      <c r="I227" s="73"/>
      <c r="J227" s="73"/>
      <c r="K227" s="73">
        <v>34</v>
      </c>
      <c r="L227" s="73"/>
      <c r="M227" s="73">
        <v>47</v>
      </c>
      <c r="N227" s="73"/>
      <c r="O227" s="73">
        <v>46</v>
      </c>
      <c r="P227" s="73">
        <v>1</v>
      </c>
      <c r="Q227" s="46">
        <f t="shared" si="23"/>
        <v>127</v>
      </c>
      <c r="R227" s="29">
        <f t="shared" si="28"/>
        <v>1</v>
      </c>
      <c r="S227" s="29">
        <f t="shared" si="27"/>
        <v>0</v>
      </c>
      <c r="T227" s="29">
        <f t="shared" si="24"/>
        <v>2</v>
      </c>
      <c r="U227" s="40">
        <f t="shared" si="25"/>
        <v>-1</v>
      </c>
      <c r="V227" s="29">
        <f t="shared" si="29"/>
        <v>-1</v>
      </c>
      <c r="W227" s="39"/>
    </row>
    <row r="228" spans="1:23" ht="13.5" customHeight="1" thickBot="1" x14ac:dyDescent="0.3">
      <c r="A228" s="116"/>
      <c r="B228" s="82">
        <v>11</v>
      </c>
      <c r="C228" s="37" t="s">
        <v>81</v>
      </c>
      <c r="D228" s="70" t="s">
        <v>679</v>
      </c>
      <c r="E228" s="70" t="s">
        <v>680</v>
      </c>
      <c r="F228" s="71" t="s">
        <v>656</v>
      </c>
      <c r="G228" s="72">
        <v>160</v>
      </c>
      <c r="H228" s="72" t="s">
        <v>34</v>
      </c>
      <c r="I228" s="73"/>
      <c r="J228" s="73"/>
      <c r="K228" s="73">
        <v>52</v>
      </c>
      <c r="L228" s="73"/>
      <c r="M228" s="73">
        <v>61</v>
      </c>
      <c r="N228" s="73"/>
      <c r="O228" s="73">
        <v>48</v>
      </c>
      <c r="P228" s="73"/>
      <c r="Q228" s="46">
        <f t="shared" si="23"/>
        <v>161</v>
      </c>
      <c r="R228" s="29">
        <f t="shared" si="28"/>
        <v>0</v>
      </c>
      <c r="S228" s="29">
        <f t="shared" si="27"/>
        <v>0</v>
      </c>
      <c r="T228" s="29">
        <f t="shared" si="24"/>
        <v>0</v>
      </c>
      <c r="U228" s="40">
        <f t="shared" si="25"/>
        <v>-1</v>
      </c>
      <c r="V228" s="29">
        <f t="shared" si="29"/>
        <v>-1</v>
      </c>
      <c r="W228" s="39"/>
    </row>
    <row r="229" spans="1:23" ht="13.5" customHeight="1" thickBot="1" x14ac:dyDescent="0.3">
      <c r="A229" s="116"/>
      <c r="B229" s="82">
        <v>12</v>
      </c>
      <c r="C229" s="37" t="s">
        <v>681</v>
      </c>
      <c r="D229" s="70" t="s">
        <v>681</v>
      </c>
      <c r="E229" s="70" t="s">
        <v>682</v>
      </c>
      <c r="F229" s="71" t="s">
        <v>659</v>
      </c>
      <c r="G229" s="72">
        <v>126</v>
      </c>
      <c r="H229" s="72" t="s">
        <v>61</v>
      </c>
      <c r="I229" s="73"/>
      <c r="J229" s="73"/>
      <c r="K229" s="73"/>
      <c r="L229" s="73"/>
      <c r="M229" s="73">
        <v>41</v>
      </c>
      <c r="N229" s="73">
        <v>2</v>
      </c>
      <c r="O229" s="73">
        <v>63</v>
      </c>
      <c r="P229" s="73">
        <v>1</v>
      </c>
      <c r="Q229" s="46">
        <f t="shared" si="23"/>
        <v>104</v>
      </c>
      <c r="R229" s="29">
        <f t="shared" si="28"/>
        <v>3</v>
      </c>
      <c r="S229" s="29">
        <f t="shared" si="27"/>
        <v>0</v>
      </c>
      <c r="T229" s="29">
        <f t="shared" si="24"/>
        <v>2</v>
      </c>
      <c r="U229" s="40">
        <f t="shared" si="25"/>
        <v>20</v>
      </c>
      <c r="V229" s="29">
        <f t="shared" si="29"/>
        <v>0</v>
      </c>
      <c r="W229" s="39"/>
    </row>
    <row r="230" spans="1:23" ht="13.5" customHeight="1" thickBot="1" x14ac:dyDescent="0.3">
      <c r="A230" s="116"/>
      <c r="B230" s="82">
        <v>13</v>
      </c>
      <c r="C230" s="37" t="s">
        <v>679</v>
      </c>
      <c r="D230" s="70" t="s">
        <v>679</v>
      </c>
      <c r="E230" s="70" t="s">
        <v>683</v>
      </c>
      <c r="F230" s="71" t="s">
        <v>656</v>
      </c>
      <c r="G230" s="72">
        <v>141</v>
      </c>
      <c r="H230" s="72" t="s">
        <v>34</v>
      </c>
      <c r="I230" s="73"/>
      <c r="J230" s="73"/>
      <c r="K230" s="73">
        <v>38</v>
      </c>
      <c r="L230" s="73"/>
      <c r="M230" s="73">
        <v>36</v>
      </c>
      <c r="N230" s="73"/>
      <c r="O230" s="73">
        <v>43</v>
      </c>
      <c r="P230" s="73"/>
      <c r="Q230" s="46">
        <f t="shared" si="23"/>
        <v>117</v>
      </c>
      <c r="R230" s="29">
        <f t="shared" si="28"/>
        <v>0</v>
      </c>
      <c r="S230" s="29">
        <f t="shared" si="27"/>
        <v>0</v>
      </c>
      <c r="T230" s="29">
        <f t="shared" si="24"/>
        <v>0</v>
      </c>
      <c r="U230" s="40">
        <f t="shared" si="25"/>
        <v>24</v>
      </c>
      <c r="V230" s="29">
        <f t="shared" si="29"/>
        <v>0</v>
      </c>
      <c r="W230" s="39"/>
    </row>
    <row r="231" spans="1:23" ht="13.5" customHeight="1" thickBot="1" x14ac:dyDescent="0.3">
      <c r="A231" s="116"/>
      <c r="B231" s="82">
        <v>14</v>
      </c>
      <c r="C231" s="37" t="s">
        <v>679</v>
      </c>
      <c r="D231" s="70" t="s">
        <v>679</v>
      </c>
      <c r="E231" s="70" t="s">
        <v>684</v>
      </c>
      <c r="F231" s="71" t="s">
        <v>656</v>
      </c>
      <c r="G231" s="72">
        <v>160</v>
      </c>
      <c r="H231" s="72" t="s">
        <v>56</v>
      </c>
      <c r="I231" s="73"/>
      <c r="J231" s="73"/>
      <c r="K231" s="73">
        <v>45</v>
      </c>
      <c r="L231" s="73"/>
      <c r="M231" s="73">
        <v>62</v>
      </c>
      <c r="N231" s="73"/>
      <c r="O231" s="73">
        <v>53</v>
      </c>
      <c r="P231" s="73"/>
      <c r="Q231" s="46">
        <f t="shared" si="23"/>
        <v>160</v>
      </c>
      <c r="R231" s="29">
        <f t="shared" si="28"/>
        <v>0</v>
      </c>
      <c r="S231" s="29">
        <f t="shared" si="27"/>
        <v>0</v>
      </c>
      <c r="T231" s="29">
        <f t="shared" si="24"/>
        <v>0</v>
      </c>
      <c r="U231" s="40">
        <f t="shared" si="25"/>
        <v>0</v>
      </c>
      <c r="V231" s="29">
        <f t="shared" si="29"/>
        <v>0</v>
      </c>
      <c r="W231" s="39"/>
    </row>
    <row r="232" spans="1:23" ht="13.5" customHeight="1" thickBot="1" x14ac:dyDescent="0.3">
      <c r="A232" s="116"/>
      <c r="B232" s="82">
        <v>15</v>
      </c>
      <c r="C232" s="37" t="s">
        <v>685</v>
      </c>
      <c r="D232" s="70" t="s">
        <v>685</v>
      </c>
      <c r="E232" s="70" t="s">
        <v>686</v>
      </c>
      <c r="F232" s="71" t="s">
        <v>656</v>
      </c>
      <c r="G232" s="72">
        <v>81</v>
      </c>
      <c r="H232" s="72" t="s">
        <v>34</v>
      </c>
      <c r="I232" s="99"/>
      <c r="J232" s="99"/>
      <c r="K232" s="99">
        <v>25</v>
      </c>
      <c r="L232" s="99"/>
      <c r="M232" s="99">
        <v>28</v>
      </c>
      <c r="N232" s="99"/>
      <c r="O232" s="99">
        <v>27</v>
      </c>
      <c r="P232" s="99"/>
      <c r="Q232" s="46">
        <f t="shared" si="23"/>
        <v>80</v>
      </c>
      <c r="R232" s="29">
        <f t="shared" si="28"/>
        <v>0</v>
      </c>
      <c r="S232" s="29">
        <f t="shared" si="27"/>
        <v>0</v>
      </c>
      <c r="T232" s="29">
        <f t="shared" si="24"/>
        <v>0</v>
      </c>
      <c r="U232" s="40">
        <f t="shared" si="25"/>
        <v>1</v>
      </c>
      <c r="V232" s="38">
        <f t="shared" si="29"/>
        <v>0</v>
      </c>
      <c r="W232" s="39"/>
    </row>
    <row r="233" spans="1:23" ht="13.5" customHeight="1" thickBot="1" x14ac:dyDescent="0.3">
      <c r="A233" s="116"/>
      <c r="B233" s="82">
        <v>16</v>
      </c>
      <c r="C233" s="37" t="s">
        <v>687</v>
      </c>
      <c r="D233" s="70" t="s">
        <v>687</v>
      </c>
      <c r="E233" s="70" t="s">
        <v>688</v>
      </c>
      <c r="F233" s="71" t="s">
        <v>656</v>
      </c>
      <c r="G233" s="72">
        <v>124</v>
      </c>
      <c r="H233" s="72"/>
      <c r="I233" s="73"/>
      <c r="J233" s="73"/>
      <c r="K233" s="73">
        <v>62</v>
      </c>
      <c r="L233" s="73"/>
      <c r="M233" s="73">
        <v>40</v>
      </c>
      <c r="N233" s="73"/>
      <c r="O233" s="73">
        <v>18</v>
      </c>
      <c r="P233" s="73"/>
      <c r="Q233" s="46">
        <f t="shared" si="23"/>
        <v>120</v>
      </c>
      <c r="R233" s="29">
        <f t="shared" si="28"/>
        <v>0</v>
      </c>
      <c r="S233" s="29">
        <f t="shared" si="27"/>
        <v>0</v>
      </c>
      <c r="T233" s="29">
        <f t="shared" si="24"/>
        <v>0</v>
      </c>
      <c r="U233" s="40">
        <f t="shared" si="25"/>
        <v>4</v>
      </c>
      <c r="V233" s="29">
        <f t="shared" si="29"/>
        <v>0</v>
      </c>
      <c r="W233" s="32"/>
    </row>
    <row r="234" spans="1:23" ht="13.5" customHeight="1" thickBot="1" x14ac:dyDescent="0.3">
      <c r="A234" s="116"/>
      <c r="B234" s="82">
        <v>17</v>
      </c>
      <c r="C234" s="37" t="s">
        <v>689</v>
      </c>
      <c r="D234" s="70" t="s">
        <v>689</v>
      </c>
      <c r="E234" s="70" t="s">
        <v>690</v>
      </c>
      <c r="F234" s="71" t="s">
        <v>656</v>
      </c>
      <c r="G234" s="72">
        <v>250</v>
      </c>
      <c r="H234" s="72"/>
      <c r="I234" s="73"/>
      <c r="J234" s="73"/>
      <c r="K234" s="73">
        <v>96</v>
      </c>
      <c r="L234" s="73"/>
      <c r="M234" s="73">
        <v>101</v>
      </c>
      <c r="N234" s="73"/>
      <c r="O234" s="73">
        <v>54</v>
      </c>
      <c r="P234" s="73"/>
      <c r="Q234" s="46">
        <f t="shared" si="23"/>
        <v>251</v>
      </c>
      <c r="R234" s="29">
        <f t="shared" si="28"/>
        <v>0</v>
      </c>
      <c r="S234" s="29">
        <f t="shared" si="27"/>
        <v>0</v>
      </c>
      <c r="T234" s="29">
        <f t="shared" si="24"/>
        <v>0</v>
      </c>
      <c r="U234" s="40">
        <f t="shared" si="25"/>
        <v>-1</v>
      </c>
      <c r="V234" s="29">
        <f t="shared" si="29"/>
        <v>-1</v>
      </c>
      <c r="W234" s="39"/>
    </row>
    <row r="235" spans="1:23" ht="13.5" customHeight="1" thickBot="1" x14ac:dyDescent="0.3">
      <c r="A235" s="116"/>
      <c r="B235" s="82">
        <v>18</v>
      </c>
      <c r="C235" s="37" t="s">
        <v>691</v>
      </c>
      <c r="D235" s="70" t="s">
        <v>691</v>
      </c>
      <c r="E235" s="70" t="s">
        <v>692</v>
      </c>
      <c r="F235" s="71" t="s">
        <v>659</v>
      </c>
      <c r="G235" s="72">
        <v>130</v>
      </c>
      <c r="H235" s="72"/>
      <c r="I235" s="73"/>
      <c r="J235" s="73"/>
      <c r="K235" s="73">
        <v>48</v>
      </c>
      <c r="L235" s="73"/>
      <c r="M235" s="73">
        <v>48</v>
      </c>
      <c r="N235" s="73"/>
      <c r="O235" s="73">
        <v>34</v>
      </c>
      <c r="P235" s="73"/>
      <c r="Q235" s="46">
        <f t="shared" si="23"/>
        <v>130</v>
      </c>
      <c r="R235" s="29">
        <f t="shared" si="28"/>
        <v>0</v>
      </c>
      <c r="S235" s="29">
        <f t="shared" si="27"/>
        <v>0</v>
      </c>
      <c r="T235" s="29">
        <f t="shared" si="24"/>
        <v>0</v>
      </c>
      <c r="U235" s="40">
        <f t="shared" si="25"/>
        <v>0</v>
      </c>
      <c r="V235" s="29">
        <f t="shared" si="29"/>
        <v>0</v>
      </c>
      <c r="W235" s="39"/>
    </row>
    <row r="236" spans="1:23" ht="13.5" customHeight="1" thickBot="1" x14ac:dyDescent="0.3">
      <c r="A236" s="116"/>
      <c r="B236" s="82">
        <v>19</v>
      </c>
      <c r="C236" s="37" t="s">
        <v>693</v>
      </c>
      <c r="D236" s="70" t="s">
        <v>694</v>
      </c>
      <c r="E236" s="70" t="s">
        <v>695</v>
      </c>
      <c r="F236" s="71" t="s">
        <v>676</v>
      </c>
      <c r="G236" s="72">
        <v>317</v>
      </c>
      <c r="H236" s="72" t="s">
        <v>34</v>
      </c>
      <c r="I236" s="73"/>
      <c r="J236" s="73"/>
      <c r="K236" s="73">
        <v>18</v>
      </c>
      <c r="L236" s="73"/>
      <c r="M236" s="73">
        <v>189</v>
      </c>
      <c r="N236" s="73"/>
      <c r="O236" s="73">
        <v>110</v>
      </c>
      <c r="P236" s="73"/>
      <c r="Q236" s="46">
        <f t="shared" si="23"/>
        <v>317</v>
      </c>
      <c r="R236" s="29">
        <f t="shared" si="28"/>
        <v>0</v>
      </c>
      <c r="S236" s="29">
        <f t="shared" si="27"/>
        <v>0</v>
      </c>
      <c r="T236" s="29">
        <f t="shared" si="24"/>
        <v>0</v>
      </c>
      <c r="U236" s="40">
        <f t="shared" si="25"/>
        <v>0</v>
      </c>
      <c r="V236" s="29">
        <f t="shared" si="29"/>
        <v>0</v>
      </c>
      <c r="W236" s="32"/>
    </row>
    <row r="237" spans="1:23" ht="13.5" customHeight="1" thickBot="1" x14ac:dyDescent="0.3">
      <c r="A237" s="116"/>
      <c r="B237" s="82">
        <v>20</v>
      </c>
      <c r="C237" s="37" t="s">
        <v>696</v>
      </c>
      <c r="D237" s="70" t="s">
        <v>694</v>
      </c>
      <c r="E237" s="70" t="s">
        <v>697</v>
      </c>
      <c r="F237" s="71" t="s">
        <v>676</v>
      </c>
      <c r="G237" s="72">
        <v>225</v>
      </c>
      <c r="H237" s="72" t="s">
        <v>34</v>
      </c>
      <c r="I237" s="73"/>
      <c r="J237" s="73"/>
      <c r="K237" s="73"/>
      <c r="L237" s="73"/>
      <c r="M237" s="73">
        <v>77</v>
      </c>
      <c r="N237" s="73"/>
      <c r="O237" s="73">
        <v>148</v>
      </c>
      <c r="P237" s="73"/>
      <c r="Q237" s="46">
        <f t="shared" si="23"/>
        <v>225</v>
      </c>
      <c r="R237" s="29">
        <f t="shared" si="28"/>
        <v>0</v>
      </c>
      <c r="S237" s="29">
        <f t="shared" si="27"/>
        <v>0</v>
      </c>
      <c r="T237" s="29">
        <f t="shared" si="24"/>
        <v>0</v>
      </c>
      <c r="U237" s="40">
        <f t="shared" si="25"/>
        <v>0</v>
      </c>
      <c r="V237" s="29">
        <f t="shared" si="29"/>
        <v>0</v>
      </c>
      <c r="W237" s="32"/>
    </row>
    <row r="238" spans="1:23" ht="13.5" customHeight="1" thickBot="1" x14ac:dyDescent="0.3">
      <c r="A238" s="116"/>
      <c r="B238" s="82">
        <v>21</v>
      </c>
      <c r="C238" s="37" t="s">
        <v>698</v>
      </c>
      <c r="D238" s="70" t="s">
        <v>694</v>
      </c>
      <c r="E238" s="70" t="s">
        <v>699</v>
      </c>
      <c r="F238" s="71" t="s">
        <v>700</v>
      </c>
      <c r="G238" s="72">
        <v>333</v>
      </c>
      <c r="H238" s="72" t="s">
        <v>34</v>
      </c>
      <c r="I238" s="73"/>
      <c r="J238" s="73"/>
      <c r="K238" s="73">
        <v>24</v>
      </c>
      <c r="L238" s="73"/>
      <c r="M238" s="73">
        <v>145</v>
      </c>
      <c r="N238" s="73"/>
      <c r="O238" s="73">
        <v>165</v>
      </c>
      <c r="P238" s="73"/>
      <c r="Q238" s="46">
        <f t="shared" si="23"/>
        <v>334</v>
      </c>
      <c r="R238" s="29">
        <f t="shared" si="28"/>
        <v>0</v>
      </c>
      <c r="S238" s="29">
        <f t="shared" si="27"/>
        <v>0</v>
      </c>
      <c r="T238" s="29">
        <f t="shared" si="24"/>
        <v>0</v>
      </c>
      <c r="U238" s="40">
        <f t="shared" si="25"/>
        <v>-1</v>
      </c>
      <c r="V238" s="29">
        <f t="shared" si="29"/>
        <v>-1</v>
      </c>
      <c r="W238" s="32"/>
    </row>
    <row r="239" spans="1:23" ht="13.5" customHeight="1" thickBot="1" x14ac:dyDescent="0.3">
      <c r="A239" s="116"/>
      <c r="B239" s="82">
        <v>22</v>
      </c>
      <c r="C239" s="37" t="s">
        <v>701</v>
      </c>
      <c r="D239" s="70" t="s">
        <v>694</v>
      </c>
      <c r="E239" s="70" t="s">
        <v>702</v>
      </c>
      <c r="F239" s="71" t="s">
        <v>668</v>
      </c>
      <c r="G239" s="72">
        <v>221</v>
      </c>
      <c r="H239" s="72" t="s">
        <v>34</v>
      </c>
      <c r="I239" s="73"/>
      <c r="J239" s="73"/>
      <c r="K239" s="73"/>
      <c r="L239" s="73"/>
      <c r="M239" s="73">
        <v>112</v>
      </c>
      <c r="N239" s="73"/>
      <c r="O239" s="73">
        <v>109</v>
      </c>
      <c r="P239" s="73"/>
      <c r="Q239" s="46">
        <f t="shared" si="23"/>
        <v>221</v>
      </c>
      <c r="R239" s="29">
        <f t="shared" si="28"/>
        <v>0</v>
      </c>
      <c r="S239" s="29">
        <f t="shared" si="27"/>
        <v>0</v>
      </c>
      <c r="T239" s="29">
        <f t="shared" si="24"/>
        <v>0</v>
      </c>
      <c r="U239" s="40">
        <f t="shared" si="25"/>
        <v>0</v>
      </c>
      <c r="V239" s="29">
        <f t="shared" si="29"/>
        <v>0</v>
      </c>
      <c r="W239" s="32"/>
    </row>
    <row r="240" spans="1:23" ht="13.5" customHeight="1" thickBot="1" x14ac:dyDescent="0.3">
      <c r="A240" s="116"/>
      <c r="B240" s="82">
        <v>23</v>
      </c>
      <c r="C240" s="37" t="s">
        <v>703</v>
      </c>
      <c r="D240" s="70" t="s">
        <v>703</v>
      </c>
      <c r="E240" s="70" t="s">
        <v>704</v>
      </c>
      <c r="F240" s="71" t="s">
        <v>656</v>
      </c>
      <c r="G240" s="72">
        <v>92</v>
      </c>
      <c r="H240" s="72"/>
      <c r="I240" s="73"/>
      <c r="J240" s="73"/>
      <c r="K240" s="73">
        <v>20</v>
      </c>
      <c r="L240" s="73"/>
      <c r="M240" s="73">
        <v>48</v>
      </c>
      <c r="N240" s="73"/>
      <c r="O240" s="73">
        <v>24</v>
      </c>
      <c r="P240" s="73"/>
      <c r="Q240" s="46">
        <f t="shared" si="23"/>
        <v>92</v>
      </c>
      <c r="R240" s="29">
        <f t="shared" si="28"/>
        <v>0</v>
      </c>
      <c r="S240" s="29">
        <f t="shared" si="27"/>
        <v>0</v>
      </c>
      <c r="T240" s="29">
        <f t="shared" si="24"/>
        <v>0</v>
      </c>
      <c r="U240" s="40">
        <f t="shared" si="25"/>
        <v>0</v>
      </c>
      <c r="V240" s="29">
        <f t="shared" si="29"/>
        <v>0</v>
      </c>
      <c r="W240" s="32"/>
    </row>
    <row r="241" spans="1:23" ht="13.5" customHeight="1" thickBot="1" x14ac:dyDescent="0.3">
      <c r="A241" s="116"/>
      <c r="B241" s="82">
        <v>24</v>
      </c>
      <c r="C241" s="37" t="s">
        <v>705</v>
      </c>
      <c r="D241" s="70" t="s">
        <v>705</v>
      </c>
      <c r="E241" s="70" t="s">
        <v>706</v>
      </c>
      <c r="F241" s="71" t="s">
        <v>656</v>
      </c>
      <c r="G241" s="72">
        <v>300</v>
      </c>
      <c r="H241" s="72" t="s">
        <v>34</v>
      </c>
      <c r="I241" s="73">
        <v>24</v>
      </c>
      <c r="J241" s="73"/>
      <c r="K241" s="73">
        <v>50</v>
      </c>
      <c r="L241" s="73"/>
      <c r="M241" s="73">
        <v>104</v>
      </c>
      <c r="N241" s="73"/>
      <c r="O241" s="73">
        <v>116</v>
      </c>
      <c r="P241" s="73">
        <v>6</v>
      </c>
      <c r="Q241" s="46">
        <f t="shared" si="23"/>
        <v>294</v>
      </c>
      <c r="R241" s="29">
        <f t="shared" si="28"/>
        <v>6</v>
      </c>
      <c r="S241" s="29">
        <f t="shared" si="27"/>
        <v>0</v>
      </c>
      <c r="T241" s="29">
        <f t="shared" si="24"/>
        <v>2</v>
      </c>
      <c r="U241" s="40">
        <f t="shared" si="25"/>
        <v>4</v>
      </c>
      <c r="V241" s="29">
        <f t="shared" si="29"/>
        <v>0</v>
      </c>
      <c r="W241" s="32"/>
    </row>
    <row r="242" spans="1:23" ht="13.5" customHeight="1" thickBot="1" x14ac:dyDescent="0.3">
      <c r="A242" s="116"/>
      <c r="B242" s="82">
        <v>25</v>
      </c>
      <c r="C242" s="37" t="s">
        <v>707</v>
      </c>
      <c r="D242" s="70" t="s">
        <v>707</v>
      </c>
      <c r="E242" s="70" t="s">
        <v>708</v>
      </c>
      <c r="F242" s="71" t="s">
        <v>656</v>
      </c>
      <c r="G242" s="72">
        <v>100</v>
      </c>
      <c r="H242" s="72"/>
      <c r="I242" s="73"/>
      <c r="J242" s="73"/>
      <c r="K242" s="73">
        <v>43</v>
      </c>
      <c r="L242" s="73"/>
      <c r="M242" s="73">
        <v>29</v>
      </c>
      <c r="N242" s="73">
        <v>1</v>
      </c>
      <c r="O242" s="73">
        <v>27</v>
      </c>
      <c r="P242" s="73"/>
      <c r="Q242" s="46">
        <f t="shared" si="23"/>
        <v>99</v>
      </c>
      <c r="R242" s="29">
        <f t="shared" si="28"/>
        <v>1</v>
      </c>
      <c r="S242" s="29">
        <f t="shared" si="27"/>
        <v>0</v>
      </c>
      <c r="T242" s="29">
        <f t="shared" si="24"/>
        <v>2</v>
      </c>
      <c r="U242" s="40">
        <f t="shared" si="25"/>
        <v>-1</v>
      </c>
      <c r="V242" s="29">
        <f t="shared" si="29"/>
        <v>-1</v>
      </c>
      <c r="W242" s="32"/>
    </row>
    <row r="243" spans="1:23" ht="13.5" customHeight="1" thickBot="1" x14ac:dyDescent="0.3">
      <c r="A243" s="116"/>
      <c r="B243" s="82">
        <v>26</v>
      </c>
      <c r="C243" s="37" t="s">
        <v>709</v>
      </c>
      <c r="D243" s="70" t="s">
        <v>710</v>
      </c>
      <c r="E243" s="70" t="s">
        <v>711</v>
      </c>
      <c r="F243" s="71" t="s">
        <v>656</v>
      </c>
      <c r="G243" s="72">
        <v>115</v>
      </c>
      <c r="H243" s="72" t="s">
        <v>61</v>
      </c>
      <c r="I243" s="73"/>
      <c r="J243" s="73"/>
      <c r="K243" s="73"/>
      <c r="L243" s="73"/>
      <c r="M243" s="73">
        <v>40</v>
      </c>
      <c r="N243" s="73">
        <v>1</v>
      </c>
      <c r="O243" s="73">
        <v>68</v>
      </c>
      <c r="P243" s="73">
        <v>3</v>
      </c>
      <c r="Q243" s="46">
        <f t="shared" si="23"/>
        <v>108</v>
      </c>
      <c r="R243" s="29">
        <f t="shared" si="28"/>
        <v>4</v>
      </c>
      <c r="S243" s="29">
        <f t="shared" si="27"/>
        <v>0</v>
      </c>
      <c r="T243" s="29">
        <f t="shared" si="24"/>
        <v>2</v>
      </c>
      <c r="U243" s="40">
        <f t="shared" si="25"/>
        <v>5</v>
      </c>
      <c r="V243" s="29">
        <f t="shared" si="29"/>
        <v>0</v>
      </c>
      <c r="W243" s="32"/>
    </row>
    <row r="244" spans="1:23" ht="13.5" customHeight="1" thickBot="1" x14ac:dyDescent="0.3">
      <c r="A244" s="116"/>
      <c r="B244" s="82">
        <v>27</v>
      </c>
      <c r="C244" s="37" t="s">
        <v>712</v>
      </c>
      <c r="D244" s="70" t="s">
        <v>95</v>
      </c>
      <c r="E244" s="70" t="s">
        <v>713</v>
      </c>
      <c r="F244" s="71" t="s">
        <v>700</v>
      </c>
      <c r="G244" s="72">
        <v>45</v>
      </c>
      <c r="H244" s="72" t="s">
        <v>61</v>
      </c>
      <c r="I244" s="73"/>
      <c r="J244" s="73"/>
      <c r="K244" s="73"/>
      <c r="L244" s="73"/>
      <c r="M244" s="73">
        <v>20</v>
      </c>
      <c r="N244" s="73"/>
      <c r="O244" s="73">
        <v>23</v>
      </c>
      <c r="P244" s="73"/>
      <c r="Q244" s="46">
        <f t="shared" si="23"/>
        <v>43</v>
      </c>
      <c r="R244" s="29">
        <f t="shared" si="28"/>
        <v>0</v>
      </c>
      <c r="S244" s="29">
        <f t="shared" si="27"/>
        <v>0</v>
      </c>
      <c r="T244" s="29">
        <f t="shared" si="24"/>
        <v>0</v>
      </c>
      <c r="U244" s="40">
        <f t="shared" si="25"/>
        <v>2</v>
      </c>
      <c r="V244" s="29">
        <f t="shared" si="29"/>
        <v>0</v>
      </c>
      <c r="W244" s="32"/>
    </row>
    <row r="245" spans="1:23" ht="13.5" customHeight="1" thickBot="1" x14ac:dyDescent="0.3">
      <c r="A245" s="116"/>
      <c r="B245" s="82">
        <v>28</v>
      </c>
      <c r="C245" s="37" t="s">
        <v>714</v>
      </c>
      <c r="D245" s="70" t="s">
        <v>715</v>
      </c>
      <c r="E245" s="70" t="s">
        <v>716</v>
      </c>
      <c r="F245" s="71" t="s">
        <v>656</v>
      </c>
      <c r="G245" s="72">
        <v>168</v>
      </c>
      <c r="H245" s="72" t="s">
        <v>34</v>
      </c>
      <c r="I245" s="73"/>
      <c r="J245" s="73"/>
      <c r="K245" s="73">
        <v>23</v>
      </c>
      <c r="L245" s="73"/>
      <c r="M245" s="73">
        <v>73</v>
      </c>
      <c r="N245" s="73"/>
      <c r="O245" s="73">
        <v>72</v>
      </c>
      <c r="P245" s="73"/>
      <c r="Q245" s="46">
        <f t="shared" si="23"/>
        <v>168</v>
      </c>
      <c r="R245" s="29">
        <f t="shared" si="28"/>
        <v>0</v>
      </c>
      <c r="S245" s="29">
        <f t="shared" si="27"/>
        <v>0</v>
      </c>
      <c r="T245" s="29">
        <f t="shared" si="24"/>
        <v>0</v>
      </c>
      <c r="U245" s="40">
        <f t="shared" si="25"/>
        <v>0</v>
      </c>
      <c r="V245" s="29">
        <f t="shared" si="29"/>
        <v>0</v>
      </c>
      <c r="W245" s="32"/>
    </row>
    <row r="246" spans="1:23" ht="13.5" customHeight="1" thickBot="1" x14ac:dyDescent="0.3">
      <c r="A246" s="116"/>
      <c r="B246" s="82">
        <v>29</v>
      </c>
      <c r="C246" s="37" t="s">
        <v>717</v>
      </c>
      <c r="D246" s="70" t="s">
        <v>717</v>
      </c>
      <c r="E246" s="70" t="s">
        <v>718</v>
      </c>
      <c r="F246" s="71" t="s">
        <v>656</v>
      </c>
      <c r="G246" s="72">
        <v>140</v>
      </c>
      <c r="H246" s="72" t="s">
        <v>61</v>
      </c>
      <c r="I246" s="73"/>
      <c r="J246" s="73"/>
      <c r="K246" s="73">
        <v>25</v>
      </c>
      <c r="L246" s="73"/>
      <c r="M246" s="73">
        <v>75</v>
      </c>
      <c r="N246" s="73"/>
      <c r="O246" s="73">
        <v>40</v>
      </c>
      <c r="P246" s="73"/>
      <c r="Q246" s="46">
        <f t="shared" si="23"/>
        <v>140</v>
      </c>
      <c r="R246" s="29">
        <f t="shared" si="28"/>
        <v>0</v>
      </c>
      <c r="S246" s="29">
        <f t="shared" si="27"/>
        <v>0</v>
      </c>
      <c r="T246" s="29">
        <f t="shared" si="24"/>
        <v>0</v>
      </c>
      <c r="U246" s="40">
        <f t="shared" si="25"/>
        <v>0</v>
      </c>
      <c r="V246" s="29">
        <f t="shared" si="29"/>
        <v>0</v>
      </c>
      <c r="W246" s="32"/>
    </row>
    <row r="247" spans="1:23" ht="13.5" customHeight="1" thickBot="1" x14ac:dyDescent="0.3">
      <c r="A247" s="116"/>
      <c r="B247" s="82">
        <v>30</v>
      </c>
      <c r="C247" s="37" t="s">
        <v>719</v>
      </c>
      <c r="D247" s="70" t="s">
        <v>720</v>
      </c>
      <c r="E247" s="70" t="s">
        <v>721</v>
      </c>
      <c r="F247" s="71" t="s">
        <v>656</v>
      </c>
      <c r="G247" s="72">
        <v>222</v>
      </c>
      <c r="H247" s="72" t="s">
        <v>34</v>
      </c>
      <c r="I247" s="73">
        <v>11</v>
      </c>
      <c r="J247" s="73"/>
      <c r="K247" s="73">
        <v>60</v>
      </c>
      <c r="L247" s="73"/>
      <c r="M247" s="73">
        <v>80</v>
      </c>
      <c r="N247" s="73"/>
      <c r="O247" s="73">
        <v>71</v>
      </c>
      <c r="P247" s="73"/>
      <c r="Q247" s="46">
        <f t="shared" si="23"/>
        <v>222</v>
      </c>
      <c r="R247" s="29">
        <f t="shared" si="28"/>
        <v>0</v>
      </c>
      <c r="S247" s="29">
        <f t="shared" si="27"/>
        <v>0</v>
      </c>
      <c r="T247" s="29">
        <f t="shared" si="24"/>
        <v>0</v>
      </c>
      <c r="U247" s="40">
        <f t="shared" si="25"/>
        <v>0</v>
      </c>
      <c r="V247" s="29">
        <f t="shared" si="29"/>
        <v>0</v>
      </c>
      <c r="W247" s="32"/>
    </row>
    <row r="248" spans="1:23" ht="13.5" customHeight="1" thickBot="1" x14ac:dyDescent="0.3">
      <c r="A248" s="116"/>
      <c r="B248" s="82">
        <v>31</v>
      </c>
      <c r="C248" s="37" t="s">
        <v>722</v>
      </c>
      <c r="D248" s="70" t="s">
        <v>722</v>
      </c>
      <c r="E248" s="70" t="s">
        <v>723</v>
      </c>
      <c r="F248" s="71" t="s">
        <v>656</v>
      </c>
      <c r="G248" s="72">
        <v>92</v>
      </c>
      <c r="H248" s="72"/>
      <c r="I248" s="73"/>
      <c r="J248" s="73"/>
      <c r="K248" s="73">
        <v>24</v>
      </c>
      <c r="L248" s="73"/>
      <c r="M248" s="73">
        <v>45</v>
      </c>
      <c r="N248" s="73"/>
      <c r="O248" s="73">
        <v>21</v>
      </c>
      <c r="P248" s="73"/>
      <c r="Q248" s="46">
        <f t="shared" si="23"/>
        <v>90</v>
      </c>
      <c r="R248" s="29">
        <f t="shared" si="28"/>
        <v>0</v>
      </c>
      <c r="S248" s="29">
        <f t="shared" si="27"/>
        <v>0</v>
      </c>
      <c r="T248" s="29">
        <f t="shared" si="24"/>
        <v>0</v>
      </c>
      <c r="U248" s="40">
        <f t="shared" si="25"/>
        <v>2</v>
      </c>
      <c r="V248" s="29">
        <f t="shared" si="29"/>
        <v>0</v>
      </c>
      <c r="W248" s="32"/>
    </row>
    <row r="249" spans="1:23" ht="13.5" customHeight="1" thickBot="1" x14ac:dyDescent="0.3">
      <c r="A249" s="116"/>
      <c r="B249" s="82">
        <v>32</v>
      </c>
      <c r="C249" s="37" t="s">
        <v>724</v>
      </c>
      <c r="D249" s="70" t="s">
        <v>95</v>
      </c>
      <c r="E249" s="70" t="s">
        <v>725</v>
      </c>
      <c r="F249" s="71" t="s">
        <v>700</v>
      </c>
      <c r="G249" s="72">
        <v>30</v>
      </c>
      <c r="H249" s="72" t="s">
        <v>61</v>
      </c>
      <c r="I249" s="73"/>
      <c r="J249" s="73"/>
      <c r="K249" s="73">
        <v>36</v>
      </c>
      <c r="L249" s="73"/>
      <c r="M249" s="73">
        <v>52</v>
      </c>
      <c r="N249" s="73"/>
      <c r="O249" s="73">
        <v>24</v>
      </c>
      <c r="P249" s="73"/>
      <c r="Q249" s="46">
        <f t="shared" si="23"/>
        <v>112</v>
      </c>
      <c r="R249" s="29">
        <f t="shared" si="28"/>
        <v>0</v>
      </c>
      <c r="S249" s="29">
        <f t="shared" si="27"/>
        <v>0</v>
      </c>
      <c r="T249" s="29">
        <f t="shared" si="24"/>
        <v>0</v>
      </c>
      <c r="U249" s="40">
        <f t="shared" si="25"/>
        <v>-82</v>
      </c>
      <c r="V249" s="29">
        <f t="shared" si="29"/>
        <v>-82</v>
      </c>
      <c r="W249" s="32"/>
    </row>
    <row r="250" spans="1:23" ht="13.5" customHeight="1" thickBot="1" x14ac:dyDescent="0.3">
      <c r="A250" s="116"/>
      <c r="B250" s="82">
        <v>33</v>
      </c>
      <c r="C250" s="37" t="s">
        <v>620</v>
      </c>
      <c r="D250" s="70" t="s">
        <v>726</v>
      </c>
      <c r="E250" s="70" t="s">
        <v>727</v>
      </c>
      <c r="F250" s="71" t="s">
        <v>668</v>
      </c>
      <c r="G250" s="72">
        <v>168</v>
      </c>
      <c r="H250" s="72"/>
      <c r="I250" s="73"/>
      <c r="J250" s="73"/>
      <c r="K250" s="73">
        <v>49</v>
      </c>
      <c r="L250" s="73"/>
      <c r="M250" s="73">
        <v>35</v>
      </c>
      <c r="N250" s="73"/>
      <c r="O250" s="73">
        <v>40</v>
      </c>
      <c r="P250" s="73">
        <v>1</v>
      </c>
      <c r="Q250" s="46">
        <f t="shared" si="23"/>
        <v>124</v>
      </c>
      <c r="R250" s="29">
        <f t="shared" si="28"/>
        <v>1</v>
      </c>
      <c r="S250" s="29">
        <f t="shared" si="27"/>
        <v>0</v>
      </c>
      <c r="T250" s="29">
        <f t="shared" si="24"/>
        <v>2</v>
      </c>
      <c r="U250" s="40">
        <f t="shared" si="25"/>
        <v>42</v>
      </c>
      <c r="V250" s="29">
        <f t="shared" si="29"/>
        <v>0</v>
      </c>
      <c r="W250" s="32"/>
    </row>
    <row r="251" spans="1:23" ht="13.5" customHeight="1" thickBot="1" x14ac:dyDescent="0.3">
      <c r="A251" s="116"/>
      <c r="B251" s="82">
        <v>34</v>
      </c>
      <c r="C251" s="37" t="s">
        <v>728</v>
      </c>
      <c r="D251" s="70" t="s">
        <v>728</v>
      </c>
      <c r="E251" s="70" t="s">
        <v>729</v>
      </c>
      <c r="F251" s="71" t="s">
        <v>668</v>
      </c>
      <c r="G251" s="72">
        <v>130</v>
      </c>
      <c r="H251" s="72"/>
      <c r="I251" s="73"/>
      <c r="J251" s="73"/>
      <c r="K251" s="73">
        <v>50</v>
      </c>
      <c r="L251" s="73"/>
      <c r="M251" s="73">
        <v>27</v>
      </c>
      <c r="N251" s="73"/>
      <c r="O251" s="73">
        <v>53</v>
      </c>
      <c r="P251" s="73"/>
      <c r="Q251" s="46">
        <f t="shared" si="23"/>
        <v>130</v>
      </c>
      <c r="R251" s="29">
        <f t="shared" si="28"/>
        <v>0</v>
      </c>
      <c r="S251" s="29">
        <f t="shared" si="27"/>
        <v>0</v>
      </c>
      <c r="T251" s="29">
        <f t="shared" si="24"/>
        <v>0</v>
      </c>
      <c r="U251" s="40">
        <f t="shared" si="25"/>
        <v>0</v>
      </c>
      <c r="V251" s="29">
        <f t="shared" si="29"/>
        <v>0</v>
      </c>
      <c r="W251" s="32"/>
    </row>
    <row r="252" spans="1:23" ht="13.5" customHeight="1" thickBot="1" x14ac:dyDescent="0.3">
      <c r="A252" s="116"/>
      <c r="B252" s="82">
        <v>35</v>
      </c>
      <c r="C252" s="37" t="s">
        <v>730</v>
      </c>
      <c r="D252" s="70" t="s">
        <v>730</v>
      </c>
      <c r="E252" s="70" t="s">
        <v>731</v>
      </c>
      <c r="F252" s="71" t="s">
        <v>659</v>
      </c>
      <c r="G252" s="72">
        <v>145</v>
      </c>
      <c r="H252" s="72" t="s">
        <v>61</v>
      </c>
      <c r="I252" s="73"/>
      <c r="J252" s="73"/>
      <c r="K252" s="73"/>
      <c r="L252" s="73"/>
      <c r="M252" s="73">
        <v>71</v>
      </c>
      <c r="N252" s="73"/>
      <c r="O252" s="73">
        <v>75</v>
      </c>
      <c r="P252" s="73"/>
      <c r="Q252" s="46">
        <f t="shared" si="23"/>
        <v>146</v>
      </c>
      <c r="R252" s="29">
        <f t="shared" si="28"/>
        <v>0</v>
      </c>
      <c r="S252" s="29">
        <f t="shared" si="27"/>
        <v>0</v>
      </c>
      <c r="T252" s="29">
        <f t="shared" si="24"/>
        <v>0</v>
      </c>
      <c r="U252" s="40">
        <f t="shared" si="25"/>
        <v>-1</v>
      </c>
      <c r="V252" s="29">
        <f t="shared" si="29"/>
        <v>-1</v>
      </c>
      <c r="W252" s="32"/>
    </row>
    <row r="253" spans="1:23" ht="13.5" customHeight="1" thickBot="1" x14ac:dyDescent="0.3">
      <c r="A253" s="116"/>
      <c r="B253" s="82">
        <v>36</v>
      </c>
      <c r="C253" s="37" t="s">
        <v>732</v>
      </c>
      <c r="D253" s="70" t="s">
        <v>730</v>
      </c>
      <c r="E253" s="70"/>
      <c r="F253" s="71"/>
      <c r="G253" s="72">
        <v>75</v>
      </c>
      <c r="H253" s="72"/>
      <c r="I253" s="73"/>
      <c r="J253" s="73"/>
      <c r="K253" s="73"/>
      <c r="L253" s="73"/>
      <c r="M253" s="73">
        <v>36</v>
      </c>
      <c r="N253" s="73">
        <v>1</v>
      </c>
      <c r="O253" s="73">
        <v>40</v>
      </c>
      <c r="P253" s="73">
        <v>1</v>
      </c>
      <c r="Q253" s="46">
        <f t="shared" si="23"/>
        <v>76</v>
      </c>
      <c r="R253" s="29">
        <f t="shared" si="28"/>
        <v>2</v>
      </c>
      <c r="S253" s="29">
        <f t="shared" si="27"/>
        <v>0</v>
      </c>
      <c r="T253" s="29">
        <f t="shared" si="24"/>
        <v>2</v>
      </c>
      <c r="U253" s="40">
        <f t="shared" si="25"/>
        <v>-3</v>
      </c>
      <c r="V253" s="29">
        <f t="shared" si="29"/>
        <v>-3</v>
      </c>
      <c r="W253" s="32"/>
    </row>
    <row r="254" spans="1:23" ht="13.5" customHeight="1" thickBot="1" x14ac:dyDescent="0.3">
      <c r="A254" s="116"/>
      <c r="B254" s="82">
        <v>37</v>
      </c>
      <c r="C254" s="37" t="s">
        <v>733</v>
      </c>
      <c r="D254" s="70" t="s">
        <v>734</v>
      </c>
      <c r="E254" s="70" t="s">
        <v>735</v>
      </c>
      <c r="F254" s="71" t="s">
        <v>656</v>
      </c>
      <c r="G254" s="72">
        <v>115</v>
      </c>
      <c r="H254" s="72" t="s">
        <v>61</v>
      </c>
      <c r="I254" s="73"/>
      <c r="J254" s="73"/>
      <c r="K254" s="73"/>
      <c r="L254" s="73"/>
      <c r="M254" s="73">
        <v>45</v>
      </c>
      <c r="N254" s="73"/>
      <c r="O254" s="73">
        <v>75</v>
      </c>
      <c r="P254" s="73">
        <v>1</v>
      </c>
      <c r="Q254" s="46">
        <f t="shared" si="23"/>
        <v>120</v>
      </c>
      <c r="R254" s="29">
        <f t="shared" si="28"/>
        <v>1</v>
      </c>
      <c r="S254" s="29">
        <f t="shared" si="27"/>
        <v>0</v>
      </c>
      <c r="T254" s="29">
        <f t="shared" si="24"/>
        <v>2</v>
      </c>
      <c r="U254" s="40">
        <f t="shared" si="25"/>
        <v>-7</v>
      </c>
      <c r="V254" s="29">
        <f t="shared" si="29"/>
        <v>-7</v>
      </c>
      <c r="W254" s="32"/>
    </row>
    <row r="255" spans="1:23" ht="13.5" customHeight="1" thickBot="1" x14ac:dyDescent="0.3">
      <c r="A255" s="116"/>
      <c r="B255" s="82">
        <v>38</v>
      </c>
      <c r="C255" s="37" t="s">
        <v>736</v>
      </c>
      <c r="D255" s="70" t="s">
        <v>736</v>
      </c>
      <c r="E255" s="70" t="s">
        <v>737</v>
      </c>
      <c r="F255" s="71" t="s">
        <v>676</v>
      </c>
      <c r="G255" s="72">
        <v>300</v>
      </c>
      <c r="H255" s="72"/>
      <c r="I255" s="73"/>
      <c r="J255" s="73"/>
      <c r="K255" s="73">
        <v>89</v>
      </c>
      <c r="L255" s="73"/>
      <c r="M255" s="73">
        <v>48</v>
      </c>
      <c r="N255" s="73"/>
      <c r="O255" s="73">
        <v>34</v>
      </c>
      <c r="P255" s="73"/>
      <c r="Q255" s="46">
        <f t="shared" si="23"/>
        <v>171</v>
      </c>
      <c r="R255" s="29">
        <f t="shared" si="28"/>
        <v>0</v>
      </c>
      <c r="S255" s="29">
        <f t="shared" si="27"/>
        <v>0</v>
      </c>
      <c r="T255" s="29">
        <f t="shared" si="24"/>
        <v>0</v>
      </c>
      <c r="U255" s="40">
        <f t="shared" si="25"/>
        <v>129</v>
      </c>
      <c r="V255" s="29">
        <f t="shared" si="29"/>
        <v>0</v>
      </c>
      <c r="W255" s="32"/>
    </row>
    <row r="256" spans="1:23" ht="13.5" customHeight="1" thickBot="1" x14ac:dyDescent="0.3">
      <c r="A256" s="116"/>
      <c r="B256" s="82">
        <v>39</v>
      </c>
      <c r="C256" s="37" t="s">
        <v>738</v>
      </c>
      <c r="D256" s="70" t="s">
        <v>738</v>
      </c>
      <c r="E256" s="70" t="s">
        <v>739</v>
      </c>
      <c r="F256" s="71" t="s">
        <v>676</v>
      </c>
      <c r="G256" s="72">
        <v>220</v>
      </c>
      <c r="H256" s="72" t="s">
        <v>34</v>
      </c>
      <c r="I256" s="73"/>
      <c r="J256" s="73"/>
      <c r="K256" s="73">
        <v>78</v>
      </c>
      <c r="L256" s="73">
        <v>1</v>
      </c>
      <c r="M256" s="73">
        <v>75</v>
      </c>
      <c r="N256" s="73"/>
      <c r="O256" s="73">
        <v>67</v>
      </c>
      <c r="P256" s="73"/>
      <c r="Q256" s="46">
        <f t="shared" si="23"/>
        <v>220</v>
      </c>
      <c r="R256" s="29">
        <f t="shared" si="28"/>
        <v>1</v>
      </c>
      <c r="S256" s="29">
        <f t="shared" si="27"/>
        <v>2</v>
      </c>
      <c r="T256" s="29">
        <f t="shared" si="24"/>
        <v>0</v>
      </c>
      <c r="U256" s="40">
        <f t="shared" si="25"/>
        <v>-2</v>
      </c>
      <c r="V256" s="29">
        <f t="shared" si="29"/>
        <v>-2</v>
      </c>
      <c r="W256" s="32"/>
    </row>
    <row r="257" spans="1:23" ht="13.5" customHeight="1" thickBot="1" x14ac:dyDescent="0.3">
      <c r="A257" s="116"/>
      <c r="B257" s="82">
        <v>40</v>
      </c>
      <c r="C257" s="37" t="s">
        <v>740</v>
      </c>
      <c r="D257" s="70" t="s">
        <v>741</v>
      </c>
      <c r="E257" s="70" t="s">
        <v>742</v>
      </c>
      <c r="F257" s="71" t="s">
        <v>656</v>
      </c>
      <c r="G257" s="72">
        <v>100</v>
      </c>
      <c r="H257" s="72" t="s">
        <v>34</v>
      </c>
      <c r="I257" s="73"/>
      <c r="J257" s="73"/>
      <c r="K257" s="73">
        <v>20</v>
      </c>
      <c r="L257" s="73"/>
      <c r="M257" s="73">
        <v>26</v>
      </c>
      <c r="N257" s="73"/>
      <c r="O257" s="73">
        <v>50</v>
      </c>
      <c r="P257" s="73">
        <v>2</v>
      </c>
      <c r="Q257" s="46">
        <f t="shared" si="23"/>
        <v>96</v>
      </c>
      <c r="R257" s="29">
        <f t="shared" si="28"/>
        <v>2</v>
      </c>
      <c r="S257" s="29">
        <f t="shared" si="27"/>
        <v>0</v>
      </c>
      <c r="T257" s="29">
        <f t="shared" si="24"/>
        <v>2</v>
      </c>
      <c r="U257" s="40">
        <f t="shared" si="25"/>
        <v>2</v>
      </c>
      <c r="V257" s="29">
        <f t="shared" si="29"/>
        <v>0</v>
      </c>
      <c r="W257" s="32"/>
    </row>
    <row r="258" spans="1:23" ht="13.5" customHeight="1" thickBot="1" x14ac:dyDescent="0.3">
      <c r="A258" s="116"/>
      <c r="B258" s="82">
        <v>41</v>
      </c>
      <c r="C258" s="37" t="s">
        <v>743</v>
      </c>
      <c r="D258" s="70" t="s">
        <v>715</v>
      </c>
      <c r="E258" s="70" t="s">
        <v>744</v>
      </c>
      <c r="F258" s="71" t="s">
        <v>676</v>
      </c>
      <c r="G258" s="72">
        <v>131</v>
      </c>
      <c r="H258" s="72"/>
      <c r="I258" s="73">
        <v>24</v>
      </c>
      <c r="J258" s="73"/>
      <c r="K258" s="73">
        <v>44</v>
      </c>
      <c r="L258" s="73"/>
      <c r="M258" s="73">
        <v>41</v>
      </c>
      <c r="N258" s="73"/>
      <c r="O258" s="73">
        <v>21</v>
      </c>
      <c r="P258" s="73">
        <v>1</v>
      </c>
      <c r="Q258" s="46">
        <f t="shared" si="23"/>
        <v>130</v>
      </c>
      <c r="R258" s="29">
        <f t="shared" si="28"/>
        <v>1</v>
      </c>
      <c r="S258" s="29">
        <f t="shared" si="27"/>
        <v>0</v>
      </c>
      <c r="T258" s="29">
        <f t="shared" si="24"/>
        <v>2</v>
      </c>
      <c r="U258" s="40">
        <f t="shared" si="25"/>
        <v>-1</v>
      </c>
      <c r="V258" s="29">
        <f t="shared" si="29"/>
        <v>-1</v>
      </c>
      <c r="W258" s="32"/>
    </row>
    <row r="259" spans="1:23" ht="13.5" customHeight="1" thickBot="1" x14ac:dyDescent="0.3">
      <c r="A259" s="116"/>
      <c r="B259" s="82">
        <v>42</v>
      </c>
      <c r="C259" s="37" t="s">
        <v>745</v>
      </c>
      <c r="D259" s="73" t="s">
        <v>746</v>
      </c>
      <c r="E259" s="70" t="s">
        <v>747</v>
      </c>
      <c r="F259" s="71" t="s">
        <v>656</v>
      </c>
      <c r="G259" s="72">
        <v>100</v>
      </c>
      <c r="H259" s="72"/>
      <c r="I259" s="73"/>
      <c r="J259" s="73"/>
      <c r="K259" s="73">
        <v>24</v>
      </c>
      <c r="L259" s="73"/>
      <c r="M259" s="73">
        <v>30</v>
      </c>
      <c r="N259" s="73"/>
      <c r="O259" s="73">
        <v>46</v>
      </c>
      <c r="P259" s="73"/>
      <c r="Q259" s="46">
        <f t="shared" si="23"/>
        <v>100</v>
      </c>
      <c r="R259" s="29">
        <f t="shared" si="28"/>
        <v>0</v>
      </c>
      <c r="S259" s="29">
        <f t="shared" si="27"/>
        <v>0</v>
      </c>
      <c r="T259" s="29">
        <f t="shared" si="24"/>
        <v>0</v>
      </c>
      <c r="U259" s="40">
        <f t="shared" si="25"/>
        <v>0</v>
      </c>
      <c r="V259" s="29">
        <f t="shared" si="29"/>
        <v>0</v>
      </c>
      <c r="W259" s="32"/>
    </row>
    <row r="260" spans="1:23" ht="13.5" customHeight="1" thickBot="1" x14ac:dyDescent="0.3">
      <c r="A260" s="116"/>
      <c r="B260" s="82">
        <v>43</v>
      </c>
      <c r="C260" s="37" t="s">
        <v>748</v>
      </c>
      <c r="D260" s="70" t="s">
        <v>748</v>
      </c>
      <c r="E260" s="70" t="s">
        <v>749</v>
      </c>
      <c r="F260" s="71" t="s">
        <v>656</v>
      </c>
      <c r="G260" s="72">
        <v>90</v>
      </c>
      <c r="H260" s="72" t="s">
        <v>34</v>
      </c>
      <c r="I260" s="73"/>
      <c r="J260" s="73"/>
      <c r="K260" s="73">
        <v>20</v>
      </c>
      <c r="L260" s="73"/>
      <c r="M260" s="73">
        <v>28</v>
      </c>
      <c r="N260" s="73"/>
      <c r="O260" s="73">
        <v>25</v>
      </c>
      <c r="P260" s="73"/>
      <c r="Q260" s="46">
        <f t="shared" ref="Q260:Q283" si="31">SUM(I260,K260,M260,O260)</f>
        <v>73</v>
      </c>
      <c r="R260" s="29">
        <f t="shared" si="28"/>
        <v>0</v>
      </c>
      <c r="S260" s="29">
        <f t="shared" si="27"/>
        <v>0</v>
      </c>
      <c r="T260" s="29">
        <f t="shared" ref="T260:T283" si="32">IF((N260+P260)&gt;=1,2,0)</f>
        <v>0</v>
      </c>
      <c r="U260" s="40">
        <f t="shared" ref="U260:U283" si="33">SUM(G260-Q260-((S260*1)+(T260*1)))</f>
        <v>17</v>
      </c>
      <c r="V260" s="29">
        <f t="shared" si="29"/>
        <v>0</v>
      </c>
      <c r="W260" s="32"/>
    </row>
    <row r="261" spans="1:23" ht="13.5" customHeight="1" thickBot="1" x14ac:dyDescent="0.3">
      <c r="A261" s="116"/>
      <c r="B261" s="82">
        <v>44</v>
      </c>
      <c r="C261" s="37" t="s">
        <v>750</v>
      </c>
      <c r="D261" s="70" t="s">
        <v>750</v>
      </c>
      <c r="E261" s="70" t="s">
        <v>751</v>
      </c>
      <c r="F261" s="71" t="s">
        <v>656</v>
      </c>
      <c r="G261" s="72">
        <v>175</v>
      </c>
      <c r="H261" s="72" t="s">
        <v>56</v>
      </c>
      <c r="I261" s="73"/>
      <c r="J261" s="73"/>
      <c r="K261" s="73">
        <v>50</v>
      </c>
      <c r="L261" s="73"/>
      <c r="M261" s="73">
        <v>46</v>
      </c>
      <c r="N261" s="73">
        <v>3</v>
      </c>
      <c r="O261" s="73">
        <v>73</v>
      </c>
      <c r="P261" s="73">
        <v>2</v>
      </c>
      <c r="Q261" s="46">
        <f t="shared" si="31"/>
        <v>169</v>
      </c>
      <c r="R261" s="29">
        <f t="shared" si="28"/>
        <v>5</v>
      </c>
      <c r="S261" s="29">
        <f t="shared" si="27"/>
        <v>0</v>
      </c>
      <c r="T261" s="29">
        <f t="shared" si="32"/>
        <v>2</v>
      </c>
      <c r="U261" s="40">
        <f t="shared" si="33"/>
        <v>4</v>
      </c>
      <c r="V261" s="29">
        <f t="shared" si="29"/>
        <v>0</v>
      </c>
      <c r="W261" s="32"/>
    </row>
    <row r="262" spans="1:23" ht="13.5" customHeight="1" thickBot="1" x14ac:dyDescent="0.3">
      <c r="A262" s="116"/>
      <c r="B262" s="82">
        <v>45</v>
      </c>
      <c r="C262" s="37" t="s">
        <v>752</v>
      </c>
      <c r="D262" s="70" t="s">
        <v>752</v>
      </c>
      <c r="E262" s="70" t="s">
        <v>753</v>
      </c>
      <c r="F262" s="71" t="s">
        <v>656</v>
      </c>
      <c r="G262" s="72">
        <v>118</v>
      </c>
      <c r="H262" s="72" t="s">
        <v>61</v>
      </c>
      <c r="I262" s="73"/>
      <c r="J262" s="73"/>
      <c r="K262" s="73"/>
      <c r="L262" s="73"/>
      <c r="M262" s="73">
        <v>45</v>
      </c>
      <c r="N262" s="73"/>
      <c r="O262" s="73">
        <v>69</v>
      </c>
      <c r="P262" s="73"/>
      <c r="Q262" s="46">
        <f t="shared" si="31"/>
        <v>114</v>
      </c>
      <c r="R262" s="29">
        <f t="shared" si="28"/>
        <v>0</v>
      </c>
      <c r="S262" s="29">
        <f t="shared" si="27"/>
        <v>0</v>
      </c>
      <c r="T262" s="29">
        <f t="shared" si="32"/>
        <v>0</v>
      </c>
      <c r="U262" s="40">
        <f t="shared" si="33"/>
        <v>4</v>
      </c>
      <c r="V262" s="29">
        <f t="shared" si="29"/>
        <v>0</v>
      </c>
      <c r="W262" s="32"/>
    </row>
    <row r="263" spans="1:23" ht="13.5" customHeight="1" thickBot="1" x14ac:dyDescent="0.3">
      <c r="A263" s="116"/>
      <c r="B263" s="82">
        <v>46</v>
      </c>
      <c r="C263" s="37" t="s">
        <v>754</v>
      </c>
      <c r="D263" s="70" t="s">
        <v>754</v>
      </c>
      <c r="E263" s="70" t="s">
        <v>755</v>
      </c>
      <c r="F263" s="71" t="s">
        <v>656</v>
      </c>
      <c r="G263" s="72">
        <v>90</v>
      </c>
      <c r="H263" s="72" t="s">
        <v>56</v>
      </c>
      <c r="I263" s="73"/>
      <c r="J263" s="73"/>
      <c r="K263" s="73">
        <v>39</v>
      </c>
      <c r="L263" s="73"/>
      <c r="M263" s="73">
        <v>30</v>
      </c>
      <c r="N263" s="73"/>
      <c r="O263" s="73">
        <v>20</v>
      </c>
      <c r="P263" s="73"/>
      <c r="Q263" s="46">
        <f t="shared" si="31"/>
        <v>89</v>
      </c>
      <c r="R263" s="29">
        <f t="shared" si="28"/>
        <v>0</v>
      </c>
      <c r="S263" s="29">
        <f t="shared" si="27"/>
        <v>0</v>
      </c>
      <c r="T263" s="29">
        <f t="shared" si="32"/>
        <v>0</v>
      </c>
      <c r="U263" s="40">
        <f t="shared" si="33"/>
        <v>1</v>
      </c>
      <c r="V263" s="29">
        <f t="shared" si="29"/>
        <v>0</v>
      </c>
      <c r="W263" s="32"/>
    </row>
    <row r="264" spans="1:23" ht="13.5" customHeight="1" thickBot="1" x14ac:dyDescent="0.3">
      <c r="A264" s="116"/>
      <c r="B264" s="82">
        <v>47</v>
      </c>
      <c r="C264" s="37" t="s">
        <v>756</v>
      </c>
      <c r="D264" s="70" t="s">
        <v>756</v>
      </c>
      <c r="E264" s="70" t="s">
        <v>757</v>
      </c>
      <c r="F264" s="71" t="s">
        <v>676</v>
      </c>
      <c r="G264" s="72">
        <v>160</v>
      </c>
      <c r="H264" s="72" t="s">
        <v>56</v>
      </c>
      <c r="I264" s="73">
        <v>18</v>
      </c>
      <c r="J264" s="73"/>
      <c r="K264" s="73">
        <v>28</v>
      </c>
      <c r="L264" s="73"/>
      <c r="M264" s="73">
        <v>46</v>
      </c>
      <c r="N264" s="73"/>
      <c r="O264" s="73">
        <v>69</v>
      </c>
      <c r="P264" s="73"/>
      <c r="Q264" s="46">
        <f t="shared" si="31"/>
        <v>161</v>
      </c>
      <c r="R264" s="29">
        <f t="shared" si="28"/>
        <v>0</v>
      </c>
      <c r="S264" s="29">
        <f t="shared" ref="S264:S283" si="34">IF((J264+L264)&gt;=1,2,0)</f>
        <v>0</v>
      </c>
      <c r="T264" s="29">
        <f t="shared" si="32"/>
        <v>0</v>
      </c>
      <c r="U264" s="40">
        <f t="shared" si="33"/>
        <v>-1</v>
      </c>
      <c r="V264" s="29">
        <f t="shared" si="29"/>
        <v>-1</v>
      </c>
      <c r="W264" s="32"/>
    </row>
    <row r="265" spans="1:23" ht="13.5" customHeight="1" thickBot="1" x14ac:dyDescent="0.3">
      <c r="A265" s="116"/>
      <c r="B265" s="82">
        <v>48</v>
      </c>
      <c r="C265" s="37" t="s">
        <v>758</v>
      </c>
      <c r="D265" s="70" t="s">
        <v>758</v>
      </c>
      <c r="E265" s="70" t="s">
        <v>759</v>
      </c>
      <c r="F265" s="71" t="s">
        <v>656</v>
      </c>
      <c r="G265" s="72">
        <v>137</v>
      </c>
      <c r="H265" s="72" t="s">
        <v>56</v>
      </c>
      <c r="I265" s="73"/>
      <c r="J265" s="73"/>
      <c r="K265" s="73">
        <v>37</v>
      </c>
      <c r="L265" s="73"/>
      <c r="M265" s="73">
        <v>43</v>
      </c>
      <c r="N265" s="73">
        <v>1</v>
      </c>
      <c r="O265" s="73">
        <v>56</v>
      </c>
      <c r="P265" s="73">
        <v>1</v>
      </c>
      <c r="Q265" s="46">
        <f t="shared" si="31"/>
        <v>136</v>
      </c>
      <c r="R265" s="29">
        <f t="shared" si="28"/>
        <v>2</v>
      </c>
      <c r="S265" s="29">
        <f t="shared" si="34"/>
        <v>0</v>
      </c>
      <c r="T265" s="29">
        <f t="shared" si="32"/>
        <v>2</v>
      </c>
      <c r="U265" s="40">
        <f t="shared" si="33"/>
        <v>-1</v>
      </c>
      <c r="V265" s="29">
        <f t="shared" si="29"/>
        <v>-1</v>
      </c>
      <c r="W265" s="32"/>
    </row>
    <row r="266" spans="1:23" ht="13.5" customHeight="1" thickBot="1" x14ac:dyDescent="0.3">
      <c r="A266" s="116"/>
      <c r="B266" s="82">
        <v>49</v>
      </c>
      <c r="C266" s="37" t="s">
        <v>760</v>
      </c>
      <c r="D266" s="70" t="s">
        <v>760</v>
      </c>
      <c r="E266" s="70" t="s">
        <v>761</v>
      </c>
      <c r="F266" s="71" t="s">
        <v>656</v>
      </c>
      <c r="G266" s="72">
        <v>135</v>
      </c>
      <c r="H266" s="72" t="s">
        <v>34</v>
      </c>
      <c r="I266" s="73"/>
      <c r="J266" s="73"/>
      <c r="K266" s="73">
        <v>22</v>
      </c>
      <c r="L266" s="73"/>
      <c r="M266" s="73">
        <v>39</v>
      </c>
      <c r="N266" s="73"/>
      <c r="O266" s="73">
        <v>72</v>
      </c>
      <c r="P266" s="73"/>
      <c r="Q266" s="46">
        <f t="shared" si="31"/>
        <v>133</v>
      </c>
      <c r="R266" s="29">
        <f t="shared" ref="R266:R283" si="35">SUM(J266,L266,N266,P266)</f>
        <v>0</v>
      </c>
      <c r="S266" s="29">
        <f t="shared" si="34"/>
        <v>0</v>
      </c>
      <c r="T266" s="29">
        <f t="shared" si="32"/>
        <v>0</v>
      </c>
      <c r="U266" s="40">
        <f t="shared" si="33"/>
        <v>2</v>
      </c>
      <c r="V266" s="29">
        <f t="shared" si="29"/>
        <v>0</v>
      </c>
      <c r="W266" s="32"/>
    </row>
    <row r="267" spans="1:23" ht="13.5" customHeight="1" thickBot="1" x14ac:dyDescent="0.3">
      <c r="A267" s="116"/>
      <c r="B267" s="82">
        <v>50</v>
      </c>
      <c r="C267" s="37" t="s">
        <v>762</v>
      </c>
      <c r="D267" s="70" t="s">
        <v>763</v>
      </c>
      <c r="E267" s="70" t="s">
        <v>764</v>
      </c>
      <c r="F267" s="71" t="s">
        <v>676</v>
      </c>
      <c r="G267" s="72">
        <v>150</v>
      </c>
      <c r="H267" s="72"/>
      <c r="I267" s="73"/>
      <c r="J267" s="73"/>
      <c r="K267" s="73">
        <v>74</v>
      </c>
      <c r="L267" s="73">
        <v>1</v>
      </c>
      <c r="M267" s="73">
        <v>48</v>
      </c>
      <c r="N267" s="73">
        <v>1</v>
      </c>
      <c r="O267" s="73">
        <v>25</v>
      </c>
      <c r="P267" s="73"/>
      <c r="Q267" s="46">
        <f t="shared" si="31"/>
        <v>147</v>
      </c>
      <c r="R267" s="29">
        <f t="shared" si="35"/>
        <v>2</v>
      </c>
      <c r="S267" s="29">
        <f t="shared" si="34"/>
        <v>2</v>
      </c>
      <c r="T267" s="29">
        <f t="shared" si="32"/>
        <v>2</v>
      </c>
      <c r="U267" s="40">
        <f t="shared" si="33"/>
        <v>-1</v>
      </c>
      <c r="V267" s="29">
        <f t="shared" si="29"/>
        <v>-1</v>
      </c>
      <c r="W267" s="32"/>
    </row>
    <row r="268" spans="1:23" ht="13.5" customHeight="1" thickBot="1" x14ac:dyDescent="0.3">
      <c r="A268" s="116"/>
      <c r="B268" s="82">
        <v>51</v>
      </c>
      <c r="C268" s="37" t="s">
        <v>765</v>
      </c>
      <c r="D268" s="70" t="s">
        <v>766</v>
      </c>
      <c r="E268" s="70" t="s">
        <v>767</v>
      </c>
      <c r="F268" s="71" t="s">
        <v>656</v>
      </c>
      <c r="G268" s="72">
        <v>350</v>
      </c>
      <c r="H268" s="72" t="s">
        <v>34</v>
      </c>
      <c r="I268" s="73"/>
      <c r="J268" s="73"/>
      <c r="K268" s="73">
        <v>78</v>
      </c>
      <c r="L268" s="73"/>
      <c r="M268" s="73">
        <v>125</v>
      </c>
      <c r="N268" s="73"/>
      <c r="O268" s="73">
        <v>147</v>
      </c>
      <c r="P268" s="73"/>
      <c r="Q268" s="46">
        <f t="shared" si="31"/>
        <v>350</v>
      </c>
      <c r="R268" s="29">
        <f t="shared" si="35"/>
        <v>0</v>
      </c>
      <c r="S268" s="29">
        <f t="shared" si="34"/>
        <v>0</v>
      </c>
      <c r="T268" s="29">
        <f t="shared" si="32"/>
        <v>0</v>
      </c>
      <c r="U268" s="40">
        <f t="shared" si="33"/>
        <v>0</v>
      </c>
      <c r="V268" s="29">
        <f t="shared" si="29"/>
        <v>0</v>
      </c>
      <c r="W268" s="32"/>
    </row>
    <row r="269" spans="1:23" ht="13.5" customHeight="1" thickBot="1" x14ac:dyDescent="0.3">
      <c r="A269" s="116"/>
      <c r="B269" s="82">
        <v>52</v>
      </c>
      <c r="C269" s="37" t="s">
        <v>768</v>
      </c>
      <c r="D269" s="70" t="s">
        <v>640</v>
      </c>
      <c r="E269" s="70" t="s">
        <v>769</v>
      </c>
      <c r="F269" s="71" t="s">
        <v>700</v>
      </c>
      <c r="G269" s="72">
        <v>142</v>
      </c>
      <c r="H269" s="72" t="s">
        <v>34</v>
      </c>
      <c r="I269" s="73"/>
      <c r="J269" s="73"/>
      <c r="K269" s="73">
        <v>20</v>
      </c>
      <c r="L269" s="73"/>
      <c r="M269" s="73">
        <v>57</v>
      </c>
      <c r="N269" s="73"/>
      <c r="O269" s="73">
        <v>64</v>
      </c>
      <c r="P269" s="73"/>
      <c r="Q269" s="46">
        <f t="shared" si="31"/>
        <v>141</v>
      </c>
      <c r="R269" s="29">
        <f t="shared" si="35"/>
        <v>0</v>
      </c>
      <c r="S269" s="29">
        <f t="shared" si="34"/>
        <v>0</v>
      </c>
      <c r="T269" s="29">
        <f t="shared" si="32"/>
        <v>0</v>
      </c>
      <c r="U269" s="40">
        <f t="shared" si="33"/>
        <v>1</v>
      </c>
      <c r="V269" s="29">
        <f t="shared" si="29"/>
        <v>0</v>
      </c>
      <c r="W269" s="32"/>
    </row>
    <row r="270" spans="1:23" ht="13.5" customHeight="1" thickBot="1" x14ac:dyDescent="0.3">
      <c r="A270" s="116"/>
      <c r="B270" s="82">
        <v>53</v>
      </c>
      <c r="C270" s="37" t="s">
        <v>770</v>
      </c>
      <c r="D270" s="70" t="s">
        <v>770</v>
      </c>
      <c r="E270" s="70" t="s">
        <v>771</v>
      </c>
      <c r="F270" s="71" t="s">
        <v>676</v>
      </c>
      <c r="G270" s="72">
        <v>70</v>
      </c>
      <c r="H270" s="72" t="s">
        <v>61</v>
      </c>
      <c r="I270" s="73"/>
      <c r="J270" s="73"/>
      <c r="K270" s="73"/>
      <c r="L270" s="73"/>
      <c r="M270" s="73">
        <v>28</v>
      </c>
      <c r="N270" s="73"/>
      <c r="O270" s="73">
        <v>42</v>
      </c>
      <c r="P270" s="73"/>
      <c r="Q270" s="46">
        <f t="shared" si="31"/>
        <v>70</v>
      </c>
      <c r="R270" s="29">
        <f t="shared" si="35"/>
        <v>0</v>
      </c>
      <c r="S270" s="29">
        <f t="shared" si="34"/>
        <v>0</v>
      </c>
      <c r="T270" s="29">
        <f t="shared" si="32"/>
        <v>0</v>
      </c>
      <c r="U270" s="40"/>
      <c r="V270" s="29">
        <f t="shared" si="29"/>
        <v>0</v>
      </c>
      <c r="W270" s="32"/>
    </row>
    <row r="271" spans="1:23" ht="13.5" customHeight="1" thickBot="1" x14ac:dyDescent="0.3">
      <c r="A271" s="116"/>
      <c r="B271" s="82">
        <v>54</v>
      </c>
      <c r="C271" s="37" t="s">
        <v>772</v>
      </c>
      <c r="D271" s="70" t="s">
        <v>773</v>
      </c>
      <c r="E271" s="70" t="s">
        <v>774</v>
      </c>
      <c r="F271" s="71" t="s">
        <v>656</v>
      </c>
      <c r="G271" s="72">
        <v>135</v>
      </c>
      <c r="H271" s="72" t="s">
        <v>61</v>
      </c>
      <c r="I271" s="73"/>
      <c r="J271" s="73"/>
      <c r="K271" s="73"/>
      <c r="L271" s="73"/>
      <c r="M271" s="73">
        <v>78</v>
      </c>
      <c r="N271" s="73"/>
      <c r="O271" s="73">
        <v>45</v>
      </c>
      <c r="P271" s="73">
        <v>1</v>
      </c>
      <c r="Q271" s="46">
        <f t="shared" si="31"/>
        <v>123</v>
      </c>
      <c r="R271" s="29">
        <f t="shared" si="35"/>
        <v>1</v>
      </c>
      <c r="S271" s="29">
        <f t="shared" si="34"/>
        <v>0</v>
      </c>
      <c r="T271" s="29">
        <f t="shared" si="32"/>
        <v>2</v>
      </c>
      <c r="U271" s="40">
        <f t="shared" si="33"/>
        <v>10</v>
      </c>
      <c r="V271" s="29">
        <f t="shared" si="29"/>
        <v>0</v>
      </c>
      <c r="W271" s="32"/>
    </row>
    <row r="272" spans="1:23" ht="13.5" customHeight="1" thickBot="1" x14ac:dyDescent="0.3">
      <c r="A272" s="116"/>
      <c r="B272" s="82">
        <v>55</v>
      </c>
      <c r="C272" s="37" t="s">
        <v>775</v>
      </c>
      <c r="D272" s="70" t="s">
        <v>776</v>
      </c>
      <c r="E272" s="70" t="s">
        <v>777</v>
      </c>
      <c r="F272" s="71" t="s">
        <v>656</v>
      </c>
      <c r="G272" s="72">
        <v>37</v>
      </c>
      <c r="H272" s="72" t="s">
        <v>61</v>
      </c>
      <c r="I272" s="73"/>
      <c r="J272" s="73"/>
      <c r="K272" s="73"/>
      <c r="L272" s="73"/>
      <c r="M272" s="73">
        <v>19</v>
      </c>
      <c r="N272" s="73"/>
      <c r="O272" s="73">
        <v>7</v>
      </c>
      <c r="P272" s="73"/>
      <c r="Q272" s="46">
        <f t="shared" si="31"/>
        <v>26</v>
      </c>
      <c r="R272" s="29">
        <f t="shared" si="35"/>
        <v>0</v>
      </c>
      <c r="S272" s="29">
        <f t="shared" si="34"/>
        <v>0</v>
      </c>
      <c r="T272" s="29">
        <f t="shared" si="32"/>
        <v>0</v>
      </c>
      <c r="U272" s="40">
        <f t="shared" si="33"/>
        <v>11</v>
      </c>
      <c r="V272" s="29">
        <f t="shared" ref="V272:V274" si="36">IF(U272&lt;0,U272,0)</f>
        <v>0</v>
      </c>
      <c r="W272" s="32"/>
    </row>
    <row r="273" spans="1:23" ht="13.5" customHeight="1" thickBot="1" x14ac:dyDescent="0.3">
      <c r="A273" s="116"/>
      <c r="B273" s="82">
        <v>56</v>
      </c>
      <c r="C273" s="37" t="s">
        <v>778</v>
      </c>
      <c r="D273" s="70" t="s">
        <v>779</v>
      </c>
      <c r="E273" s="70" t="s">
        <v>780</v>
      </c>
      <c r="F273" s="71" t="s">
        <v>676</v>
      </c>
      <c r="G273" s="72">
        <v>117</v>
      </c>
      <c r="H273" s="72" t="s">
        <v>34</v>
      </c>
      <c r="I273" s="73"/>
      <c r="J273" s="73"/>
      <c r="K273" s="73">
        <v>42</v>
      </c>
      <c r="L273" s="73"/>
      <c r="M273" s="73">
        <v>30</v>
      </c>
      <c r="N273" s="73"/>
      <c r="O273" s="73">
        <v>42</v>
      </c>
      <c r="P273" s="73"/>
      <c r="Q273" s="46">
        <f t="shared" si="31"/>
        <v>114</v>
      </c>
      <c r="R273" s="29">
        <f t="shared" si="35"/>
        <v>0</v>
      </c>
      <c r="S273" s="29">
        <f t="shared" si="34"/>
        <v>0</v>
      </c>
      <c r="T273" s="29">
        <f t="shared" si="32"/>
        <v>0</v>
      </c>
      <c r="U273" s="40">
        <f t="shared" si="33"/>
        <v>3</v>
      </c>
      <c r="V273" s="29">
        <f t="shared" si="36"/>
        <v>0</v>
      </c>
      <c r="W273" s="32"/>
    </row>
    <row r="274" spans="1:23" ht="13.5" customHeight="1" x14ac:dyDescent="0.25">
      <c r="A274" s="116"/>
      <c r="B274" s="82">
        <v>57</v>
      </c>
      <c r="C274" s="37" t="s">
        <v>781</v>
      </c>
      <c r="D274" s="70" t="s">
        <v>782</v>
      </c>
      <c r="E274" s="70" t="s">
        <v>783</v>
      </c>
      <c r="F274" s="71" t="s">
        <v>656</v>
      </c>
      <c r="G274" s="72">
        <v>118</v>
      </c>
      <c r="H274" s="72" t="s">
        <v>34</v>
      </c>
      <c r="I274" s="73"/>
      <c r="J274" s="73"/>
      <c r="K274" s="73">
        <v>51</v>
      </c>
      <c r="L274" s="73"/>
      <c r="M274" s="73">
        <v>42</v>
      </c>
      <c r="N274" s="73"/>
      <c r="O274" s="73">
        <v>25</v>
      </c>
      <c r="P274" s="73"/>
      <c r="Q274" s="46">
        <f t="shared" si="31"/>
        <v>118</v>
      </c>
      <c r="R274" s="29">
        <f t="shared" si="35"/>
        <v>0</v>
      </c>
      <c r="S274" s="29">
        <f t="shared" si="34"/>
        <v>0</v>
      </c>
      <c r="T274" s="29">
        <f t="shared" si="32"/>
        <v>0</v>
      </c>
      <c r="U274" s="40">
        <f t="shared" si="33"/>
        <v>0</v>
      </c>
      <c r="V274" s="29">
        <f t="shared" si="36"/>
        <v>0</v>
      </c>
      <c r="W274" s="32"/>
    </row>
    <row r="275" spans="1:23" ht="13.5" customHeight="1" x14ac:dyDescent="0.25">
      <c r="A275" s="116"/>
      <c r="B275" s="82">
        <v>58</v>
      </c>
      <c r="C275" s="37" t="s">
        <v>784</v>
      </c>
      <c r="D275" s="70"/>
      <c r="E275" s="70" t="s">
        <v>785</v>
      </c>
      <c r="F275" s="71" t="s">
        <v>700</v>
      </c>
      <c r="G275" s="72">
        <v>250</v>
      </c>
      <c r="H275" s="72" t="s">
        <v>34</v>
      </c>
      <c r="I275" s="73"/>
      <c r="J275" s="73"/>
      <c r="K275" s="73">
        <v>96</v>
      </c>
      <c r="L275" s="73"/>
      <c r="M275" s="73">
        <v>100</v>
      </c>
      <c r="N275" s="73"/>
      <c r="O275" s="73">
        <v>54</v>
      </c>
      <c r="P275" s="73"/>
      <c r="Q275" s="46">
        <f t="shared" si="31"/>
        <v>250</v>
      </c>
      <c r="R275" s="29">
        <f t="shared" si="35"/>
        <v>0</v>
      </c>
      <c r="S275" s="29">
        <f t="shared" si="34"/>
        <v>0</v>
      </c>
      <c r="T275" s="29">
        <f t="shared" si="32"/>
        <v>0</v>
      </c>
      <c r="U275" s="40">
        <f t="shared" si="33"/>
        <v>0</v>
      </c>
      <c r="V275" s="29">
        <f t="shared" ref="V275:V283" si="37">IF(U275&lt;0,U275,0)</f>
        <v>0</v>
      </c>
      <c r="W275" s="32" t="s">
        <v>553</v>
      </c>
    </row>
    <row r="276" spans="1:23" ht="13.5" customHeight="1" x14ac:dyDescent="0.25">
      <c r="A276" s="117"/>
      <c r="B276" s="83">
        <v>59</v>
      </c>
      <c r="C276" s="84" t="s">
        <v>786</v>
      </c>
      <c r="D276" s="76"/>
      <c r="E276" s="76" t="s">
        <v>787</v>
      </c>
      <c r="F276" s="77" t="s">
        <v>700</v>
      </c>
      <c r="G276" s="78">
        <v>125</v>
      </c>
      <c r="H276" s="78" t="s">
        <v>34</v>
      </c>
      <c r="I276" s="79"/>
      <c r="J276" s="79"/>
      <c r="K276" s="79">
        <v>24</v>
      </c>
      <c r="L276" s="79"/>
      <c r="M276" s="79">
        <v>75</v>
      </c>
      <c r="N276" s="79"/>
      <c r="O276" s="79">
        <v>26</v>
      </c>
      <c r="P276" s="79"/>
      <c r="Q276" s="47">
        <f t="shared" si="31"/>
        <v>125</v>
      </c>
      <c r="R276" s="33">
        <f t="shared" si="35"/>
        <v>0</v>
      </c>
      <c r="S276" s="33">
        <f t="shared" si="34"/>
        <v>0</v>
      </c>
      <c r="T276" s="33">
        <f t="shared" si="32"/>
        <v>0</v>
      </c>
      <c r="U276" s="40">
        <f t="shared" si="33"/>
        <v>0</v>
      </c>
      <c r="V276" s="33">
        <f t="shared" si="37"/>
        <v>0</v>
      </c>
      <c r="W276" s="34" t="s">
        <v>553</v>
      </c>
    </row>
    <row r="277" spans="1:23" ht="13.5" customHeight="1" x14ac:dyDescent="0.25">
      <c r="A277" s="3"/>
      <c r="B277" s="3"/>
      <c r="Q277" s="4"/>
      <c r="R277" s="4"/>
      <c r="S277" s="4"/>
      <c r="T277" s="4"/>
      <c r="U277" s="30"/>
      <c r="V277" s="1"/>
      <c r="W277" s="2"/>
    </row>
    <row r="278" spans="1:23" ht="13.5" customHeight="1" thickBot="1" x14ac:dyDescent="0.3">
      <c r="A278" s="115" t="s">
        <v>788</v>
      </c>
      <c r="B278" s="80">
        <v>1</v>
      </c>
      <c r="C278" s="81" t="s">
        <v>789</v>
      </c>
      <c r="D278" s="64" t="s">
        <v>789</v>
      </c>
      <c r="E278" s="64" t="s">
        <v>790</v>
      </c>
      <c r="F278" s="65" t="s">
        <v>791</v>
      </c>
      <c r="G278" s="66">
        <v>110</v>
      </c>
      <c r="H278" s="66" t="s">
        <v>47</v>
      </c>
      <c r="I278" s="67"/>
      <c r="J278" s="67"/>
      <c r="K278" s="67"/>
      <c r="L278" s="67"/>
      <c r="M278" s="67">
        <v>62</v>
      </c>
      <c r="N278" s="67">
        <v>1</v>
      </c>
      <c r="O278" s="67">
        <v>47</v>
      </c>
      <c r="P278" s="67"/>
      <c r="Q278" s="45">
        <f t="shared" si="31"/>
        <v>109</v>
      </c>
      <c r="R278" s="30">
        <f t="shared" si="35"/>
        <v>1</v>
      </c>
      <c r="S278" s="30">
        <f t="shared" si="34"/>
        <v>0</v>
      </c>
      <c r="T278" s="30">
        <f t="shared" si="32"/>
        <v>2</v>
      </c>
      <c r="U278" s="40">
        <f t="shared" si="33"/>
        <v>-1</v>
      </c>
      <c r="V278" s="30">
        <f t="shared" si="37"/>
        <v>-1</v>
      </c>
      <c r="W278" s="31"/>
    </row>
    <row r="279" spans="1:23" ht="13.5" customHeight="1" thickBot="1" x14ac:dyDescent="0.3">
      <c r="A279" s="116"/>
      <c r="B279" s="82">
        <v>2</v>
      </c>
      <c r="C279" s="37" t="s">
        <v>792</v>
      </c>
      <c r="D279" s="70" t="s">
        <v>792</v>
      </c>
      <c r="E279" s="70" t="s">
        <v>793</v>
      </c>
      <c r="F279" s="71" t="s">
        <v>794</v>
      </c>
      <c r="G279" s="72">
        <v>135</v>
      </c>
      <c r="H279" s="72" t="s">
        <v>34</v>
      </c>
      <c r="I279" s="73"/>
      <c r="J279" s="73"/>
      <c r="K279" s="73"/>
      <c r="L279" s="73"/>
      <c r="M279" s="73">
        <v>64</v>
      </c>
      <c r="N279" s="73">
        <v>1</v>
      </c>
      <c r="O279" s="73">
        <v>72</v>
      </c>
      <c r="P279" s="73"/>
      <c r="Q279" s="46">
        <f t="shared" si="31"/>
        <v>136</v>
      </c>
      <c r="R279" s="29">
        <f t="shared" si="35"/>
        <v>1</v>
      </c>
      <c r="S279" s="29">
        <f t="shared" si="34"/>
        <v>0</v>
      </c>
      <c r="T279" s="29">
        <f t="shared" si="32"/>
        <v>2</v>
      </c>
      <c r="U279" s="40">
        <f t="shared" si="33"/>
        <v>-3</v>
      </c>
      <c r="V279" s="29">
        <f t="shared" si="37"/>
        <v>-3</v>
      </c>
      <c r="W279" s="32"/>
    </row>
    <row r="280" spans="1:23" ht="13.5" customHeight="1" thickBot="1" x14ac:dyDescent="0.3">
      <c r="A280" s="116"/>
      <c r="B280" s="82">
        <v>3</v>
      </c>
      <c r="C280" s="37" t="s">
        <v>795</v>
      </c>
      <c r="D280" s="70" t="s">
        <v>248</v>
      </c>
      <c r="E280" s="70" t="s">
        <v>796</v>
      </c>
      <c r="F280" s="71" t="s">
        <v>797</v>
      </c>
      <c r="G280" s="72">
        <v>310</v>
      </c>
      <c r="H280" s="72" t="s">
        <v>34</v>
      </c>
      <c r="I280" s="73"/>
      <c r="J280" s="73"/>
      <c r="K280" s="73">
        <v>94</v>
      </c>
      <c r="L280" s="73"/>
      <c r="M280" s="73">
        <v>94</v>
      </c>
      <c r="N280" s="73"/>
      <c r="O280" s="73">
        <v>122</v>
      </c>
      <c r="P280" s="73"/>
      <c r="Q280" s="46">
        <f t="shared" si="31"/>
        <v>310</v>
      </c>
      <c r="R280" s="29">
        <f t="shared" si="35"/>
        <v>0</v>
      </c>
      <c r="S280" s="29">
        <f t="shared" si="34"/>
        <v>0</v>
      </c>
      <c r="T280" s="29">
        <f t="shared" si="32"/>
        <v>0</v>
      </c>
      <c r="U280" s="40">
        <f t="shared" si="33"/>
        <v>0</v>
      </c>
      <c r="V280" s="29">
        <f t="shared" si="37"/>
        <v>0</v>
      </c>
      <c r="W280" s="32"/>
    </row>
    <row r="281" spans="1:23" ht="13.5" customHeight="1" thickBot="1" x14ac:dyDescent="0.3">
      <c r="A281" s="116"/>
      <c r="B281" s="82">
        <v>4</v>
      </c>
      <c r="C281" s="37" t="s">
        <v>798</v>
      </c>
      <c r="D281" s="70" t="s">
        <v>799</v>
      </c>
      <c r="E281" s="70" t="s">
        <v>800</v>
      </c>
      <c r="F281" s="71" t="s">
        <v>801</v>
      </c>
      <c r="G281" s="72">
        <v>105</v>
      </c>
      <c r="H281" s="72" t="s">
        <v>34</v>
      </c>
      <c r="I281" s="73"/>
      <c r="J281" s="73"/>
      <c r="K281" s="73">
        <v>18</v>
      </c>
      <c r="L281" s="73"/>
      <c r="M281" s="73">
        <v>43</v>
      </c>
      <c r="N281" s="73">
        <v>2</v>
      </c>
      <c r="O281" s="73">
        <v>44</v>
      </c>
      <c r="P281" s="73">
        <v>1</v>
      </c>
      <c r="Q281" s="46">
        <f t="shared" si="31"/>
        <v>105</v>
      </c>
      <c r="R281" s="29">
        <f t="shared" si="35"/>
        <v>3</v>
      </c>
      <c r="S281" s="29">
        <f t="shared" si="34"/>
        <v>0</v>
      </c>
      <c r="T281" s="29">
        <f t="shared" si="32"/>
        <v>2</v>
      </c>
      <c r="U281" s="40">
        <f t="shared" si="33"/>
        <v>-2</v>
      </c>
      <c r="V281" s="29">
        <f t="shared" si="37"/>
        <v>-2</v>
      </c>
      <c r="W281" s="32"/>
    </row>
    <row r="282" spans="1:23" ht="13.5" customHeight="1" thickBot="1" x14ac:dyDescent="0.3">
      <c r="A282" s="116"/>
      <c r="B282" s="82">
        <v>5</v>
      </c>
      <c r="C282" s="37" t="s">
        <v>802</v>
      </c>
      <c r="D282" s="70" t="s">
        <v>803</v>
      </c>
      <c r="E282" s="70" t="s">
        <v>804</v>
      </c>
      <c r="F282" s="71" t="s">
        <v>805</v>
      </c>
      <c r="G282" s="72">
        <v>78</v>
      </c>
      <c r="H282" s="72" t="s">
        <v>34</v>
      </c>
      <c r="I282" s="73"/>
      <c r="J282" s="73"/>
      <c r="K282" s="73">
        <v>25</v>
      </c>
      <c r="L282" s="73">
        <v>1</v>
      </c>
      <c r="M282" s="73">
        <v>27</v>
      </c>
      <c r="N282" s="73"/>
      <c r="O282" s="73">
        <v>25</v>
      </c>
      <c r="P282" s="73">
        <v>1</v>
      </c>
      <c r="Q282" s="46">
        <f t="shared" si="31"/>
        <v>77</v>
      </c>
      <c r="R282" s="29">
        <f t="shared" si="35"/>
        <v>2</v>
      </c>
      <c r="S282" s="29">
        <f t="shared" si="34"/>
        <v>2</v>
      </c>
      <c r="T282" s="29">
        <f t="shared" si="32"/>
        <v>2</v>
      </c>
      <c r="U282" s="40">
        <f t="shared" si="33"/>
        <v>-3</v>
      </c>
      <c r="V282" s="29">
        <f t="shared" si="37"/>
        <v>-3</v>
      </c>
      <c r="W282" s="32"/>
    </row>
    <row r="283" spans="1:23" ht="13.5" customHeight="1" thickBot="1" x14ac:dyDescent="0.3">
      <c r="A283" s="117"/>
      <c r="B283" s="83">
        <v>6</v>
      </c>
      <c r="C283" s="84" t="s">
        <v>806</v>
      </c>
      <c r="D283" s="76" t="s">
        <v>248</v>
      </c>
      <c r="E283" s="76" t="s">
        <v>807</v>
      </c>
      <c r="F283" s="77" t="s">
        <v>805</v>
      </c>
      <c r="G283" s="78">
        <v>104</v>
      </c>
      <c r="H283" s="78"/>
      <c r="I283" s="79"/>
      <c r="J283" s="79"/>
      <c r="K283" s="79">
        <v>52</v>
      </c>
      <c r="L283" s="79"/>
      <c r="M283" s="79">
        <v>26</v>
      </c>
      <c r="N283" s="79"/>
      <c r="O283" s="79">
        <v>26</v>
      </c>
      <c r="P283" s="79"/>
      <c r="Q283" s="47">
        <f t="shared" si="31"/>
        <v>104</v>
      </c>
      <c r="R283" s="33">
        <f t="shared" si="35"/>
        <v>0</v>
      </c>
      <c r="S283" s="33">
        <f t="shared" si="34"/>
        <v>0</v>
      </c>
      <c r="T283" s="33">
        <f t="shared" si="32"/>
        <v>0</v>
      </c>
      <c r="U283" s="40">
        <f t="shared" si="33"/>
        <v>0</v>
      </c>
      <c r="V283" s="33">
        <f t="shared" si="37"/>
        <v>0</v>
      </c>
      <c r="W283" s="34"/>
    </row>
    <row r="299" ht="26.25" customHeight="1" x14ac:dyDescent="0.25"/>
    <row r="302" ht="39" customHeight="1" x14ac:dyDescent="0.25"/>
  </sheetData>
  <mergeCells count="29">
    <mergeCell ref="A202:A216"/>
    <mergeCell ref="A218:A276"/>
    <mergeCell ref="A278:A283"/>
    <mergeCell ref="A96:A135"/>
    <mergeCell ref="A137:A148"/>
    <mergeCell ref="A150:A160"/>
    <mergeCell ref="A162:A180"/>
    <mergeCell ref="A182:A200"/>
    <mergeCell ref="A10:A58"/>
    <mergeCell ref="A60:A94"/>
    <mergeCell ref="C1:C2"/>
    <mergeCell ref="A1:B2"/>
    <mergeCell ref="S1:S2"/>
    <mergeCell ref="G1:G2"/>
    <mergeCell ref="F1:F2"/>
    <mergeCell ref="E1:E2"/>
    <mergeCell ref="D1:D2"/>
    <mergeCell ref="A4:A8"/>
    <mergeCell ref="I1:J1"/>
    <mergeCell ref="K1:L1"/>
    <mergeCell ref="M1:N1"/>
    <mergeCell ref="O1:P1"/>
    <mergeCell ref="H1:H2"/>
    <mergeCell ref="W1:W2"/>
    <mergeCell ref="R1:R2"/>
    <mergeCell ref="V1:V2"/>
    <mergeCell ref="U1:U2"/>
    <mergeCell ref="Q1:Q2"/>
    <mergeCell ref="T1:T2"/>
  </mergeCells>
  <conditionalFormatting sqref="U4:U14999">
    <cfRule type="cellIs" dxfId="10" priority="1" operator="greaterThan">
      <formula>0</formula>
    </cfRule>
  </conditionalFormatting>
  <conditionalFormatting sqref="V9">
    <cfRule type="cellIs" dxfId="9" priority="3" operator="greaterThan">
      <formula>1</formula>
    </cfRule>
  </conditionalFormatting>
  <conditionalFormatting sqref="V59">
    <cfRule type="cellIs" dxfId="8" priority="4" operator="greaterThan">
      <formula>1</formula>
    </cfRule>
  </conditionalFormatting>
  <conditionalFormatting sqref="V95">
    <cfRule type="cellIs" dxfId="7" priority="5" operator="greaterThan">
      <formula>1</formula>
    </cfRule>
  </conditionalFormatting>
  <conditionalFormatting sqref="V136">
    <cfRule type="cellIs" dxfId="6" priority="6" operator="greaterThan">
      <formula>1</formula>
    </cfRule>
  </conditionalFormatting>
  <conditionalFormatting sqref="V149">
    <cfRule type="cellIs" dxfId="5" priority="7" operator="greaterThan">
      <formula>1</formula>
    </cfRule>
  </conditionalFormatting>
  <conditionalFormatting sqref="V161">
    <cfRule type="cellIs" dxfId="4" priority="8" operator="greaterThan">
      <formula>1</formula>
    </cfRule>
  </conditionalFormatting>
  <conditionalFormatting sqref="V181">
    <cfRule type="cellIs" dxfId="3" priority="9" operator="greaterThan">
      <formula>1</formula>
    </cfRule>
  </conditionalFormatting>
  <conditionalFormatting sqref="V201">
    <cfRule type="cellIs" dxfId="2" priority="10" operator="greaterThan">
      <formula>1</formula>
    </cfRule>
  </conditionalFormatting>
  <conditionalFormatting sqref="V217">
    <cfRule type="cellIs" dxfId="1" priority="11" operator="greaterThan">
      <formula>1</formula>
    </cfRule>
  </conditionalFormatting>
  <conditionalFormatting sqref="V277">
    <cfRule type="cellIs" dxfId="0" priority="12" operator="greaterThan">
      <formula>1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311D-B462-431C-BDD2-724553DFD604}">
  <dimension ref="A1:F29"/>
  <sheetViews>
    <sheetView workbookViewId="0">
      <selection activeCell="B15" sqref="B15:E15"/>
    </sheetView>
  </sheetViews>
  <sheetFormatPr defaultRowHeight="15" x14ac:dyDescent="0.25"/>
  <cols>
    <col min="1" max="1" width="8.85546875" customWidth="1"/>
    <col min="2" max="2" width="11.42578125" customWidth="1"/>
  </cols>
  <sheetData>
    <row r="1" spans="1:6" ht="15.75" thickBot="1" x14ac:dyDescent="0.3">
      <c r="A1" s="101" t="s">
        <v>808</v>
      </c>
      <c r="B1" s="102"/>
      <c r="C1" s="102"/>
      <c r="D1" s="102"/>
      <c r="E1" s="102"/>
      <c r="F1" s="103"/>
    </row>
    <row r="2" spans="1:6" ht="26.25" thickBot="1" x14ac:dyDescent="0.3">
      <c r="A2" s="10" t="s">
        <v>0</v>
      </c>
      <c r="B2" s="11" t="s">
        <v>7</v>
      </c>
      <c r="C2" s="11" t="s">
        <v>809</v>
      </c>
      <c r="D2" s="11" t="s">
        <v>810</v>
      </c>
      <c r="E2" s="13" t="s">
        <v>811</v>
      </c>
      <c r="F2" s="41" t="s">
        <v>812</v>
      </c>
    </row>
    <row r="3" spans="1:6" x14ac:dyDescent="0.25">
      <c r="A3" s="6" t="s">
        <v>20</v>
      </c>
      <c r="B3" s="8">
        <f>SUM(MAIO!I4:I8)</f>
        <v>0</v>
      </c>
      <c r="C3" s="9">
        <f>SUM(MAIO!K4:K8)</f>
        <v>44</v>
      </c>
      <c r="D3" s="9">
        <f>SUM(MAIO!M4:M8)</f>
        <v>127</v>
      </c>
      <c r="E3" s="19">
        <f>SUM(MAIO!O4:O8)</f>
        <v>117</v>
      </c>
      <c r="F3" s="42">
        <f t="shared" ref="F3:F13" si="0">SUM(B3:E3)</f>
        <v>288</v>
      </c>
    </row>
    <row r="4" spans="1:6" x14ac:dyDescent="0.25">
      <c r="A4" s="7" t="s">
        <v>43</v>
      </c>
      <c r="B4" s="8">
        <f>SUM(MAIO!I10:I58)</f>
        <v>243</v>
      </c>
      <c r="C4" s="9">
        <f>SUM(MAIO!K10:K58)</f>
        <v>731</v>
      </c>
      <c r="D4" s="9">
        <f>SUM(MAIO!M10:M58)</f>
        <v>1477</v>
      </c>
      <c r="E4" s="19">
        <f>SUM(MAIO!O10:O58)</f>
        <v>1632</v>
      </c>
      <c r="F4" s="43">
        <f t="shared" si="0"/>
        <v>4083</v>
      </c>
    </row>
    <row r="5" spans="1:6" x14ac:dyDescent="0.25">
      <c r="A5" s="7" t="s">
        <v>813</v>
      </c>
      <c r="B5" s="8">
        <f>SUM(MAIO!I60:I94)</f>
        <v>41</v>
      </c>
      <c r="C5" s="9">
        <f>SUM(MAIO!K60:K94)</f>
        <v>783</v>
      </c>
      <c r="D5" s="9">
        <f>SUM(MAIO!M60:M94)</f>
        <v>1732</v>
      </c>
      <c r="E5" s="19">
        <f>SUM(MAIO!O60:O94)</f>
        <v>1766</v>
      </c>
      <c r="F5" s="43">
        <f t="shared" si="0"/>
        <v>4322</v>
      </c>
    </row>
    <row r="6" spans="1:6" x14ac:dyDescent="0.25">
      <c r="A6" s="7" t="s">
        <v>295</v>
      </c>
      <c r="B6" s="8">
        <f>SUM(MAIO!I96:I135)</f>
        <v>16</v>
      </c>
      <c r="C6" s="9">
        <f>SUM(MAIO!K96:K135)</f>
        <v>1243</v>
      </c>
      <c r="D6" s="9">
        <f>SUM(MAIO!M96:M135)</f>
        <v>2184</v>
      </c>
      <c r="E6" s="19">
        <f>SUM(MAIO!O96:O135)</f>
        <v>1983</v>
      </c>
      <c r="F6" s="43">
        <f t="shared" si="0"/>
        <v>5426</v>
      </c>
    </row>
    <row r="7" spans="1:6" x14ac:dyDescent="0.25">
      <c r="A7" s="7" t="s">
        <v>414</v>
      </c>
      <c r="B7" s="8">
        <f>SUM(MAIO!I137:I148)</f>
        <v>7</v>
      </c>
      <c r="C7" s="8">
        <f>SUM(MAIO!K137:K148)</f>
        <v>204</v>
      </c>
      <c r="D7" s="8">
        <f>SUM(MAIO!M137:M148)</f>
        <v>585</v>
      </c>
      <c r="E7" s="20">
        <f>SUM(MAIO!O137:O148)</f>
        <v>480</v>
      </c>
      <c r="F7" s="43">
        <f t="shared" si="0"/>
        <v>1276</v>
      </c>
    </row>
    <row r="8" spans="1:6" x14ac:dyDescent="0.25">
      <c r="A8" s="7" t="s">
        <v>454</v>
      </c>
      <c r="B8" s="8">
        <f>SUM(MAIO!I150:I160)</f>
        <v>15</v>
      </c>
      <c r="C8" s="8">
        <f>SUM(MAIO!K150:K160)</f>
        <v>209</v>
      </c>
      <c r="D8" s="8">
        <f>SUM(MAIO!M150:M160)</f>
        <v>563</v>
      </c>
      <c r="E8" s="20">
        <f>SUM(MAIO!O150:O160)</f>
        <v>604</v>
      </c>
      <c r="F8" s="43">
        <f t="shared" si="0"/>
        <v>1391</v>
      </c>
    </row>
    <row r="9" spans="1:6" x14ac:dyDescent="0.25">
      <c r="A9" s="7" t="s">
        <v>487</v>
      </c>
      <c r="B9" s="8">
        <f>SUM(MAIO!I162:I180)</f>
        <v>46</v>
      </c>
      <c r="C9" s="8">
        <f>SUM(MAIO!K162:K180)</f>
        <v>213</v>
      </c>
      <c r="D9" s="8">
        <f>SUM(MAIO!M162:M180)</f>
        <v>1001</v>
      </c>
      <c r="E9" s="20">
        <f>SUM(MAIO!O162:O180)</f>
        <v>1120</v>
      </c>
      <c r="F9" s="43">
        <f t="shared" si="0"/>
        <v>2380</v>
      </c>
    </row>
    <row r="10" spans="1:6" x14ac:dyDescent="0.25">
      <c r="A10" s="7" t="s">
        <v>554</v>
      </c>
      <c r="B10" s="8">
        <f>SUM(MAIO!I182:I200)</f>
        <v>43</v>
      </c>
      <c r="C10" s="8">
        <f>SUM(MAIO!K182:K200)</f>
        <v>525</v>
      </c>
      <c r="D10" s="8">
        <f>SUM(MAIO!M182:M200)</f>
        <v>882</v>
      </c>
      <c r="E10" s="20">
        <f>SUM(MAIO!O182:O200)</f>
        <v>776</v>
      </c>
      <c r="F10" s="43">
        <f t="shared" si="0"/>
        <v>2226</v>
      </c>
    </row>
    <row r="11" spans="1:6" x14ac:dyDescent="0.25">
      <c r="A11" s="7" t="s">
        <v>609</v>
      </c>
      <c r="B11" s="8">
        <f>SUM(MAIO!I202:I216)</f>
        <v>0</v>
      </c>
      <c r="C11" s="8">
        <f>SUM(MAIO!K202:K216)</f>
        <v>306</v>
      </c>
      <c r="D11" s="8">
        <f>SUM(MAIO!M202:M216)</f>
        <v>518</v>
      </c>
      <c r="E11" s="20">
        <f>SUM(MAIO!O202:O216)</f>
        <v>513</v>
      </c>
      <c r="F11" s="43">
        <f t="shared" si="0"/>
        <v>1337</v>
      </c>
    </row>
    <row r="12" spans="1:6" x14ac:dyDescent="0.25">
      <c r="A12" s="7" t="s">
        <v>653</v>
      </c>
      <c r="B12" s="8">
        <f>SUM(MAIO!I218:I276)</f>
        <v>77</v>
      </c>
      <c r="C12" s="8">
        <f>SUM(MAIO!K218:K276)</f>
        <v>2014</v>
      </c>
      <c r="D12" s="8">
        <f>SUM(MAIO!M218:M276)</f>
        <v>3421</v>
      </c>
      <c r="E12" s="20">
        <f>SUM(MAIO!O218:O276)</f>
        <v>3269</v>
      </c>
      <c r="F12" s="43">
        <f t="shared" si="0"/>
        <v>8781</v>
      </c>
    </row>
    <row r="13" spans="1:6" ht="15.75" thickBot="1" x14ac:dyDescent="0.3">
      <c r="A13" s="14" t="s">
        <v>788</v>
      </c>
      <c r="B13" s="16">
        <f>SUM(MAIO!I278:I283)</f>
        <v>0</v>
      </c>
      <c r="C13" s="16">
        <f>SUM(MAIO!K278:K283)</f>
        <v>189</v>
      </c>
      <c r="D13" s="16">
        <f>SUM(MAIO!M278:M283)</f>
        <v>316</v>
      </c>
      <c r="E13" s="18">
        <f>SUM(MAIO!O278:O283)</f>
        <v>336</v>
      </c>
      <c r="F13" s="44">
        <f t="shared" si="0"/>
        <v>841</v>
      </c>
    </row>
    <row r="14" spans="1:6" ht="26.25" thickBot="1" x14ac:dyDescent="0.3">
      <c r="A14" s="5" t="s">
        <v>814</v>
      </c>
      <c r="B14" s="22">
        <f>SUM(B3:B13)</f>
        <v>488</v>
      </c>
      <c r="C14" s="22">
        <f>SUM(C3:C13)</f>
        <v>6461</v>
      </c>
      <c r="D14" s="22">
        <f>SUM(D3:D13)</f>
        <v>12806</v>
      </c>
      <c r="E14" s="23">
        <f>SUM(E3:E13)</f>
        <v>12596</v>
      </c>
      <c r="F14" s="3"/>
    </row>
    <row r="15" spans="1:6" ht="26.25" thickBot="1" x14ac:dyDescent="0.3">
      <c r="A15" s="21" t="s">
        <v>816</v>
      </c>
      <c r="B15" s="104">
        <f>SUM(B3:E13)</f>
        <v>32351</v>
      </c>
      <c r="C15" s="105"/>
      <c r="D15" s="105"/>
      <c r="E15" s="106"/>
      <c r="F15" s="4"/>
    </row>
    <row r="16" spans="1:6" ht="15.75" thickBot="1" x14ac:dyDescent="0.3">
      <c r="A16" s="4"/>
      <c r="B16" s="3"/>
      <c r="C16" s="3"/>
      <c r="D16" s="3"/>
      <c r="E16" s="3"/>
      <c r="F16" s="3"/>
    </row>
    <row r="17" spans="1:6" ht="30.75" thickBot="1" x14ac:dyDescent="0.3">
      <c r="A17" s="25" t="s">
        <v>0</v>
      </c>
      <c r="B17" s="26" t="s">
        <v>815</v>
      </c>
      <c r="C17" s="27" t="s">
        <v>5</v>
      </c>
      <c r="D17" s="3"/>
      <c r="E17" s="3"/>
      <c r="F17" s="3"/>
    </row>
    <row r="18" spans="1:6" x14ac:dyDescent="0.25">
      <c r="A18" s="24" t="s">
        <v>20</v>
      </c>
      <c r="B18" s="12">
        <f>COUNTA(MAIO!C4:C8)</f>
        <v>5</v>
      </c>
      <c r="C18" s="12">
        <v>312</v>
      </c>
      <c r="D18" s="3"/>
      <c r="E18" s="3"/>
      <c r="F18" s="3"/>
    </row>
    <row r="19" spans="1:6" x14ac:dyDescent="0.25">
      <c r="A19" s="7" t="s">
        <v>43</v>
      </c>
      <c r="B19" s="12">
        <v>49</v>
      </c>
      <c r="C19" s="12">
        <v>4211</v>
      </c>
      <c r="D19" s="3"/>
      <c r="E19" s="3"/>
      <c r="F19" s="3"/>
    </row>
    <row r="20" spans="1:6" x14ac:dyDescent="0.25">
      <c r="A20" s="7" t="s">
        <v>813</v>
      </c>
      <c r="B20" s="12">
        <v>35</v>
      </c>
      <c r="C20" s="12">
        <v>4445</v>
      </c>
      <c r="D20" s="3"/>
      <c r="E20" s="3"/>
      <c r="F20" s="3"/>
    </row>
    <row r="21" spans="1:6" x14ac:dyDescent="0.25">
      <c r="A21" s="7" t="s">
        <v>295</v>
      </c>
      <c r="B21" s="12">
        <v>40</v>
      </c>
      <c r="C21" s="12">
        <v>6173</v>
      </c>
      <c r="D21" s="3"/>
      <c r="E21" s="3"/>
      <c r="F21" s="3"/>
    </row>
    <row r="22" spans="1:6" x14ac:dyDescent="0.25">
      <c r="A22" s="7" t="s">
        <v>414</v>
      </c>
      <c r="B22" s="12">
        <v>12</v>
      </c>
      <c r="C22" s="12">
        <v>1458</v>
      </c>
      <c r="D22" s="3"/>
      <c r="E22" s="3"/>
      <c r="F22" s="3"/>
    </row>
    <row r="23" spans="1:6" x14ac:dyDescent="0.25">
      <c r="A23" s="7" t="s">
        <v>454</v>
      </c>
      <c r="B23" s="12">
        <v>11</v>
      </c>
      <c r="C23" s="12">
        <v>1437</v>
      </c>
      <c r="D23" s="3"/>
      <c r="E23" s="3"/>
      <c r="F23" s="3"/>
    </row>
    <row r="24" spans="1:6" x14ac:dyDescent="0.25">
      <c r="A24" s="7" t="s">
        <v>487</v>
      </c>
      <c r="B24" s="12">
        <v>19</v>
      </c>
      <c r="C24" s="12">
        <v>2413</v>
      </c>
      <c r="D24" s="3"/>
      <c r="E24" s="3"/>
      <c r="F24" s="3"/>
    </row>
    <row r="25" spans="1:6" x14ac:dyDescent="0.25">
      <c r="A25" s="7" t="s">
        <v>554</v>
      </c>
      <c r="B25" s="12">
        <v>19</v>
      </c>
      <c r="C25" s="12">
        <v>2502</v>
      </c>
      <c r="D25" s="3"/>
      <c r="E25" s="3"/>
      <c r="F25" s="3"/>
    </row>
    <row r="26" spans="1:6" x14ac:dyDescent="0.25">
      <c r="A26" s="7" t="s">
        <v>609</v>
      </c>
      <c r="B26" s="12">
        <v>15</v>
      </c>
      <c r="C26" s="12">
        <v>1608</v>
      </c>
      <c r="D26" s="3"/>
      <c r="E26" s="3"/>
      <c r="F26" s="3"/>
    </row>
    <row r="27" spans="1:6" x14ac:dyDescent="0.25">
      <c r="A27" s="7" t="s">
        <v>653</v>
      </c>
      <c r="B27" s="12">
        <v>59</v>
      </c>
      <c r="C27" s="12">
        <v>9069</v>
      </c>
      <c r="D27" s="3"/>
      <c r="E27" s="3"/>
      <c r="F27" s="3"/>
    </row>
    <row r="28" spans="1:6" ht="15.75" thickBot="1" x14ac:dyDescent="0.3">
      <c r="A28" s="14" t="s">
        <v>788</v>
      </c>
      <c r="B28" s="17">
        <v>6</v>
      </c>
      <c r="C28" s="12">
        <v>842</v>
      </c>
      <c r="D28" s="3"/>
      <c r="E28" s="3"/>
      <c r="F28" s="3"/>
    </row>
    <row r="29" spans="1:6" ht="25.5" x14ac:dyDescent="0.25">
      <c r="A29" s="5" t="s">
        <v>816</v>
      </c>
      <c r="B29" s="15">
        <f>SUM(B18:B28)</f>
        <v>270</v>
      </c>
      <c r="C29" s="15">
        <v>34470</v>
      </c>
      <c r="D29" s="3"/>
      <c r="E29" s="3"/>
      <c r="F29" s="3"/>
    </row>
  </sheetData>
  <mergeCells count="2">
    <mergeCell ref="A1:F1"/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MAIO</vt:lpstr>
      <vt:lpstr>QUADRO 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Torres</dc:creator>
  <cp:keywords/>
  <dc:description/>
  <cp:lastModifiedBy>GABRIELLE FREIRE DOMINGUES</cp:lastModifiedBy>
  <cp:revision/>
  <dcterms:created xsi:type="dcterms:W3CDTF">2020-06-09T13:54:06Z</dcterms:created>
  <dcterms:modified xsi:type="dcterms:W3CDTF">2026-08-28T18:18:11Z</dcterms:modified>
  <cp:category/>
  <cp:contentStatus/>
</cp:coreProperties>
</file>