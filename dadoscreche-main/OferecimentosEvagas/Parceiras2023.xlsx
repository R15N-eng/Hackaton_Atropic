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fdom\Downloads\"/>
    </mc:Choice>
  </mc:AlternateContent>
  <xr:revisionPtr revIDLastSave="0" documentId="13_ncr:1_{D0AE4869-235F-4E7C-8677-9386D417D355}" xr6:coauthVersionLast="47" xr6:coauthVersionMax="47" xr10:uidLastSave="{00000000-0000-0000-0000-000000000000}"/>
  <bookViews>
    <workbookView xWindow="-120" yWindow="-120" windowWidth="29040" windowHeight="15720" xr2:uid="{ADF34A82-7394-40DD-A3F5-DF93A0A4F84B}"/>
  </bookViews>
  <sheets>
    <sheet name="2023" sheetId="1" r:id="rId1"/>
  </sheets>
  <definedNames>
    <definedName name="_xlnm._FilterDatabase" localSheetId="0" hidden="1">'2023'!$A$2:$AC$311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6" i="1" l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9" i="1"/>
  <c r="Y200" i="1"/>
  <c r="Y203" i="1"/>
  <c r="Y204" i="1"/>
  <c r="Y206" i="1"/>
  <c r="Y207" i="1"/>
  <c r="Y209" i="1"/>
  <c r="Y210" i="1"/>
  <c r="Y212" i="1"/>
  <c r="Y211" i="1"/>
  <c r="Y213" i="1"/>
  <c r="Y215" i="1"/>
  <c r="Y216" i="1"/>
  <c r="Y217" i="1"/>
  <c r="Y218" i="1"/>
  <c r="Y214" i="1"/>
  <c r="Y202" i="1"/>
  <c r="Y198" i="1"/>
  <c r="Y208" i="1"/>
  <c r="Y205" i="1"/>
  <c r="Y201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9" i="1"/>
  <c r="X200" i="1"/>
  <c r="X203" i="1"/>
  <c r="X204" i="1"/>
  <c r="X206" i="1"/>
  <c r="X207" i="1"/>
  <c r="X209" i="1"/>
  <c r="X210" i="1"/>
  <c r="X212" i="1"/>
  <c r="X211" i="1"/>
  <c r="X213" i="1"/>
  <c r="X215" i="1"/>
  <c r="X216" i="1"/>
  <c r="X217" i="1"/>
  <c r="X218" i="1"/>
  <c r="X214" i="1"/>
  <c r="X202" i="1"/>
  <c r="X198" i="1"/>
  <c r="X208" i="1"/>
  <c r="X205" i="1"/>
  <c r="X201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9" i="1"/>
  <c r="W200" i="1"/>
  <c r="W203" i="1"/>
  <c r="W204" i="1"/>
  <c r="W206" i="1"/>
  <c r="W207" i="1"/>
  <c r="W209" i="1"/>
  <c r="W210" i="1"/>
  <c r="W212" i="1"/>
  <c r="W211" i="1"/>
  <c r="W213" i="1"/>
  <c r="W215" i="1"/>
  <c r="W216" i="1"/>
  <c r="W217" i="1"/>
  <c r="W218" i="1"/>
  <c r="W214" i="1"/>
  <c r="W202" i="1"/>
  <c r="W198" i="1"/>
  <c r="W208" i="1"/>
  <c r="W205" i="1"/>
  <c r="W201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56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9" i="1"/>
  <c r="V200" i="1"/>
  <c r="V203" i="1"/>
  <c r="V204" i="1"/>
  <c r="V206" i="1"/>
  <c r="V207" i="1"/>
  <c r="V209" i="1"/>
  <c r="V210" i="1"/>
  <c r="V212" i="1"/>
  <c r="V211" i="1"/>
  <c r="V213" i="1"/>
  <c r="V215" i="1"/>
  <c r="V216" i="1"/>
  <c r="V217" i="1"/>
  <c r="V218" i="1"/>
  <c r="V214" i="1"/>
  <c r="V202" i="1"/>
  <c r="V198" i="1"/>
  <c r="V208" i="1"/>
  <c r="V205" i="1"/>
  <c r="V201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56" i="1"/>
  <c r="V57" i="1"/>
  <c r="V58" i="1"/>
  <c r="V59" i="1"/>
  <c r="V60" i="1"/>
  <c r="V61" i="1"/>
  <c r="V6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Y3" i="1"/>
  <c r="X3" i="1"/>
  <c r="W3" i="1"/>
  <c r="V3" i="1"/>
  <c r="AA310" i="1" l="1"/>
  <c r="AA302" i="1"/>
  <c r="AA294" i="1"/>
  <c r="AA286" i="1"/>
  <c r="AA278" i="1"/>
  <c r="AA270" i="1"/>
  <c r="AA262" i="1"/>
  <c r="AA254" i="1"/>
  <c r="AA246" i="1"/>
  <c r="AA238" i="1"/>
  <c r="AA230" i="1"/>
  <c r="AA222" i="1"/>
  <c r="AA202" i="1"/>
  <c r="AA212" i="1"/>
  <c r="AA199" i="1"/>
  <c r="AA190" i="1"/>
  <c r="AA182" i="1"/>
  <c r="AA174" i="1"/>
  <c r="AA166" i="1"/>
  <c r="AA158" i="1"/>
  <c r="AA150" i="1"/>
  <c r="AA142" i="1"/>
  <c r="AA134" i="1"/>
  <c r="AA126" i="1"/>
  <c r="AA118" i="1"/>
  <c r="AA110" i="1"/>
  <c r="AA102" i="1"/>
  <c r="AA78" i="1"/>
  <c r="AA70" i="1"/>
  <c r="AA59" i="1"/>
  <c r="AA23" i="1"/>
  <c r="AA55" i="1"/>
  <c r="AA39" i="1"/>
  <c r="AA7" i="1"/>
  <c r="AA47" i="1"/>
  <c r="AA31" i="1"/>
  <c r="AA15" i="1"/>
  <c r="AA307" i="1"/>
  <c r="AA299" i="1"/>
  <c r="AA291" i="1"/>
  <c r="AA283" i="1"/>
  <c r="AA275" i="1"/>
  <c r="AA267" i="1"/>
  <c r="AA259" i="1"/>
  <c r="AA251" i="1"/>
  <c r="AA243" i="1"/>
  <c r="AA235" i="1"/>
  <c r="AA227" i="1"/>
  <c r="AA219" i="1"/>
  <c r="AA217" i="1"/>
  <c r="AA207" i="1"/>
  <c r="AA195" i="1"/>
  <c r="AA187" i="1"/>
  <c r="AA179" i="1"/>
  <c r="AA171" i="1"/>
  <c r="AA163" i="1"/>
  <c r="AA155" i="1"/>
  <c r="AA147" i="1"/>
  <c r="AA139" i="1"/>
  <c r="AA131" i="1"/>
  <c r="AA123" i="1"/>
  <c r="AA115" i="1"/>
  <c r="AA107" i="1"/>
  <c r="AA99" i="1"/>
  <c r="AA91" i="1"/>
  <c r="AA83" i="1"/>
  <c r="AA75" i="1"/>
  <c r="AA58" i="1"/>
  <c r="AA306" i="1"/>
  <c r="AA298" i="1"/>
  <c r="AA290" i="1"/>
  <c r="AA282" i="1"/>
  <c r="AA274" i="1"/>
  <c r="AA266" i="1"/>
  <c r="AA258" i="1"/>
  <c r="AA250" i="1"/>
  <c r="AA242" i="1"/>
  <c r="AA234" i="1"/>
  <c r="AA226" i="1"/>
  <c r="AA201" i="1"/>
  <c r="AA216" i="1"/>
  <c r="AA206" i="1"/>
  <c r="AA194" i="1"/>
  <c r="AA186" i="1"/>
  <c r="AA178" i="1"/>
  <c r="AA170" i="1"/>
  <c r="AA162" i="1"/>
  <c r="AA154" i="1"/>
  <c r="AA146" i="1"/>
  <c r="AA138" i="1"/>
  <c r="AA130" i="1"/>
  <c r="AA122" i="1"/>
  <c r="AA114" i="1"/>
  <c r="AA106" i="1"/>
  <c r="AA98" i="1"/>
  <c r="AA90" i="1"/>
  <c r="AA82" i="1"/>
  <c r="AA74" i="1"/>
  <c r="AA66" i="1"/>
  <c r="AA43" i="1"/>
  <c r="AA27" i="1"/>
  <c r="AA51" i="1"/>
  <c r="AA35" i="1"/>
  <c r="AA57" i="1"/>
  <c r="AA305" i="1"/>
  <c r="AA297" i="1"/>
  <c r="AA289" i="1"/>
  <c r="AA281" i="1"/>
  <c r="AA273" i="1"/>
  <c r="AA265" i="1"/>
  <c r="AA257" i="1"/>
  <c r="AA249" i="1"/>
  <c r="AA241" i="1"/>
  <c r="AA233" i="1"/>
  <c r="AA225" i="1"/>
  <c r="AA205" i="1"/>
  <c r="AA215" i="1"/>
  <c r="AA204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4" i="1"/>
  <c r="AA38" i="1"/>
  <c r="AA30" i="1"/>
  <c r="AA14" i="1"/>
  <c r="AA6" i="1"/>
  <c r="AA46" i="1"/>
  <c r="AA22" i="1"/>
  <c r="AA60" i="1"/>
  <c r="AA308" i="1"/>
  <c r="AA300" i="1"/>
  <c r="AA292" i="1"/>
  <c r="AA284" i="1"/>
  <c r="AA276" i="1"/>
  <c r="AA268" i="1"/>
  <c r="AA260" i="1"/>
  <c r="AA252" i="1"/>
  <c r="AA244" i="1"/>
  <c r="AA236" i="1"/>
  <c r="AA228" i="1"/>
  <c r="AA220" i="1"/>
  <c r="AA218" i="1"/>
  <c r="AA209" i="1"/>
  <c r="AA196" i="1"/>
  <c r="AA188" i="1"/>
  <c r="AA180" i="1"/>
  <c r="AA172" i="1"/>
  <c r="AA164" i="1"/>
  <c r="AA156" i="1"/>
  <c r="AA148" i="1"/>
  <c r="AA140" i="1"/>
  <c r="AA132" i="1"/>
  <c r="AA124" i="1"/>
  <c r="AA116" i="1"/>
  <c r="AA108" i="1"/>
  <c r="AA100" i="1"/>
  <c r="AA92" i="1"/>
  <c r="AA84" i="1"/>
  <c r="AA76" i="1"/>
  <c r="AA20" i="1"/>
  <c r="AA44" i="1"/>
  <c r="AA4" i="1"/>
  <c r="AA28" i="1"/>
  <c r="AA52" i="1"/>
  <c r="AA36" i="1"/>
  <c r="AA12" i="1"/>
  <c r="AA56" i="1"/>
  <c r="AA80" i="1"/>
  <c r="AA72" i="1"/>
  <c r="AA68" i="1"/>
  <c r="AA34" i="1"/>
  <c r="AA26" i="1"/>
  <c r="AA64" i="1"/>
  <c r="AA19" i="1"/>
  <c r="AA11" i="1"/>
  <c r="Z46" i="1"/>
  <c r="Z14" i="1"/>
  <c r="AA45" i="1"/>
  <c r="AA13" i="1"/>
  <c r="Z30" i="1"/>
  <c r="AA37" i="1"/>
  <c r="AA21" i="1"/>
  <c r="AA53" i="1"/>
  <c r="AA29" i="1"/>
  <c r="AA5" i="1"/>
  <c r="Z50" i="1"/>
  <c r="Z42" i="1"/>
  <c r="Z34" i="1"/>
  <c r="Z26" i="1"/>
  <c r="Z18" i="1"/>
  <c r="Z10" i="1"/>
  <c r="AA18" i="1"/>
  <c r="AA311" i="1"/>
  <c r="AA303" i="1"/>
  <c r="Z295" i="1"/>
  <c r="Z287" i="1"/>
  <c r="Z263" i="1"/>
  <c r="Z255" i="1"/>
  <c r="AA247" i="1"/>
  <c r="AA239" i="1"/>
  <c r="Z231" i="1"/>
  <c r="Z223" i="1"/>
  <c r="AA200" i="1"/>
  <c r="AA191" i="1"/>
  <c r="AA183" i="1"/>
  <c r="AA175" i="1"/>
  <c r="Z167" i="1"/>
  <c r="Z159" i="1"/>
  <c r="AA135" i="1"/>
  <c r="AA127" i="1"/>
  <c r="AA119" i="1"/>
  <c r="AA111" i="1"/>
  <c r="Z103" i="1"/>
  <c r="Z95" i="1"/>
  <c r="AA71" i="1"/>
  <c r="AA63" i="1"/>
  <c r="Z40" i="1"/>
  <c r="Z8" i="1"/>
  <c r="AA42" i="1"/>
  <c r="AA10" i="1"/>
  <c r="Z38" i="1"/>
  <c r="AA304" i="1"/>
  <c r="AA296" i="1"/>
  <c r="AA288" i="1"/>
  <c r="AA280" i="1"/>
  <c r="AA272" i="1"/>
  <c r="AA264" i="1"/>
  <c r="AA256" i="1"/>
  <c r="AA248" i="1"/>
  <c r="AA240" i="1"/>
  <c r="AA232" i="1"/>
  <c r="AA224" i="1"/>
  <c r="AA208" i="1"/>
  <c r="AA213" i="1"/>
  <c r="AA203" i="1"/>
  <c r="AA192" i="1"/>
  <c r="AA184" i="1"/>
  <c r="AA176" i="1"/>
  <c r="AA168" i="1"/>
  <c r="AA160" i="1"/>
  <c r="AA152" i="1"/>
  <c r="AA144" i="1"/>
  <c r="AA136" i="1"/>
  <c r="AA128" i="1"/>
  <c r="AA120" i="1"/>
  <c r="AA112" i="1"/>
  <c r="AA104" i="1"/>
  <c r="AA96" i="1"/>
  <c r="AA88" i="1"/>
  <c r="Z230" i="1"/>
  <c r="Z135" i="1"/>
  <c r="Z311" i="1"/>
  <c r="AA279" i="1"/>
  <c r="Z247" i="1"/>
  <c r="AA223" i="1"/>
  <c r="AA211" i="1"/>
  <c r="Z175" i="1"/>
  <c r="AA159" i="1"/>
  <c r="AA151" i="1"/>
  <c r="AA143" i="1"/>
  <c r="Z119" i="1"/>
  <c r="Z111" i="1"/>
  <c r="AA103" i="1"/>
  <c r="AA95" i="1"/>
  <c r="AA87" i="1"/>
  <c r="Z71" i="1"/>
  <c r="Z134" i="1"/>
  <c r="AA263" i="1"/>
  <c r="Z3" i="1"/>
  <c r="Z6" i="1"/>
  <c r="Z294" i="1"/>
  <c r="Z200" i="1"/>
  <c r="Z127" i="1"/>
  <c r="AA255" i="1"/>
  <c r="AA295" i="1"/>
  <c r="AA271" i="1"/>
  <c r="AA231" i="1"/>
  <c r="AA79" i="1"/>
  <c r="Z199" i="1"/>
  <c r="Z303" i="1"/>
  <c r="AA287" i="1"/>
  <c r="Z239" i="1"/>
  <c r="AA198" i="1"/>
  <c r="Z183" i="1"/>
  <c r="AA167" i="1"/>
  <c r="Z49" i="1"/>
  <c r="Z41" i="1"/>
  <c r="Z33" i="1"/>
  <c r="Z25" i="1"/>
  <c r="Z17" i="1"/>
  <c r="Z9" i="1"/>
  <c r="AA50" i="1"/>
  <c r="AA67" i="1"/>
  <c r="Z191" i="1"/>
  <c r="Z102" i="1"/>
  <c r="Z32" i="1"/>
  <c r="Z16" i="1"/>
  <c r="Z262" i="1"/>
  <c r="Z48" i="1"/>
  <c r="Z24" i="1"/>
  <c r="Z166" i="1"/>
  <c r="Z63" i="1"/>
  <c r="Z55" i="1"/>
  <c r="Z23" i="1"/>
  <c r="Z54" i="1"/>
  <c r="Z22" i="1"/>
  <c r="Z286" i="1"/>
  <c r="Z254" i="1"/>
  <c r="Z222" i="1"/>
  <c r="Z190" i="1"/>
  <c r="Z158" i="1"/>
  <c r="Z126" i="1"/>
  <c r="Z87" i="1"/>
  <c r="AA94" i="1"/>
  <c r="Z94" i="1"/>
  <c r="AA86" i="1"/>
  <c r="Z86" i="1"/>
  <c r="Z279" i="1"/>
  <c r="Z198" i="1"/>
  <c r="Z151" i="1"/>
  <c r="Z79" i="1"/>
  <c r="Z47" i="1"/>
  <c r="AA61" i="1"/>
  <c r="Z61" i="1"/>
  <c r="AA301" i="1"/>
  <c r="Z301" i="1"/>
  <c r="AA285" i="1"/>
  <c r="Z285" i="1"/>
  <c r="AA269" i="1"/>
  <c r="Z269" i="1"/>
  <c r="AA253" i="1"/>
  <c r="Z253" i="1"/>
  <c r="AA237" i="1"/>
  <c r="Z237" i="1"/>
  <c r="AA221" i="1"/>
  <c r="Z221" i="1"/>
  <c r="AA197" i="1"/>
  <c r="Z197" i="1"/>
  <c r="AA181" i="1"/>
  <c r="Z181" i="1"/>
  <c r="AA165" i="1"/>
  <c r="Z165" i="1"/>
  <c r="AA149" i="1"/>
  <c r="Z149" i="1"/>
  <c r="AA133" i="1"/>
  <c r="Z133" i="1"/>
  <c r="AA117" i="1"/>
  <c r="Z117" i="1"/>
  <c r="AA109" i="1"/>
  <c r="Z109" i="1"/>
  <c r="AA93" i="1"/>
  <c r="Z93" i="1"/>
  <c r="AA77" i="1"/>
  <c r="Z77" i="1"/>
  <c r="Z310" i="1"/>
  <c r="Z278" i="1"/>
  <c r="Z246" i="1"/>
  <c r="Z202" i="1"/>
  <c r="Z182" i="1"/>
  <c r="Z150" i="1"/>
  <c r="Z118" i="1"/>
  <c r="Z78" i="1"/>
  <c r="Z15" i="1"/>
  <c r="Z62" i="1"/>
  <c r="AA62" i="1"/>
  <c r="AA309" i="1"/>
  <c r="Z309" i="1"/>
  <c r="AA293" i="1"/>
  <c r="Z293" i="1"/>
  <c r="AA277" i="1"/>
  <c r="Z277" i="1"/>
  <c r="AA261" i="1"/>
  <c r="Z261" i="1"/>
  <c r="AA245" i="1"/>
  <c r="Z245" i="1"/>
  <c r="AA229" i="1"/>
  <c r="Z229" i="1"/>
  <c r="AA214" i="1"/>
  <c r="Z214" i="1"/>
  <c r="AA210" i="1"/>
  <c r="Z210" i="1"/>
  <c r="AA189" i="1"/>
  <c r="Z189" i="1"/>
  <c r="AA173" i="1"/>
  <c r="Z173" i="1"/>
  <c r="AA157" i="1"/>
  <c r="Z157" i="1"/>
  <c r="AA141" i="1"/>
  <c r="Z141" i="1"/>
  <c r="AA125" i="1"/>
  <c r="Z125" i="1"/>
  <c r="AA101" i="1"/>
  <c r="Z101" i="1"/>
  <c r="AA85" i="1"/>
  <c r="Z85" i="1"/>
  <c r="AA69" i="1"/>
  <c r="Z69" i="1"/>
  <c r="Z51" i="1"/>
  <c r="Z43" i="1"/>
  <c r="Z35" i="1"/>
  <c r="Z27" i="1"/>
  <c r="Z19" i="1"/>
  <c r="Z11" i="1"/>
  <c r="Z39" i="1"/>
  <c r="Z7" i="1"/>
  <c r="Z271" i="1"/>
  <c r="Z211" i="1"/>
  <c r="Z143" i="1"/>
  <c r="Z302" i="1"/>
  <c r="Z270" i="1"/>
  <c r="Z238" i="1"/>
  <c r="Z212" i="1"/>
  <c r="Z174" i="1"/>
  <c r="Z142" i="1"/>
  <c r="Z110" i="1"/>
  <c r="Z70" i="1"/>
  <c r="Z31" i="1"/>
  <c r="Z53" i="1"/>
  <c r="Z45" i="1"/>
  <c r="Z37" i="1"/>
  <c r="Z29" i="1"/>
  <c r="Z21" i="1"/>
  <c r="Z13" i="1"/>
  <c r="Z5" i="1"/>
  <c r="AA49" i="1"/>
  <c r="AA41" i="1"/>
  <c r="AA33" i="1"/>
  <c r="AA25" i="1"/>
  <c r="AA17" i="1"/>
  <c r="AA9" i="1"/>
  <c r="Z52" i="1"/>
  <c r="Z44" i="1"/>
  <c r="Z36" i="1"/>
  <c r="Z28" i="1"/>
  <c r="Z20" i="1"/>
  <c r="Z12" i="1"/>
  <c r="Z4" i="1"/>
  <c r="AA48" i="1"/>
  <c r="AA40" i="1"/>
  <c r="AA32" i="1"/>
  <c r="AA24" i="1"/>
  <c r="AA16" i="1"/>
  <c r="AA8" i="1"/>
  <c r="Z308" i="1"/>
  <c r="Z300" i="1"/>
  <c r="Z292" i="1"/>
  <c r="Z284" i="1"/>
  <c r="Z276" i="1"/>
  <c r="Z268" i="1"/>
  <c r="Z260" i="1"/>
  <c r="Z252" i="1"/>
  <c r="Z244" i="1"/>
  <c r="Z236" i="1"/>
  <c r="Z228" i="1"/>
  <c r="Z220" i="1"/>
  <c r="Z218" i="1"/>
  <c r="Z209" i="1"/>
  <c r="Z196" i="1"/>
  <c r="Z188" i="1"/>
  <c r="Z180" i="1"/>
  <c r="Z172" i="1"/>
  <c r="Z164" i="1"/>
  <c r="Z156" i="1"/>
  <c r="Z148" i="1"/>
  <c r="Z140" i="1"/>
  <c r="Z132" i="1"/>
  <c r="Z124" i="1"/>
  <c r="Z116" i="1"/>
  <c r="Z108" i="1"/>
  <c r="Z100" i="1"/>
  <c r="Z92" i="1"/>
  <c r="Z84" i="1"/>
  <c r="Z76" i="1"/>
  <c r="Z68" i="1"/>
  <c r="Z60" i="1"/>
  <c r="Z307" i="1"/>
  <c r="Z299" i="1"/>
  <c r="Z291" i="1"/>
  <c r="Z283" i="1"/>
  <c r="Z275" i="1"/>
  <c r="Z267" i="1"/>
  <c r="Z259" i="1"/>
  <c r="Z251" i="1"/>
  <c r="Z243" i="1"/>
  <c r="Z235" i="1"/>
  <c r="Z227" i="1"/>
  <c r="Z219" i="1"/>
  <c r="Z217" i="1"/>
  <c r="Z207" i="1"/>
  <c r="Z195" i="1"/>
  <c r="Z187" i="1"/>
  <c r="Z179" i="1"/>
  <c r="Z171" i="1"/>
  <c r="Z163" i="1"/>
  <c r="Z155" i="1"/>
  <c r="Z147" i="1"/>
  <c r="Z139" i="1"/>
  <c r="Z131" i="1"/>
  <c r="Z123" i="1"/>
  <c r="Z115" i="1"/>
  <c r="Z107" i="1"/>
  <c r="Z99" i="1"/>
  <c r="Z91" i="1"/>
  <c r="Z83" i="1"/>
  <c r="Z75" i="1"/>
  <c r="Z67" i="1"/>
  <c r="Z59" i="1"/>
  <c r="Z306" i="1"/>
  <c r="Z298" i="1"/>
  <c r="Z290" i="1"/>
  <c r="Z282" i="1"/>
  <c r="Z274" i="1"/>
  <c r="Z266" i="1"/>
  <c r="Z258" i="1"/>
  <c r="Z250" i="1"/>
  <c r="Z242" i="1"/>
  <c r="Z234" i="1"/>
  <c r="Z226" i="1"/>
  <c r="Z201" i="1"/>
  <c r="Z216" i="1"/>
  <c r="Z206" i="1"/>
  <c r="Z194" i="1"/>
  <c r="Z186" i="1"/>
  <c r="Z178" i="1"/>
  <c r="Z170" i="1"/>
  <c r="Z162" i="1"/>
  <c r="Z154" i="1"/>
  <c r="Z146" i="1"/>
  <c r="Z138" i="1"/>
  <c r="Z130" i="1"/>
  <c r="Z122" i="1"/>
  <c r="Z114" i="1"/>
  <c r="Z106" i="1"/>
  <c r="Z98" i="1"/>
  <c r="Z90" i="1"/>
  <c r="Z82" i="1"/>
  <c r="Z74" i="1"/>
  <c r="Z66" i="1"/>
  <c r="Z58" i="1"/>
  <c r="Z305" i="1"/>
  <c r="Z297" i="1"/>
  <c r="Z289" i="1"/>
  <c r="Z281" i="1"/>
  <c r="Z273" i="1"/>
  <c r="Z265" i="1"/>
  <c r="Z257" i="1"/>
  <c r="Z249" i="1"/>
  <c r="Z241" i="1"/>
  <c r="Z233" i="1"/>
  <c r="Z225" i="1"/>
  <c r="Z205" i="1"/>
  <c r="Z215" i="1"/>
  <c r="Z204" i="1"/>
  <c r="Z193" i="1"/>
  <c r="Z185" i="1"/>
  <c r="Z177" i="1"/>
  <c r="Z169" i="1"/>
  <c r="Z161" i="1"/>
  <c r="Z153" i="1"/>
  <c r="Z145" i="1"/>
  <c r="Z137" i="1"/>
  <c r="Z129" i="1"/>
  <c r="Z121" i="1"/>
  <c r="Z113" i="1"/>
  <c r="Z105" i="1"/>
  <c r="Z97" i="1"/>
  <c r="Z89" i="1"/>
  <c r="Z81" i="1"/>
  <c r="Z73" i="1"/>
  <c r="Z65" i="1"/>
  <c r="Z57" i="1"/>
  <c r="AA3" i="1"/>
  <c r="Z304" i="1"/>
  <c r="Z296" i="1"/>
  <c r="Z288" i="1"/>
  <c r="Z280" i="1"/>
  <c r="Z272" i="1"/>
  <c r="Z264" i="1"/>
  <c r="Z256" i="1"/>
  <c r="Z248" i="1"/>
  <c r="Z240" i="1"/>
  <c r="Z232" i="1"/>
  <c r="Z224" i="1"/>
  <c r="Z208" i="1"/>
  <c r="Z213" i="1"/>
  <c r="Z203" i="1"/>
  <c r="Z192" i="1"/>
  <c r="Z184" i="1"/>
  <c r="Z176" i="1"/>
  <c r="Z168" i="1"/>
  <c r="Z160" i="1"/>
  <c r="Z152" i="1"/>
  <c r="Z144" i="1"/>
  <c r="Z136" i="1"/>
  <c r="Z128" i="1"/>
  <c r="Z120" i="1"/>
  <c r="Z112" i="1"/>
  <c r="Z104" i="1"/>
  <c r="Z96" i="1"/>
  <c r="Z88" i="1"/>
  <c r="Z80" i="1"/>
  <c r="Z72" i="1"/>
  <c r="Z64" i="1"/>
  <c r="Z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Gerência de Matrícula e Censo Escolar</author>
  </authors>
  <commentList>
    <comment ref="H171" authorId="0" shapeId="0" xr:uid="{29DBB352-2F91-46EA-BF57-CB5BFB583433}">
      <text/>
    </comment>
  </commentList>
</comments>
</file>

<file path=xl/sharedStrings.xml><?xml version="1.0" encoding="utf-8"?>
<sst xmlns="http://schemas.openxmlformats.org/spreadsheetml/2006/main" count="2641" uniqueCount="1771">
  <si>
    <t>CRE</t>
  </si>
  <si>
    <t>DENOMINAÇÃO SGA</t>
  </si>
  <si>
    <t>CRECHE PARCEIRA</t>
  </si>
  <si>
    <t>MANTENEDORA</t>
  </si>
  <si>
    <t xml:space="preserve">ENDEREÇO </t>
  </si>
  <si>
    <t>BAIRRO</t>
  </si>
  <si>
    <t>META</t>
  </si>
  <si>
    <t>FAIXA ETÁRIA</t>
  </si>
  <si>
    <t>BI</t>
  </si>
  <si>
    <t>B II</t>
  </si>
  <si>
    <t>M I</t>
  </si>
  <si>
    <t>M II</t>
  </si>
  <si>
    <t>TOTAL ALUNOS</t>
  </si>
  <si>
    <t>TOTAL INCLUÍDOS</t>
  </si>
  <si>
    <t>REDUÇÃO DE VAGAS POR INCLUÍDOS EM BERÇÁRIO</t>
  </si>
  <si>
    <t>REDUÇÃO DE VAGAS POR INCLUÍDOS EM MATERNAL</t>
  </si>
  <si>
    <t>VAGAS</t>
  </si>
  <si>
    <t>EXCENDENTES</t>
  </si>
  <si>
    <t>OBS</t>
  </si>
  <si>
    <t>CHAMAMENTO</t>
  </si>
  <si>
    <t>Nº</t>
  </si>
  <si>
    <t>Denominação SGA</t>
  </si>
  <si>
    <t>Creche Parceira</t>
  </si>
  <si>
    <t>Mantenedora</t>
  </si>
  <si>
    <t>Endereço</t>
  </si>
  <si>
    <t>Bairro</t>
  </si>
  <si>
    <t>Meta</t>
  </si>
  <si>
    <t>Faixa Etária</t>
  </si>
  <si>
    <r>
      <t xml:space="preserve">Alunos </t>
    </r>
    <r>
      <rPr>
        <b/>
        <sz val="11"/>
        <color theme="4" tint="-0.249977111117893"/>
        <rFont val="Calibri"/>
        <family val="2"/>
        <scheme val="minor"/>
      </rPr>
      <t>BI</t>
    </r>
  </si>
  <si>
    <r>
      <t xml:space="preserve">Incluídos </t>
    </r>
    <r>
      <rPr>
        <b/>
        <sz val="11"/>
        <color theme="4" tint="-0.249977111117893"/>
        <rFont val="Calibri"/>
        <family val="2"/>
        <scheme val="minor"/>
      </rPr>
      <t>BI</t>
    </r>
  </si>
  <si>
    <r>
      <t>Alunos</t>
    </r>
    <r>
      <rPr>
        <b/>
        <sz val="11"/>
        <color theme="4" tint="-0.249977111117893"/>
        <rFont val="Calibri"/>
        <family val="2"/>
        <scheme val="minor"/>
      </rPr>
      <t xml:space="preserve"> BII</t>
    </r>
  </si>
  <si>
    <r>
      <t>Incluídos</t>
    </r>
    <r>
      <rPr>
        <b/>
        <sz val="11"/>
        <color theme="4" tint="-0.249977111117893"/>
        <rFont val="Calibri"/>
        <family val="2"/>
        <scheme val="minor"/>
      </rPr>
      <t xml:space="preserve"> BII</t>
    </r>
  </si>
  <si>
    <r>
      <t xml:space="preserve">Alunos </t>
    </r>
    <r>
      <rPr>
        <b/>
        <sz val="11"/>
        <color theme="4" tint="-0.249977111117893"/>
        <rFont val="Calibri"/>
        <family val="2"/>
        <scheme val="minor"/>
      </rPr>
      <t>MI</t>
    </r>
  </si>
  <si>
    <r>
      <t>Incluídos</t>
    </r>
    <r>
      <rPr>
        <b/>
        <sz val="11"/>
        <color theme="4" tint="-0.249977111117893"/>
        <rFont val="Calibri"/>
        <family val="2"/>
        <scheme val="minor"/>
      </rPr>
      <t xml:space="preserve"> MI</t>
    </r>
  </si>
  <si>
    <r>
      <t>Alunos</t>
    </r>
    <r>
      <rPr>
        <b/>
        <sz val="11"/>
        <color theme="4" tint="-0.249977111117893"/>
        <rFont val="Calibri"/>
        <family val="2"/>
        <scheme val="minor"/>
      </rPr>
      <t xml:space="preserve"> MII</t>
    </r>
  </si>
  <si>
    <r>
      <t xml:space="preserve">Incluídos </t>
    </r>
    <r>
      <rPr>
        <b/>
        <sz val="11"/>
        <color theme="4" tint="-0.249977111117893"/>
        <rFont val="Calibri"/>
        <family val="2"/>
        <scheme val="minor"/>
      </rPr>
      <t>MII</t>
    </r>
  </si>
  <si>
    <t>Total Alunos</t>
  </si>
  <si>
    <t>Total Incluídos</t>
  </si>
  <si>
    <t>Redução por incluídos no Berçário</t>
  </si>
  <si>
    <t>Redução por incluídos no Maternal</t>
  </si>
  <si>
    <t>Vagas</t>
  </si>
  <si>
    <t>Excedentes</t>
  </si>
  <si>
    <t>Obs</t>
  </si>
  <si>
    <t>Chamamento</t>
  </si>
  <si>
    <t>CP CASA MATERNAL CORAÇÃO DE MÃE</t>
  </si>
  <si>
    <t>CP CRECHE CANTINHO FELIZ DE SANTA TERESA</t>
  </si>
  <si>
    <t>CP CRECHE DO TUIUTI</t>
  </si>
  <si>
    <t>CP EDUCANDÁRIO NOSSA SENHORA DE NAZARÉ</t>
  </si>
  <si>
    <t>1º chamamento</t>
  </si>
  <si>
    <t>3º chamamento</t>
  </si>
  <si>
    <t>CP CRECHE COMUNITÁRIA ANITA WAY</t>
  </si>
  <si>
    <t>CRECHE COMUNITÁRIA ANITA WAY</t>
  </si>
  <si>
    <t>4º chamamento - 1º momento</t>
  </si>
  <si>
    <t>CENTRO CULTURAL MONTESSORI</t>
  </si>
  <si>
    <t>4º chamamento - 2º momento</t>
  </si>
  <si>
    <t>2º chamamento</t>
  </si>
  <si>
    <t>CENTRO CULTURAL EVOLUIR</t>
  </si>
  <si>
    <t>CRECHE FRUTOS DO AMANHÃ I</t>
  </si>
  <si>
    <t>CRECHE FRUTOS DO AMANHÃ II</t>
  </si>
  <si>
    <t>CP CENTRO CULTURAL EDUCAR - UNIDADE III</t>
  </si>
  <si>
    <t>CP CRECHE VALE DO SOL NO GROTÃO</t>
  </si>
  <si>
    <t>3º Chamamento</t>
  </si>
  <si>
    <t>CENTRO CULTURAL PEDACINHO DO CÉU</t>
  </si>
  <si>
    <t xml:space="preserve">CENTRO CULTURAL PEDACINHO DO CÉU </t>
  </si>
  <si>
    <t>ASSOCIAÇÃO COMUNITÁRIA EDUCACIONAL FLORESCER</t>
  </si>
  <si>
    <t>CRECHE HOUSE BABY - BONSUCESSO</t>
  </si>
  <si>
    <t>ASSOCIAÇÃO HOUSE BABY</t>
  </si>
  <si>
    <t>CRECHE CRIANÇA FELIZ EM LUCAS</t>
  </si>
  <si>
    <t>CENTRO EDUCACIONAL VALE DO SOL</t>
  </si>
  <si>
    <t>CRECHE TIA NANE III</t>
  </si>
  <si>
    <t>CENTRO CULTURAL TIA NANE</t>
  </si>
  <si>
    <t>CRECHE VALE DO SOL III</t>
  </si>
  <si>
    <t>INSTITUTO DE EDUCAÇÃO EUCLIDES DOS SANTOS II</t>
  </si>
  <si>
    <t xml:space="preserve">INSTITUTO DE EDUCAÇÃO EUCLIDES DOS SANTOS </t>
  </si>
  <si>
    <t>4º chamamento - 2º momento (antiga REBRAL VII - meta 135)</t>
  </si>
  <si>
    <t>ASSOCIAÇÃO CRECHE ESPERANÇA</t>
  </si>
  <si>
    <t>CENTRO EDUCACIONAL SOMAR</t>
  </si>
  <si>
    <t>CENTRO EDUCACIONAL PROMESSA DE DEUS</t>
  </si>
  <si>
    <t>AEMMAC</t>
  </si>
  <si>
    <t>ASSOCIAÇÃO EDUCACIONAL MARIA M DE APOIO A CIDADANIA</t>
  </si>
  <si>
    <t>ASSOCIAÇÃO EDUCACIONAL E CULTURAL SÃO BERNARDO - CSB</t>
  </si>
  <si>
    <t>AEMMAC - PAVUNA</t>
  </si>
  <si>
    <t>CP CRECHE SOCIAL ESTRELINHA</t>
  </si>
  <si>
    <t>EDUQUE VAL</t>
  </si>
  <si>
    <t>Possui 2 Termos de Colaboração - 1º chamamento 2022 (meta 73) - Antiga Eduque e 4º Chamamento 2022 (meta 78). Total da meta: 151</t>
  </si>
  <si>
    <t>INSTITUTO EDUCACIONAL DIVA ALVES</t>
  </si>
  <si>
    <t>CRECHE MUNDO MÁGICO I</t>
  </si>
  <si>
    <t>SOCIEDADE DOS REUNIDOS PELO BEM ESTAR SOCIAL</t>
  </si>
  <si>
    <t>EDUQUE VAG</t>
  </si>
  <si>
    <t xml:space="preserve">INSTITUTO MARIANO EDUQUE </t>
  </si>
  <si>
    <t>EDUQUE COL</t>
  </si>
  <si>
    <t>CEPREMM TAQ</t>
  </si>
  <si>
    <t xml:space="preserve">CRECHE E PRÉ ESCOLA MARIA MANUELA </t>
  </si>
  <si>
    <t>CEPREMM BAR</t>
  </si>
  <si>
    <t>CRECHE E PRÉ ESCOLA MARIA MANUELA</t>
  </si>
  <si>
    <t>CEPREMM FGS</t>
  </si>
  <si>
    <t>CRECHE COMUNITÁRIA IRMÃ MARIA DE LOURDES</t>
  </si>
  <si>
    <t>CENTRO COMUNITÁRIO IRMÃOS KENNEDY</t>
  </si>
  <si>
    <t>CEM - ESCOLA MACHADO - UNIDADE I</t>
  </si>
  <si>
    <t>ASSOCIAÇÃO RECREATIVA MUNIZ BARRETO</t>
  </si>
  <si>
    <t>ESPAÇO DE DESENVOLVIMENTO CARIOQUINHA</t>
  </si>
  <si>
    <t>ASSOC.DE MORADORES UNIÃO DAS BASES DE URUCÂNIA E ADJACÊNCIAS- POCINHOS</t>
  </si>
  <si>
    <t>INSTITUTO CRESCER &amp; APRENDER</t>
  </si>
  <si>
    <t>ESPAÇO CRIATIVO CASTELINHO RINALDI</t>
  </si>
  <si>
    <t>ESPAÇO CRIATIVO SALOMÃO</t>
  </si>
  <si>
    <t>CRECHE COMUNITÁRIA DOCE INFÂNCIA</t>
  </si>
  <si>
    <t>NINHO CARIOCA</t>
  </si>
  <si>
    <t>ASSOCIAÇÃO ESPAÇO NINHO CARIOCA</t>
  </si>
  <si>
    <t>CHECHE COMUNITÁRIA PEDACINHO DE CÉU</t>
  </si>
  <si>
    <t>CRECHE COMUNITÁRIA PEDACINHO DE CÉU</t>
  </si>
  <si>
    <t>ESPAÇO DE DESENVOLVIMENTO INFANTIL MÃE GAIA - UNIDADE I</t>
  </si>
  <si>
    <t>ESPAÇO DE DESENVOLVIMENTO INFANTIL MÃE GAIA</t>
  </si>
  <si>
    <t xml:space="preserve">CRECHE COMUNITÁRIA CANTINHO DO SABER </t>
  </si>
  <si>
    <t>INSTITUIÇÃO ASSOCIAÇÃO CIVIL CRECHE COMUNITÁRIA CRIANÇA FELIZ</t>
  </si>
  <si>
    <t>CP AMIG - ASSOCIAÇÃO DOS MORADORES DA ILHA DO GOVERNADOR</t>
  </si>
  <si>
    <t>CP CENTRO DE ATIVIDADES EDUCACIONAIS E CULTURAIS ARCA DE NOÉ - CAECAN</t>
  </si>
  <si>
    <t>CP CRECHE CASULO DO DENDÊ</t>
  </si>
  <si>
    <t>CP CRECHE COMUNITÁRIA ALEGRIA DA CRIANÇA</t>
  </si>
  <si>
    <t>CP CRECHE ESFERA KIDS</t>
  </si>
  <si>
    <t>CP FILIAL BANCÁRIOS - RJ</t>
  </si>
  <si>
    <t>INEP</t>
  </si>
  <si>
    <t>Aguardando</t>
  </si>
  <si>
    <t> 33191972</t>
  </si>
  <si>
    <t>33193088 </t>
  </si>
  <si>
    <t> 33158878</t>
  </si>
  <si>
    <t>33190046 </t>
  </si>
  <si>
    <t> 33192189</t>
  </si>
  <si>
    <t>33192952 </t>
  </si>
  <si>
    <t> 33192740</t>
  </si>
  <si>
    <t> 33143420 </t>
  </si>
  <si>
    <t> 33192774</t>
  </si>
  <si>
    <t>33192782 </t>
  </si>
  <si>
    <t> 33192804</t>
  </si>
  <si>
    <t> 33192790</t>
  </si>
  <si>
    <t>33193045 </t>
  </si>
  <si>
    <t>ASSOC.DE MORADORES UNIÃO DAS BASES DE URUCÂNIA E ADJACÊNCIAS - COSMOS</t>
  </si>
  <si>
    <t>ASSOC.DE MORADORES UNIÃO DAS BASES DE URUCÂNIA E ADJACÊNCIAS - CAMPO GRANDE</t>
  </si>
  <si>
    <t>GRUPO COMUNITÁRIO CRECHE BERÇÁRIO NOVA JERUSALÉM</t>
  </si>
  <si>
    <t>CNPJ</t>
  </si>
  <si>
    <t>CP CENTRO CULTURAL MONTESSORI - SÃO CRISTÓVÃO</t>
  </si>
  <si>
    <t>CP ABRIGO TERESA DE JESUS</t>
  </si>
  <si>
    <t>CP AÇÃO SOCIAL PADRE ANCHIETA - ASPA</t>
  </si>
  <si>
    <t>CP CASA DA CRIANÇA</t>
  </si>
  <si>
    <t>CP CASA ESPÍRITA CRISTÃ MARIA DE NAZARÉ</t>
  </si>
  <si>
    <t>CP CASA MATERNAL MELLO MATTOS</t>
  </si>
  <si>
    <t>CP CENTRO COMUNITÁRIO ALEGRIA DAS CRIANÇAS</t>
  </si>
  <si>
    <t>CP CENTRO COMUNITÁRIO DA RUA UM UNIÃO FAZ A FORÇA</t>
  </si>
  <si>
    <t>CP CENTRO DE EDUCAÇÃO INFANTIL CRISTO REDENTOR</t>
  </si>
  <si>
    <t>CP CENTRO EDUCACIONAL ESPERANÇA</t>
  </si>
  <si>
    <t>CP CENTRO SOCIAL DA MULHER UÊGA</t>
  </si>
  <si>
    <t>CP CENTRO SOCIAL E AÍ COMO É QUE FICA ?</t>
  </si>
  <si>
    <t>CP CRECHE BERÇÁRIO MARIA HELENA DA ROCINHA</t>
  </si>
  <si>
    <t>CP CRECHE BEZERRA DE MENEZES - BOTAFOGO</t>
  </si>
  <si>
    <t>CP CRECHE CASA DO POBRE DE NOSSA SENHORA DE COPACABANA</t>
  </si>
  <si>
    <t>CP CRECHE CASA SANTA MARTA</t>
  </si>
  <si>
    <t>CP CRECHE CHAPEUZINHO MARROM</t>
  </si>
  <si>
    <t>CP CRECHE COMUNITÁRIA CANTINHO DA NATUREZA</t>
  </si>
  <si>
    <t>CP CRECHE ESCADINHA DO SABER</t>
  </si>
  <si>
    <t>CP CRECHE ESCOLA MENINOS DE LUZ</t>
  </si>
  <si>
    <t>CP CRECHE ESPAÇO SEMENTE</t>
  </si>
  <si>
    <t>CP CRECHE ESPERANÇA</t>
  </si>
  <si>
    <t>CP CRECHE MARIA MARIA</t>
  </si>
  <si>
    <t>CP CRECHE MONSENHOR FRANCA</t>
  </si>
  <si>
    <t>CP CRECHE PATINHO FELIZ</t>
  </si>
  <si>
    <t>CP CRECHE E PRÉ-ESCOLA COMUNITÁRIA DO 199 PINGO DE GENTE</t>
  </si>
  <si>
    <t>CP CRECHE PRÉ-ESCOLA COMUNITÁRIA DOIS IRMÃOS</t>
  </si>
  <si>
    <t>CP CRECHE SANT ANNA</t>
  </si>
  <si>
    <t>CP CRECHE SANTA CLARA</t>
  </si>
  <si>
    <t>CP CRECHE SANTA CLARA DE ASSIS NA PROVIDÊNCIA DE DEUS</t>
  </si>
  <si>
    <t>CP CRECHE SANTA MÔNICA</t>
  </si>
  <si>
    <t>CP CRECHE SÃO COSME E SÃO DAMIÃO</t>
  </si>
  <si>
    <t>CP CREI - CENTRO DE RECUPERAÇÃO INFANTIL</t>
  </si>
  <si>
    <t>CP CRUZADA PELA INFÂNCIA DO LEME</t>
  </si>
  <si>
    <t>CP ESPAÇO SANTA TEREZINHA - EST</t>
  </si>
  <si>
    <t>CP EDUCANDÁRIO CASA DE JACIRA</t>
  </si>
  <si>
    <t>CP ESCOLA COMUNITÁRIA DO CANTAGALO</t>
  </si>
  <si>
    <t>CP FUNDAÇÃO CASA SANTA IGNEZ</t>
  </si>
  <si>
    <t>CP GRUPO COMUNITÁRIO CRECHE ESCOLA TIA MAURA</t>
  </si>
  <si>
    <t>CP GRUPO COMUNITÁRIO MORRO DA ALEGRIA</t>
  </si>
  <si>
    <t>CP LAR CANTINHO FELIZ</t>
  </si>
  <si>
    <t>CP OBRA DO BERÇO</t>
  </si>
  <si>
    <t>CP UNIDAS - OBRAS SOCIAIS UNIDAS DE SANTA MARTA</t>
  </si>
  <si>
    <t>CP OBRAS SOCIAIS PADRE ALEIXO</t>
  </si>
  <si>
    <t>CP PATRONATO OPERÁRIO DA GÁVEA</t>
  </si>
  <si>
    <t>CP SOCIEDADE CIVIL DE ASSISTÊNCIA A MENORES - CASA DA DINDA</t>
  </si>
  <si>
    <t>CP UNIÃO DE MULHERES PRO-MELHORAMENTO DA ROUPA SUJA</t>
  </si>
  <si>
    <t>CP ABRIGO MARIA IMACULADA</t>
  </si>
  <si>
    <t>CP ASSOCIAÇÃO PRESBITERIANA CUIDANDO DO AMANHÃ - APCA</t>
  </si>
  <si>
    <t>CP CASA DE LEYLÁ</t>
  </si>
  <si>
    <t>CP CASA SÃO ROQUE</t>
  </si>
  <si>
    <t>CP CENTRO COMUNITÁRIO NOSSA SENHORA APARECIDA - CRECHE</t>
  </si>
  <si>
    <t>CP CENTRO CULTURAL EDUCAR - UNIDADE II</t>
  </si>
  <si>
    <t>CP CENTRO EDUCACIONAL SÃO VICENTE DE PAULO</t>
  </si>
  <si>
    <t>CP CHALÉ SEMENTINHA</t>
  </si>
  <si>
    <t>CP COLÉGIO RUTH SANT ANNA / JARDIM DE INFÂNCIA CIRANDA CIRANDINHA</t>
  </si>
  <si>
    <t>CP CRECHE ALFA MASTER</t>
  </si>
  <si>
    <t>CP CRECHE BRINCANDO COM O JUNINHO</t>
  </si>
  <si>
    <t>CP CRECHE CASA VIVA</t>
  </si>
  <si>
    <t>CP CRECHE CHAMEGUINHO</t>
  </si>
  <si>
    <t>CP CRECHE COMUNITÁRIA ELIANA SATURNINO BRAGA</t>
  </si>
  <si>
    <t>CP CRECHE COMUNITÁRIA JOÃO FERREIRA</t>
  </si>
  <si>
    <t>CP CRECHE COMUNITÁRIA TIA ALICE</t>
  </si>
  <si>
    <t>CP CRECHE DO CENTRO PASTORAL SOCIAL PADRE JUSTINO RUSSOLILLO</t>
  </si>
  <si>
    <t>CP CRECHE JACAREZINHO</t>
  </si>
  <si>
    <t>CP CRECHE ESCOLA COMUNITÁRIA MÃE SOCIAL</t>
  </si>
  <si>
    <t>CP CRECHE MÃE DO DIVINO SALVADOR</t>
  </si>
  <si>
    <t>CP CRECHE MARIETTA NAVARRO GAIO</t>
  </si>
  <si>
    <t>CP CRECHE PLANTANDO O AMANHÃ</t>
  </si>
  <si>
    <t>CP CRECHE RISCO E RABISCO</t>
  </si>
  <si>
    <t>CP CRECHE SÃO PEDRO NOLASCO</t>
  </si>
  <si>
    <t>CP CRECHE TERNURINHA</t>
  </si>
  <si>
    <t>CP CRECHE TIO KITO</t>
  </si>
  <si>
    <t>CP ESCOLA COMUNITÁRIA JARDIM ARCO-ÍRIS - UNIDADE I</t>
  </si>
  <si>
    <t>CP ESTRELINHA DO MAR</t>
  </si>
  <si>
    <t>CP FRATERNIDADE ASSISTENCIAL CRISTÃ</t>
  </si>
  <si>
    <t>CP INSTITUTO AVANTE ELITE DO FUTURO</t>
  </si>
  <si>
    <t>CP INSTITUTO EDUCACIONAL CRESCENDO E APRENDENDO ALGODÃO DOCE</t>
  </si>
  <si>
    <t>CP INSTITUTO EDUCACIONAL T &amp; P CONQUISTA</t>
  </si>
  <si>
    <t>CP LAR DA CRIANÇA JESUS BOM PASTOR</t>
  </si>
  <si>
    <t>CP LAR DE MARIA DOLORES</t>
  </si>
  <si>
    <t>CP NÚCLEO RECREATIVO RAIOZINHO DE SOL</t>
  </si>
  <si>
    <t>CP CENTRO CULTURAL EVOLUIR</t>
  </si>
  <si>
    <t>CP CRECHE FRUTOS DO AMANHÃ I</t>
  </si>
  <si>
    <t>CP CRECHE FRUTOS DO AMANHÃ II</t>
  </si>
  <si>
    <t>CP ASSOCIAÇÃO CENTRO EDUCACIONAL REBRAL I</t>
  </si>
  <si>
    <t>CP ASSOCIAÇÃO CENTRO EDUCACIONAL REBRAL II</t>
  </si>
  <si>
    <t>CP ASSOCIAÇÃO CENTRO EDUCACIONAL REBRAL IV</t>
  </si>
  <si>
    <t>CP ASSOCIAÇÃO CENTRO EDUCACIONAL REBRAL V</t>
  </si>
  <si>
    <t>CP ASSOCIAÇÃO CIVIL CENTRO EDUCACIONAL COMUNITÁRIO ESTAÇÃO DO SABER</t>
  </si>
  <si>
    <t>CP CASA DE JOEL</t>
  </si>
  <si>
    <t>CP CASA DE JOEL II</t>
  </si>
  <si>
    <t>CP CENTRO CULTURAL EDUCAR</t>
  </si>
  <si>
    <t>CP CENTRO EDUCACIONAL APRENDIZ DA MARÉ</t>
  </si>
  <si>
    <t>CP COMUNIDADE INSTITUCIONAL ADULÃO TEMPO FELIZ</t>
  </si>
  <si>
    <t>CP CRECHE CASULO BOM JESUS DA PENHA</t>
  </si>
  <si>
    <t>CP CRECHE COMUNITÁRIA CASULO DO PARQUE PROLETÁRIO DA PENHA</t>
  </si>
  <si>
    <t>CP CRECHE COMUNITÁRIA DE MANGUINHOS</t>
  </si>
  <si>
    <t>CP CRECHE COMUNITÁRIA SAGRADO CORAÇÃO DE MARIA</t>
  </si>
  <si>
    <t>CP CRECHE DO CENTRO COMUNITÁRIO DA VILA PROLETÁRIA DA PENHA</t>
  </si>
  <si>
    <t>CP CRECHE E PRÉ-ESCOLA NOVA JERUSALÉM</t>
  </si>
  <si>
    <t>CP CRECHE E PRÉ-ESCOLA NOVA JERUSALÉM NO CORDOVIL</t>
  </si>
  <si>
    <t>CP CRECHE ESCOLA MIMI I</t>
  </si>
  <si>
    <t>CP CRECHE ESCOLA MIMI II</t>
  </si>
  <si>
    <t>CP CRECHE ESCOLA PATINHO ESTUDIOSO</t>
  </si>
  <si>
    <t>CP CRECHE GIZ COLORIDO</t>
  </si>
  <si>
    <t>CP CRECHE LAR IRMÃO FRANCISCO</t>
  </si>
  <si>
    <t>CP CRECHE SAGRADO CORAÇÃO DE MARIA E SANTO ANTÔNIO</t>
  </si>
  <si>
    <t>CP CRECHE TIA NANE I</t>
  </si>
  <si>
    <t>CP CRECHE TIA NANE II</t>
  </si>
  <si>
    <t>CP CRECHE VALE DO SOL</t>
  </si>
  <si>
    <t>CP CRECHE VALE DO SOL II</t>
  </si>
  <si>
    <t>CP ESPAÇO DE EDUCAÇÃO INFANTIL VILA DO JOÃO</t>
  </si>
  <si>
    <t>CP INSTITUTO DE EDUCAÇÃO EUCLIDES DOS SANTOS</t>
  </si>
  <si>
    <t>CP INSTITUTO EDUCACIONAL LUIZ ANTONIO - IELA</t>
  </si>
  <si>
    <t>CP RECANTO DA CRIANÇA FELIZ</t>
  </si>
  <si>
    <t>CP SOCIEDADE DE ENSINO TEREZA CRISTINA</t>
  </si>
  <si>
    <t>CP SOLZINHO</t>
  </si>
  <si>
    <t>CP ASSOCIAÇÃO CENTRO EDUCACIONAL REBRAL X</t>
  </si>
  <si>
    <t>CP ASSOCIAÇÃO CENTRO EDUCACIONAL REBRAL VIII</t>
  </si>
  <si>
    <t>CP ASSOCIAÇÃO CENTRO EDUCACIONAL REBRAL IX</t>
  </si>
  <si>
    <t>CP CRECHE ESCOLA OTACÍLIO BATISTA</t>
  </si>
  <si>
    <t>CP CENTRO CULTURAL PEDACINHO DO CÉU</t>
  </si>
  <si>
    <t>CP ASSOCIAÇÃO COMUNITÁRIA EDUCACIONAL FLORESCER</t>
  </si>
  <si>
    <t>CP ASSOCIAÇÃO HOUSE BABY - BONSUCESSO</t>
  </si>
  <si>
    <t>CP CRECHE CRIANÇA FELIZ EM LUCAS</t>
  </si>
  <si>
    <t>CP CRECHE TIA NANE III</t>
  </si>
  <si>
    <t>CP CRECHE VALE DO SOL III</t>
  </si>
  <si>
    <t>CP INSTITUTO DE EDUCAÇÃO EUCLIDES DOS SANTOS II</t>
  </si>
  <si>
    <t>CP ASSOCIAÇÃO AMIGOS DA CRIANÇA - CRECHE ROCHA MIRANDA</t>
  </si>
  <si>
    <t>CP ASSOCIAÇÃO CENTRO EDUCACIONAL REBRAL VII</t>
  </si>
  <si>
    <t>CP ASSOCIAÇÃO CRECHE ESPERANÇA - IRAJÁ</t>
  </si>
  <si>
    <t>CP ASSOCIAÇÃO HOUSE BABY - VILA KOSMOS</t>
  </si>
  <si>
    <t>CP CRECHE APÓSTOLO SÃO PEDRO</t>
  </si>
  <si>
    <t>CP CRECHE CARDEAL CÂMARA</t>
  </si>
  <si>
    <t>CP CRECHE CASULO SÃO RAFAEL ARCANJO</t>
  </si>
  <si>
    <t>CP CENTRO COMUNITÁRIO FLOR DO AMANHÃ</t>
  </si>
  <si>
    <t>CP CRECHE EFFATÁ</t>
  </si>
  <si>
    <t>CP CRECHE PINTINHO DOURADO</t>
  </si>
  <si>
    <t>CP ASSOCIAÇÃO CENTRO EDUCACIONAL REBRAL XI</t>
  </si>
  <si>
    <t>CP CENTRO EDUCACIONAL SOMAR</t>
  </si>
  <si>
    <t>CP AEMMAC - ROCHA MIRANDA</t>
  </si>
  <si>
    <t>CP AEMMAC - MARECHAL HERMES</t>
  </si>
  <si>
    <t>CP ASSOCIAÇÃO EDUCACIONAL E CULTURAL SÃO BERNARDO - CSB</t>
  </si>
  <si>
    <t>CP ASSOCIAÇÃO CRESCÊNCIO</t>
  </si>
  <si>
    <t>CP CENTRO COMUNITÁRIO PARQUE UNIDOS DE ACARI</t>
  </si>
  <si>
    <t>CP CENTRO EDUCACIONAL NOSSA SENHORA APARECIDA</t>
  </si>
  <si>
    <t>CP CRECHE ABRINDO PORTAS</t>
  </si>
  <si>
    <t>CP CRECHE COMUNITÁRIA AQUARELA</t>
  </si>
  <si>
    <t>CP CRECHE DON GUANELLA</t>
  </si>
  <si>
    <t>CP CRECHE ESCOLA COMUNITÁRIA TIO PATINHAS</t>
  </si>
  <si>
    <t>CP ESCOLA PATRONATO NOSSA SENHORA DE NAZARÉ</t>
  </si>
  <si>
    <t>CP CRECHE GUADALUPE</t>
  </si>
  <si>
    <t>CP CRECHE NOSSO LAR</t>
  </si>
  <si>
    <t>CP AEMMAC - PAVUNA</t>
  </si>
  <si>
    <t>CP CASA EMILIEN LACAY</t>
  </si>
  <si>
    <t>CP CENTRO INTEGRADO SÃO JOSÉ</t>
  </si>
  <si>
    <t>CP CRECHE CANTINHO FELIZ</t>
  </si>
  <si>
    <t>CP CRECHE CANTINHO FELIZ II</t>
  </si>
  <si>
    <t>CP CRECHE E PRÉ-ESCOLA MARIA MANUELA</t>
  </si>
  <si>
    <t>CP CRECHE ESCOLA MÃE ASTÉRIA</t>
  </si>
  <si>
    <t>CP CRECHE NOVA ESPERANÇA</t>
  </si>
  <si>
    <t>CP CRECHE NOVO PALMARES</t>
  </si>
  <si>
    <t>CP CRECHE RAIMUNDA NONATA DA SILVA</t>
  </si>
  <si>
    <t>CP CRECHE RITA ALEXANDRINA FERREIRA</t>
  </si>
  <si>
    <t>CP CRECHE SANT ANA IRMÃ ANCILA</t>
  </si>
  <si>
    <t>CP CRECHE SÃO PAULO APÓSTOLO</t>
  </si>
  <si>
    <t>CP EDUQUE - VAL</t>
  </si>
  <si>
    <t>CP ESPAÇO DE EDUCAÇÃO INFANTIL CIDADE DE DEUS</t>
  </si>
  <si>
    <t>CP JARDIM ESCOLA CRESCENDO E APRENDENDO</t>
  </si>
  <si>
    <t>CP JARDIM ESCOLA TURMINHA DA ARCA - JETA</t>
  </si>
  <si>
    <t>CP SEMENTE DE AMOR</t>
  </si>
  <si>
    <t>CP INSTITUTO CONSUELO PINHEIRO</t>
  </si>
  <si>
    <t>CP INSTITUTO EDUCACIONAL DIVA ALVES</t>
  </si>
  <si>
    <t>CP CRECHE MUNDO MÁGICO I</t>
  </si>
  <si>
    <t>CP EDUQUE - VAG</t>
  </si>
  <si>
    <t>CP EDUQUE - COL</t>
  </si>
  <si>
    <t>CP CEPREMM - TAQ</t>
  </si>
  <si>
    <t>CP CEPREMM - BAR</t>
  </si>
  <si>
    <t>CP CEPREMM - FGS</t>
  </si>
  <si>
    <t>CP AEMMAC - ANIL</t>
  </si>
  <si>
    <t>CP ASSOCIAÇÃO CENTRO EDUCACIONAL REBRAL III</t>
  </si>
  <si>
    <t>CP ASSOCIAÇÃO CENTRO EDUCACIONAL REBRAL VI</t>
  </si>
  <si>
    <t>CP ASSOCIAÇÃO CRECHE ESPERANÇA - REALENGO</t>
  </si>
  <si>
    <t>CP ASSOCIAÇÃO DE MORADORES DO CONJUNTO PEDRO I E ADJACÊNCIAS</t>
  </si>
  <si>
    <t>CP ASSOCIAÇÃO RECREATIVA PINGUINHO DE GENTE</t>
  </si>
  <si>
    <t>CP CEM CRECHE ESCOLA MACHADO</t>
  </si>
  <si>
    <t>CP CENTRO EDUCACIONAL LUIZA</t>
  </si>
  <si>
    <t>CP CRECHE COMUNITÁRIA ESTRELINHA</t>
  </si>
  <si>
    <t>CP CRECHE COMUNITÁRIA NINO</t>
  </si>
  <si>
    <t>CP CRECHE CRIANÇA JABOUR</t>
  </si>
  <si>
    <t>CP CRECHE E ESCOLA COMUNITÁRIA GENTE INOCENTE - REALENGO</t>
  </si>
  <si>
    <t>CP CRECHE E ESCOLA COMUNITÁRIA GENTE INOCENTE - BANGU</t>
  </si>
  <si>
    <t>CP CRECHE ESPÍRITA FRANCISCO DE ASSIS</t>
  </si>
  <si>
    <t>CP DO.RA., A AVENTUREIRA</t>
  </si>
  <si>
    <t>CP ESCOLA COMUNITÁRIA JARDIM ARCO-ÍRIS - UNIDADE II</t>
  </si>
  <si>
    <t>CP ESPAÇO DE EDUCAÇÃO INFANTIL BATAN</t>
  </si>
  <si>
    <t>CP FUNDAÇÃO CASA DA JOANINHA - CRECHE</t>
  </si>
  <si>
    <t>CP CRECHE LOUVOR NA TERRA</t>
  </si>
  <si>
    <t>CP ASSOCIAÇÃO RECREATIVA MUNDO MÁGICO DA TIA NATY</t>
  </si>
  <si>
    <t>CP ASSOCIAÇÃO CRECHE ESPERANÇA - MAGALHÃES BASTOS</t>
  </si>
  <si>
    <t>CP CRECHE COMUNITÁRIA IRMÃ MARIA DE LOURDES</t>
  </si>
  <si>
    <t>CP CEM CRECHE ESCOLA MACHADO - UNIDADE I</t>
  </si>
  <si>
    <t>CP ASSOCIAÇÃO RECREATIVA MONIZ BARRETO</t>
  </si>
  <si>
    <t>CP CRECHE COMUNITÁRIA ANA &amp; LU</t>
  </si>
  <si>
    <t>CP CRECHE COMUNITÁRIA CRIANÇAS DE OURO</t>
  </si>
  <si>
    <t>CP CRECHE COMUNITÁRIA SANTA RITA</t>
  </si>
  <si>
    <t>CP CRECHE COMUNITÁRIA SOL DO SABER</t>
  </si>
  <si>
    <t>CP CRECHE COMUNITÁRIA TIA NEIDE - CAMPO GRANDE</t>
  </si>
  <si>
    <t>CP CRECHE E PRÉ-ESCOLA CANTINHO DO SABER</t>
  </si>
  <si>
    <t>CP CRECHE JARDIM ESCOLA RIO DA PRATA</t>
  </si>
  <si>
    <t>CP CRECHE NOVA JERUSALÉM EM CAMPO GRANDE</t>
  </si>
  <si>
    <t>CP CRECHE SAGRADA FAMÍLIA</t>
  </si>
  <si>
    <t>CP CRECHE SÃO JORGE</t>
  </si>
  <si>
    <t>CP INSTITUTO AVELINO - CAMPO GRANDE</t>
  </si>
  <si>
    <t>CP INSTITUTO DE ENSINO AVANÇADO</t>
  </si>
  <si>
    <t>CP CRECHE BEZALEL KIDS I - FILIAL II</t>
  </si>
  <si>
    <t>CP CRECHE BEZALEL KIDS</t>
  </si>
  <si>
    <t>CP ESPAÇO CRESCER</t>
  </si>
  <si>
    <t>CP ESPAÇO DE DESENVOLVIMENTO CARIOQUINHA</t>
  </si>
  <si>
    <t>CP ASSOCIAÇÃO DE MORADORES UNIÃO DAS BASES DE URUCÂNIA E ADJACÊNCIAS - COSMOS</t>
  </si>
  <si>
    <t>CP ASSOCIAÇÃO DE MORADORES UNIÃO DAS BASES DE URUCÂNIA E ADJACÊNCIAS - CAMPO GRANDE</t>
  </si>
  <si>
    <t>CP INSTITUTO CRESCER &amp; APRENDER</t>
  </si>
  <si>
    <t>CP ESPAÇO CRIATIVO CASTELINHO RINALDI</t>
  </si>
  <si>
    <t>CP ESPAÇO CRIATIVO SALOMÃO</t>
  </si>
  <si>
    <t>CP CRECHE COMUNITÁRIA DOCE INFÂNCIA</t>
  </si>
  <si>
    <t>CP ASSOCIAÇÃO DE MORADORES DAS MORADAS DO IMPÉRIO</t>
  </si>
  <si>
    <t>CP ASSOCIAÇÃO DE MORADORES E AMIGOS DO PARQUE ESTORIL - AMAPE</t>
  </si>
  <si>
    <t>CP CAAD - COMITÊ DE ATENDIMENTO À CRIANÇA E AO ADOLESCENTE - HERMES</t>
  </si>
  <si>
    <t>CP CAAD - COMITÊ DE ATENDIMENTO À CRIANÇA E AO ADOLESCENTE - CJ ROLAS</t>
  </si>
  <si>
    <t>CP CASA MATERNAL NOSSA SENHORA DE NAZARÉ</t>
  </si>
  <si>
    <t>CP CENTRO CULTURAL DE DESENVOLVIMENTO INFANTIL JOÃO BATISTA</t>
  </si>
  <si>
    <t>CP CENTRO CULTURAL MONTESSORI - SANTA CRUZ</t>
  </si>
  <si>
    <t>CP CENTRO CULTURAL MONTESSORI - PACIÊNCIA</t>
  </si>
  <si>
    <t>CP CICIM I</t>
  </si>
  <si>
    <t>CP CICIM II</t>
  </si>
  <si>
    <t>CP CRECHE BEZERRA DE MENEZES - SANTA CRUZ</t>
  </si>
  <si>
    <t>CP CRECHE CANTINHO CASLU</t>
  </si>
  <si>
    <t>CP CRECHE CASULO AGOSTINHO - VERIDIANA</t>
  </si>
  <si>
    <t>CP CRECHE CASULO AGOSTINHO - SANTA CRUZ</t>
  </si>
  <si>
    <t>CP CRECHE COMUNITÁRIA AQUARELA DO SABER</t>
  </si>
  <si>
    <t>CP CRECHE COMUNITÁRIA ARCA DE NOÉ</t>
  </si>
  <si>
    <t>CP CRECHE COMUNITÁRIA ARTE &amp; CULTURA</t>
  </si>
  <si>
    <t>CP CRECHE COMUNITÁRIA CORAÇÃO DE MÃE</t>
  </si>
  <si>
    <t>CP CRECHE COMUNITÁRIA DEUS É FIEL - CCDF</t>
  </si>
  <si>
    <t>CP CRECHE COMUNITÁRIA DEUS É FIEL - UNIDADE VIII</t>
  </si>
  <si>
    <t>CP CRECHE COMUNITÁRIA DEUS É FIEL - UNIDADE VI</t>
  </si>
  <si>
    <t>CP CRECHE COMUNITÁRIA DEUS É FIEL - UNIDADE VII</t>
  </si>
  <si>
    <t>CP CRECHE COMUNITÁRIA ESTRELA DO AMANHÃ</t>
  </si>
  <si>
    <t>CP CRECHE COMUNITÁRIA GÊNIO DO FUTURO</t>
  </si>
  <si>
    <t>CP CRECHE COMUNITÁRIA JARDIM DO CONHECIMENTO</t>
  </si>
  <si>
    <t>CP CRECHE COMUNITÁRIA JARDIM ESPERANÇA</t>
  </si>
  <si>
    <t>CP CRECHE COMUNITÁRIA JARDIM PEDRA AZUL</t>
  </si>
  <si>
    <t>CP CRECHE COMUNITÁRIA MAGIA DA CRIANÇA</t>
  </si>
  <si>
    <t>CP CRECHE COMUNITÁRIA MUNDO ENCANTADO DA CRIANÇA</t>
  </si>
  <si>
    <t>CP CRECHE COMUNITÁRIA MUNDO MÁGICO</t>
  </si>
  <si>
    <t>CP CRECHE COMUNITÁRIA PLANETA BEBÊ</t>
  </si>
  <si>
    <t>CP CRECHE COMUNITÁRIA SÃO JOÃO BATISTA</t>
  </si>
  <si>
    <t>CP CRECHE COMUNITÁRIA TIA NEIDE - GUARATIBA</t>
  </si>
  <si>
    <t>CP CRECHE COMUNITÁRIA UNIVERSO INFANTIL</t>
  </si>
  <si>
    <t>CP CRECHE E ESCOLA COMUNITÁRIA GENTE BAIXINHA I</t>
  </si>
  <si>
    <t>CP CRECHE E ESCOLA COMUNITÁRIA GENTE BAIXINHA II</t>
  </si>
  <si>
    <t>CP CRECHE ESCOLA COMUNITÁRIA ISMÊNIA RIBEIRO</t>
  </si>
  <si>
    <t>CP CRECHE ESCOLA COMUNITÁRIA MALLETZINHO</t>
  </si>
  <si>
    <t>CP CRECHE ESCOLA COMUNITÁRIA SÍTIO ALEGRE</t>
  </si>
  <si>
    <t>CP CRECHE ESCOLA SOSSEGO DA MAMÃE</t>
  </si>
  <si>
    <t>CP CRECHE MAGIA DA CRIANÇA II</t>
  </si>
  <si>
    <t>CP CRECHE MUNDO DA BIBI</t>
  </si>
  <si>
    <t>CP ESCOLA COMUNITÁRIA ENCANTO DE MARIA</t>
  </si>
  <si>
    <t>CP ESCOLA COMUNITÁRIA JARDIM ALEXANDRINO</t>
  </si>
  <si>
    <t>CP ESCOLA COMUNITÁRIA JARDIM ARCO-ÍRIS</t>
  </si>
  <si>
    <t>CP ESCOLA COMUNITÁRIA JARDIM BALÃO MÁGICO</t>
  </si>
  <si>
    <t>CP ESCOLA COMUNITÁRIA JARDIM DE INFÂNCIA CHAVE DO TAMANHO</t>
  </si>
  <si>
    <t>CP ESCOLA COMUNITÁRIA JARDIM DE INFÂNCIA TIA ANASTÁCIA</t>
  </si>
  <si>
    <t>CP ESPAÇO CRIATIVO ERA UMA VEZ</t>
  </si>
  <si>
    <t>CP ESPAÇO DE DESENVOLVIMENTO MÃE GAIA</t>
  </si>
  <si>
    <t>CP FUNDAÇÃO KLINGNER PARA O DESENVOLVIMENTO SOCIAL</t>
  </si>
  <si>
    <t>CP INSTITUTO AVELINO - GUARATIBA</t>
  </si>
  <si>
    <t>CP JARDIM ESCOLA ERNESTO FAGUNDES VARELA</t>
  </si>
  <si>
    <t>CP OS BENEDITINHOS</t>
  </si>
  <si>
    <t>CP PEDACINHO DO CÉU</t>
  </si>
  <si>
    <t>CP PROJETO QUEBRA CABEÇA</t>
  </si>
  <si>
    <t>CP SEMPRE VIDA</t>
  </si>
  <si>
    <t>CP CRECHE COMUNITÁRIA ARTE &amp; CULTURA - UNIDADE I</t>
  </si>
  <si>
    <t>CP CRECHE COMUNITÁRIA DEUS É FIEL - UNIDADE X</t>
  </si>
  <si>
    <t>CP CRECHE COMUNITÁRIA MUNDO MÁGICO II</t>
  </si>
  <si>
    <t>CP NINHO CARIOCA</t>
  </si>
  <si>
    <t>CP CRECHE COMUNITÁRIA PEDACINHO DE CÉU</t>
  </si>
  <si>
    <t>CP ESPAÇO DE DESENVOLVIMENTO INFANTIL MÃE GAIA - UNIDADE I</t>
  </si>
  <si>
    <t>CP CRECHE COMUNITÁRIA CANTINHO DO SABER</t>
  </si>
  <si>
    <t>CP CRECHE COMUNITÁRIA CRIANÇA FELIZ</t>
  </si>
  <si>
    <t>68696962000160</t>
  </si>
  <si>
    <t>02287214000116</t>
  </si>
  <si>
    <t>02717198000154</t>
  </si>
  <si>
    <t>34100438000163</t>
  </si>
  <si>
    <t>19701694000112</t>
  </si>
  <si>
    <t>35455216000126</t>
  </si>
  <si>
    <t>33892738000160</t>
  </si>
  <si>
    <t>42564773000140</t>
  </si>
  <si>
    <t>33904020000146</t>
  </si>
  <si>
    <t>34036194000105</t>
  </si>
  <si>
    <t>33727009000158</t>
  </si>
  <si>
    <t>28019248000113</t>
  </si>
  <si>
    <t>27052182000109</t>
  </si>
  <si>
    <t>74032871000123</t>
  </si>
  <si>
    <t>01097940000103</t>
  </si>
  <si>
    <t>04697185000196</t>
  </si>
  <si>
    <t>30127625000180</t>
  </si>
  <si>
    <t>34031807000103</t>
  </si>
  <si>
    <t>34054148000120</t>
  </si>
  <si>
    <t>34114470000106</t>
  </si>
  <si>
    <t>33593575027314</t>
  </si>
  <si>
    <t>34064808000154</t>
  </si>
  <si>
    <t>31660004000120</t>
  </si>
  <si>
    <t>29274131000149</t>
  </si>
  <si>
    <t>17433591000193</t>
  </si>
  <si>
    <t>42185041000140</t>
  </si>
  <si>
    <t>29270428000136</t>
  </si>
  <si>
    <t>29014008000199</t>
  </si>
  <si>
    <t>30126791000161</t>
  </si>
  <si>
    <t>32154197000100</t>
  </si>
  <si>
    <t>34030585000104</t>
  </si>
  <si>
    <t>30022057000152</t>
  </si>
  <si>
    <t>04447582000100</t>
  </si>
  <si>
    <t>33593575023599</t>
  </si>
  <si>
    <t>42136531000156</t>
  </si>
  <si>
    <t>34056630000108</t>
  </si>
  <si>
    <t>42144998000148</t>
  </si>
  <si>
    <t>33784406000161</t>
  </si>
  <si>
    <t>00148879000113</t>
  </si>
  <si>
    <t>34125450000122</t>
  </si>
  <si>
    <t>73791337000138</t>
  </si>
  <si>
    <t>30119770000119</t>
  </si>
  <si>
    <t>42106799000145</t>
  </si>
  <si>
    <t>33522079000170</t>
  </si>
  <si>
    <t>29259850000190</t>
  </si>
  <si>
    <t>34021568000100</t>
  </si>
  <si>
    <t>34068528000114</t>
  </si>
  <si>
    <t>33585407000187</t>
  </si>
  <si>
    <t>05683369000160</t>
  </si>
  <si>
    <t>33638388000100</t>
  </si>
  <si>
    <t>06893183000106</t>
  </si>
  <si>
    <t>33709171000143</t>
  </si>
  <si>
    <t>42103333000196</t>
  </si>
  <si>
    <t>33593575012805</t>
  </si>
  <si>
    <t>27459612000101</t>
  </si>
  <si>
    <t>42028428000192</t>
  </si>
  <si>
    <t>26095792000119</t>
  </si>
  <si>
    <t>34088559000137</t>
  </si>
  <si>
    <t>10747292000184</t>
  </si>
  <si>
    <t>03817270000188</t>
  </si>
  <si>
    <t>29187747000182</t>
  </si>
  <si>
    <t>30716187000195</t>
  </si>
  <si>
    <t>30717177000174</t>
  </si>
  <si>
    <t>02529871000122</t>
  </si>
  <si>
    <t>06926654000127</t>
  </si>
  <si>
    <t>33593575012201</t>
  </si>
  <si>
    <t>33311291000198</t>
  </si>
  <si>
    <t>05492399000199</t>
  </si>
  <si>
    <t>00549660000126</t>
  </si>
  <si>
    <t>31421019000135</t>
  </si>
  <si>
    <t>40172026000131</t>
  </si>
  <si>
    <t>30478267000150</t>
  </si>
  <si>
    <t>27518963000138</t>
  </si>
  <si>
    <t>16670716000136</t>
  </si>
  <si>
    <t>35353173000178</t>
  </si>
  <si>
    <t>33593575036739</t>
  </si>
  <si>
    <t>28018521000195</t>
  </si>
  <si>
    <t>42313700000186</t>
  </si>
  <si>
    <t>46927499000188</t>
  </si>
  <si>
    <t>31601644000169</t>
  </si>
  <si>
    <t>03465953000113</t>
  </si>
  <si>
    <t>08681265000104</t>
  </si>
  <si>
    <t>04396217000113</t>
  </si>
  <si>
    <t>05858555000192</t>
  </si>
  <si>
    <t>33593575011310</t>
  </si>
  <si>
    <t>10158048000186</t>
  </si>
  <si>
    <t>29061900000120</t>
  </si>
  <si>
    <t>31157092000141</t>
  </si>
  <si>
    <t>72084122000114</t>
  </si>
  <si>
    <t>22212251000172</t>
  </si>
  <si>
    <t>01149568000131</t>
  </si>
  <si>
    <t>34703994000124</t>
  </si>
  <si>
    <t>35717309000181</t>
  </si>
  <si>
    <t>33701004000156</t>
  </si>
  <si>
    <t>33593575020140</t>
  </si>
  <si>
    <t>26544349000188</t>
  </si>
  <si>
    <t>34704019000130</t>
  </si>
  <si>
    <t>00517666000111</t>
  </si>
  <si>
    <t>35636284000191</t>
  </si>
  <si>
    <t>14954939000108</t>
  </si>
  <si>
    <t>34074252000187</t>
  </si>
  <si>
    <t>33766999000133</t>
  </si>
  <si>
    <t>39629136000109</t>
  </si>
  <si>
    <t>46015027000159</t>
  </si>
  <si>
    <t>46018442000166</t>
  </si>
  <si>
    <t>28663722000145</t>
  </si>
  <si>
    <t>17271547000124</t>
  </si>
  <si>
    <t>35857698000140</t>
  </si>
  <si>
    <t>33593575000114</t>
  </si>
  <si>
    <t>33952136000150</t>
  </si>
  <si>
    <t>33593575032075</t>
  </si>
  <si>
    <t>36266202000127</t>
  </si>
  <si>
    <t>40265613000175</t>
  </si>
  <si>
    <t>00407096000107</t>
  </si>
  <si>
    <t>28483476000140</t>
  </si>
  <si>
    <t>46572804000166</t>
  </si>
  <si>
    <t>05967792000191</t>
  </si>
  <si>
    <t>35955208000149</t>
  </si>
  <si>
    <t>28668879000163</t>
  </si>
  <si>
    <t>92873413000441</t>
  </si>
  <si>
    <t>03881480000135</t>
  </si>
  <si>
    <t>13922630000165</t>
  </si>
  <si>
    <t>33593575016894</t>
  </si>
  <si>
    <t>05331629000138</t>
  </si>
  <si>
    <t>92874775000104</t>
  </si>
  <si>
    <t>30871404000111</t>
  </si>
  <si>
    <t>73563637000160</t>
  </si>
  <si>
    <t>30476543000140</t>
  </si>
  <si>
    <t>97405997000100</t>
  </si>
  <si>
    <t>42696744000132</t>
  </si>
  <si>
    <t>33760398000113</t>
  </si>
  <si>
    <t>05925069000140</t>
  </si>
  <si>
    <t>72386535000153</t>
  </si>
  <si>
    <t>33593575035848</t>
  </si>
  <si>
    <t>34066639000191</t>
  </si>
  <si>
    <t>33593575018242</t>
  </si>
  <si>
    <t>40397707000106</t>
  </si>
  <si>
    <t>40130857000140</t>
  </si>
  <si>
    <t>29295718000134</t>
  </si>
  <si>
    <t>02981143000157</t>
  </si>
  <si>
    <t>33906702000198</t>
  </si>
  <si>
    <t>33912577000129</t>
  </si>
  <si>
    <t>46496997000113</t>
  </si>
  <si>
    <t>04421158000196</t>
  </si>
  <si>
    <t>27797166000137</t>
  </si>
  <si>
    <t>11301349000108</t>
  </si>
  <si>
    <t>08892409000171</t>
  </si>
  <si>
    <t>07735398000153</t>
  </si>
  <si>
    <t>42224585000173</t>
  </si>
  <si>
    <t>27796630000170</t>
  </si>
  <si>
    <t>02849510000163</t>
  </si>
  <si>
    <t>07501534000140</t>
  </si>
  <si>
    <t>30484877000166</t>
  </si>
  <si>
    <t>34625826000168</t>
  </si>
  <si>
    <t>08103421000150</t>
  </si>
  <si>
    <t>34844314000192</t>
  </si>
  <si>
    <t>35551148000107</t>
  </si>
  <si>
    <t>34113035000159</t>
  </si>
  <si>
    <t>43677983000108</t>
  </si>
  <si>
    <t>39748083000137</t>
  </si>
  <si>
    <t>39960193000168</t>
  </si>
  <si>
    <t>42602108000102</t>
  </si>
  <si>
    <t>35585479000150</t>
  </si>
  <si>
    <t>04711987000103</t>
  </si>
  <si>
    <t>29762411000104</t>
  </si>
  <si>
    <t>33593575029104</t>
  </si>
  <si>
    <t>31415680000138</t>
  </si>
  <si>
    <t>03537568000134</t>
  </si>
  <si>
    <t>12875189000145</t>
  </si>
  <si>
    <t>40698331000161</t>
  </si>
  <si>
    <t>45792325000192</t>
  </si>
  <si>
    <t>68789585000104</t>
  </si>
  <si>
    <t>46760464000105</t>
  </si>
  <si>
    <t>46940959000108</t>
  </si>
  <si>
    <t>46979104000190</t>
  </si>
  <si>
    <t>28126142000119</t>
  </si>
  <si>
    <t>29240041000137</t>
  </si>
  <si>
    <t>02034629000188</t>
  </si>
  <si>
    <t>37289427000161</t>
  </si>
  <si>
    <t>06080771000112</t>
  </si>
  <si>
    <t>73306300000177</t>
  </si>
  <si>
    <t>32980919000185</t>
  </si>
  <si>
    <t>39489761000194</t>
  </si>
  <si>
    <t>68563808000110</t>
  </si>
  <si>
    <t>39748014000123</t>
  </si>
  <si>
    <t>38543956000102</t>
  </si>
  <si>
    <t>11429080000111</t>
  </si>
  <si>
    <t>40083026000165</t>
  </si>
  <si>
    <t>39489776000152</t>
  </si>
  <si>
    <t>40099366000184</t>
  </si>
  <si>
    <t>04673783000125</t>
  </si>
  <si>
    <t>68824150000153</t>
  </si>
  <si>
    <t>39374114000137</t>
  </si>
  <si>
    <t>40125642000131</t>
  </si>
  <si>
    <t>29240504000160</t>
  </si>
  <si>
    <t>34045021000145</t>
  </si>
  <si>
    <t>40130229000165</t>
  </si>
  <si>
    <t>00981263000129</t>
  </si>
  <si>
    <t>01151423000175</t>
  </si>
  <si>
    <t>39523831000183</t>
  </si>
  <si>
    <t>31420227000110</t>
  </si>
  <si>
    <t>29241148000108</t>
  </si>
  <si>
    <t>31421258000195</t>
  </si>
  <si>
    <t>31421191000199</t>
  </si>
  <si>
    <t>29240884000133</t>
  </si>
  <si>
    <t>33966199000166</t>
  </si>
  <si>
    <t>42370860000167</t>
  </si>
  <si>
    <t>31417678000106</t>
  </si>
  <si>
    <t>31415839000114</t>
  </si>
  <si>
    <t>31415219000185</t>
  </si>
  <si>
    <t>42418930000100</t>
  </si>
  <si>
    <t>10945138000117</t>
  </si>
  <si>
    <t>03952446000104</t>
  </si>
  <si>
    <t>46537303000149</t>
  </si>
  <si>
    <t>46162571000123</t>
  </si>
  <si>
    <t>46263063000131</t>
  </si>
  <si>
    <t>45509172000123</t>
  </si>
  <si>
    <t>42209775000111</t>
  </si>
  <si>
    <t>31157746000137</t>
  </si>
  <si>
    <t>29226750000168</t>
  </si>
  <si>
    <t>09654350000146</t>
  </si>
  <si>
    <t>010134</t>
  </si>
  <si>
    <t>010055</t>
  </si>
  <si>
    <t>010005</t>
  </si>
  <si>
    <t>010023</t>
  </si>
  <si>
    <t>010037</t>
  </si>
  <si>
    <t>010135</t>
  </si>
  <si>
    <t>020441</t>
  </si>
  <si>
    <t>021138</t>
  </si>
  <si>
    <t>020456</t>
  </si>
  <si>
    <t>020457</t>
  </si>
  <si>
    <t>020187</t>
  </si>
  <si>
    <t>020435</t>
  </si>
  <si>
    <t>020480</t>
  </si>
  <si>
    <t>020114</t>
  </si>
  <si>
    <t>020071</t>
  </si>
  <si>
    <t>020445</t>
  </si>
  <si>
    <t>020438</t>
  </si>
  <si>
    <t>020458</t>
  </si>
  <si>
    <t>020249</t>
  </si>
  <si>
    <t>020487</t>
  </si>
  <si>
    <t>020149</t>
  </si>
  <si>
    <t>020477</t>
  </si>
  <si>
    <t>020459</t>
  </si>
  <si>
    <t>020444</t>
  </si>
  <si>
    <t>020341</t>
  </si>
  <si>
    <t>021365</t>
  </si>
  <si>
    <t>020481</t>
  </si>
  <si>
    <t>020460</t>
  </si>
  <si>
    <t>020436</t>
  </si>
  <si>
    <t>020430</t>
  </si>
  <si>
    <t>020553</t>
  </si>
  <si>
    <t>020451</t>
  </si>
  <si>
    <t>020087</t>
  </si>
  <si>
    <t>021235</t>
  </si>
  <si>
    <t>021436</t>
  </si>
  <si>
    <t>020207</t>
  </si>
  <si>
    <t>020311</t>
  </si>
  <si>
    <t>020448</t>
  </si>
  <si>
    <t>020461</t>
  </si>
  <si>
    <t>020462</t>
  </si>
  <si>
    <t>020240</t>
  </si>
  <si>
    <t>020268</t>
  </si>
  <si>
    <t>020453</t>
  </si>
  <si>
    <t>020454</t>
  </si>
  <si>
    <t>020463</t>
  </si>
  <si>
    <t>020096</t>
  </si>
  <si>
    <t>022195</t>
  </si>
  <si>
    <t>020467</t>
  </si>
  <si>
    <t>020464</t>
  </si>
  <si>
    <t>020465</t>
  </si>
  <si>
    <t>020373</t>
  </si>
  <si>
    <t>022205</t>
  </si>
  <si>
    <t>030129</t>
  </si>
  <si>
    <t>030514</t>
  </si>
  <si>
    <t>031254</t>
  </si>
  <si>
    <t>030239</t>
  </si>
  <si>
    <t>030243</t>
  </si>
  <si>
    <t>031052</t>
  </si>
  <si>
    <t>030172</t>
  </si>
  <si>
    <t>030016</t>
  </si>
  <si>
    <t>030072</t>
  </si>
  <si>
    <t>032052</t>
  </si>
  <si>
    <t>031233</t>
  </si>
  <si>
    <t>030234</t>
  </si>
  <si>
    <t>030250</t>
  </si>
  <si>
    <t>030197</t>
  </si>
  <si>
    <t>030259</t>
  </si>
  <si>
    <t>039233</t>
  </si>
  <si>
    <t>030471</t>
  </si>
  <si>
    <t>030265</t>
  </si>
  <si>
    <t>030508</t>
  </si>
  <si>
    <t>030249</t>
  </si>
  <si>
    <t>030253</t>
  </si>
  <si>
    <t>030254</t>
  </si>
  <si>
    <t>030469</t>
  </si>
  <si>
    <t>030288</t>
  </si>
  <si>
    <t>031250</t>
  </si>
  <si>
    <t>039238</t>
  </si>
  <si>
    <t>039239</t>
  </si>
  <si>
    <t>030146</t>
  </si>
  <si>
    <t>030255</t>
  </si>
  <si>
    <t>030076</t>
  </si>
  <si>
    <t>030035</t>
  </si>
  <si>
    <t>030133</t>
  </si>
  <si>
    <t>030256</t>
  </si>
  <si>
    <t>030055</t>
  </si>
  <si>
    <t>031061</t>
  </si>
  <si>
    <t>039241</t>
  </si>
  <si>
    <t>030171</t>
  </si>
  <si>
    <t>031171</t>
  </si>
  <si>
    <t>040260</t>
  </si>
  <si>
    <t>042260</t>
  </si>
  <si>
    <t>041260</t>
  </si>
  <si>
    <t>043260</t>
  </si>
  <si>
    <t>049020</t>
  </si>
  <si>
    <t>040268</t>
  </si>
  <si>
    <t>041268</t>
  </si>
  <si>
    <t>040041</t>
  </si>
  <si>
    <t>042041</t>
  </si>
  <si>
    <t>049017</t>
  </si>
  <si>
    <t>040345</t>
  </si>
  <si>
    <t>040310</t>
  </si>
  <si>
    <t>040405</t>
  </si>
  <si>
    <t>040318</t>
  </si>
  <si>
    <t>040312</t>
  </si>
  <si>
    <t>040309</t>
  </si>
  <si>
    <t>040271</t>
  </si>
  <si>
    <t>042271</t>
  </si>
  <si>
    <t>040341</t>
  </si>
  <si>
    <t>041341</t>
  </si>
  <si>
    <t>040918</t>
  </si>
  <si>
    <t>040238</t>
  </si>
  <si>
    <t>040321</t>
  </si>
  <si>
    <t>040316</t>
  </si>
  <si>
    <t>040021</t>
  </si>
  <si>
    <t>041021</t>
  </si>
  <si>
    <t>040043</t>
  </si>
  <si>
    <t>042043</t>
  </si>
  <si>
    <t>043043</t>
  </si>
  <si>
    <t>040401</t>
  </si>
  <si>
    <t>040059</t>
  </si>
  <si>
    <t>040012</t>
  </si>
  <si>
    <t>040130</t>
  </si>
  <si>
    <t>040328</t>
  </si>
  <si>
    <t>041043</t>
  </si>
  <si>
    <t>045260</t>
  </si>
  <si>
    <t>044260</t>
  </si>
  <si>
    <t>046260</t>
  </si>
  <si>
    <t>040080</t>
  </si>
  <si>
    <t>040180</t>
  </si>
  <si>
    <t>040044</t>
  </si>
  <si>
    <t>044043</t>
  </si>
  <si>
    <t>041059</t>
  </si>
  <si>
    <t>050367</t>
  </si>
  <si>
    <t>050087</t>
  </si>
  <si>
    <t>050056</t>
  </si>
  <si>
    <t>050421</t>
  </si>
  <si>
    <t>050369</t>
  </si>
  <si>
    <t>050387</t>
  </si>
  <si>
    <t>050328</t>
  </si>
  <si>
    <t>050422</t>
  </si>
  <si>
    <t>050362</t>
  </si>
  <si>
    <t>050374</t>
  </si>
  <si>
    <t>051087</t>
  </si>
  <si>
    <t>050070</t>
  </si>
  <si>
    <t>050194</t>
  </si>
  <si>
    <t>051194</t>
  </si>
  <si>
    <t>050372</t>
  </si>
  <si>
    <t>060152</t>
  </si>
  <si>
    <t>060095</t>
  </si>
  <si>
    <t>060002</t>
  </si>
  <si>
    <t>060133</t>
  </si>
  <si>
    <t>060150</t>
  </si>
  <si>
    <t>060090</t>
  </si>
  <si>
    <t>060138</t>
  </si>
  <si>
    <t>060016</t>
  </si>
  <si>
    <t>060094</t>
  </si>
  <si>
    <t>060056</t>
  </si>
  <si>
    <t>060155</t>
  </si>
  <si>
    <t>070064</t>
  </si>
  <si>
    <t>071078</t>
  </si>
  <si>
    <t>070275</t>
  </si>
  <si>
    <t>071275</t>
  </si>
  <si>
    <t>079805</t>
  </si>
  <si>
    <t>070274</t>
  </si>
  <si>
    <t>070163</t>
  </si>
  <si>
    <t>079982</t>
  </si>
  <si>
    <t>070572</t>
  </si>
  <si>
    <t>071001</t>
  </si>
  <si>
    <t>070152</t>
  </si>
  <si>
    <t>070180</t>
  </si>
  <si>
    <t>071783</t>
  </si>
  <si>
    <t>079804</t>
  </si>
  <si>
    <t>079140</t>
  </si>
  <si>
    <t>079998</t>
  </si>
  <si>
    <t>070800</t>
  </si>
  <si>
    <t>070281</t>
  </si>
  <si>
    <t>079975</t>
  </si>
  <si>
    <t>079067</t>
  </si>
  <si>
    <t>079970</t>
  </si>
  <si>
    <t>078804</t>
  </si>
  <si>
    <t>077804</t>
  </si>
  <si>
    <t>079806</t>
  </si>
  <si>
    <t>079807</t>
  </si>
  <si>
    <t>079808</t>
  </si>
  <si>
    <t>079971</t>
  </si>
  <si>
    <t>080235</t>
  </si>
  <si>
    <t>081235</t>
  </si>
  <si>
    <t>080284</t>
  </si>
  <si>
    <t>080674</t>
  </si>
  <si>
    <t>080220</t>
  </si>
  <si>
    <t>089973</t>
  </si>
  <si>
    <t>089999</t>
  </si>
  <si>
    <t>089062</t>
  </si>
  <si>
    <t>080655</t>
  </si>
  <si>
    <t>080195</t>
  </si>
  <si>
    <t>080241</t>
  </si>
  <si>
    <t>081241</t>
  </si>
  <si>
    <t>080240</t>
  </si>
  <si>
    <t>080204</t>
  </si>
  <si>
    <t>080265</t>
  </si>
  <si>
    <t>080244</t>
  </si>
  <si>
    <t>080703</t>
  </si>
  <si>
    <t>080258</t>
  </si>
  <si>
    <t>089989</t>
  </si>
  <si>
    <t>081284</t>
  </si>
  <si>
    <t>080175</t>
  </si>
  <si>
    <t>088973</t>
  </si>
  <si>
    <t>080057</t>
  </si>
  <si>
    <t>090947</t>
  </si>
  <si>
    <t>091112</t>
  </si>
  <si>
    <t>090022</t>
  </si>
  <si>
    <t>091122</t>
  </si>
  <si>
    <t>091117</t>
  </si>
  <si>
    <t>090195</t>
  </si>
  <si>
    <t>090942</t>
  </si>
  <si>
    <t>091115</t>
  </si>
  <si>
    <t>090910</t>
  </si>
  <si>
    <t>090150</t>
  </si>
  <si>
    <t>090158</t>
  </si>
  <si>
    <t>090941</t>
  </si>
  <si>
    <t>092126</t>
  </si>
  <si>
    <t>091126</t>
  </si>
  <si>
    <t>091120</t>
  </si>
  <si>
    <t>091128</t>
  </si>
  <si>
    <t>091129</t>
  </si>
  <si>
    <t>092129</t>
  </si>
  <si>
    <t>091130</t>
  </si>
  <si>
    <t>091142</t>
  </si>
  <si>
    <t>091134</t>
  </si>
  <si>
    <t>100096</t>
  </si>
  <si>
    <t>100143</t>
  </si>
  <si>
    <t>100002</t>
  </si>
  <si>
    <t>101002</t>
  </si>
  <si>
    <t>100099</t>
  </si>
  <si>
    <t>100208</t>
  </si>
  <si>
    <t>100200</t>
  </si>
  <si>
    <t>101200</t>
  </si>
  <si>
    <t>100183</t>
  </si>
  <si>
    <t>101183</t>
  </si>
  <si>
    <t>102103</t>
  </si>
  <si>
    <t>100090</t>
  </si>
  <si>
    <t>101103</t>
  </si>
  <si>
    <t>100103</t>
  </si>
  <si>
    <t>100203</t>
  </si>
  <si>
    <t>100201</t>
  </si>
  <si>
    <t>100202</t>
  </si>
  <si>
    <t>100206</t>
  </si>
  <si>
    <t>100193</t>
  </si>
  <si>
    <t>106193</t>
  </si>
  <si>
    <t>103193</t>
  </si>
  <si>
    <t>104193</t>
  </si>
  <si>
    <t>100212</t>
  </si>
  <si>
    <t>100204</t>
  </si>
  <si>
    <t>100213</t>
  </si>
  <si>
    <t>100107</t>
  </si>
  <si>
    <t>100108</t>
  </si>
  <si>
    <t>100142</t>
  </si>
  <si>
    <t>100150</t>
  </si>
  <si>
    <t>100158</t>
  </si>
  <si>
    <t>100209</t>
  </si>
  <si>
    <t>101108</t>
  </si>
  <si>
    <t>100215</t>
  </si>
  <si>
    <t>100210</t>
  </si>
  <si>
    <t>100130</t>
  </si>
  <si>
    <t>101130</t>
  </si>
  <si>
    <t>100137</t>
  </si>
  <si>
    <t>100211</t>
  </si>
  <si>
    <t>100129</t>
  </si>
  <si>
    <t>100112</t>
  </si>
  <si>
    <t>101142</t>
  </si>
  <si>
    <t>100207</t>
  </si>
  <si>
    <t>100116</t>
  </si>
  <si>
    <t>100110</t>
  </si>
  <si>
    <t>100113</t>
  </si>
  <si>
    <t>100127</t>
  </si>
  <si>
    <t>100064</t>
  </si>
  <si>
    <t>100106</t>
  </si>
  <si>
    <t>100192</t>
  </si>
  <si>
    <t>100218</t>
  </si>
  <si>
    <t>100121</t>
  </si>
  <si>
    <t>100145</t>
  </si>
  <si>
    <t>100111</t>
  </si>
  <si>
    <t>100114</t>
  </si>
  <si>
    <t>100220</t>
  </si>
  <si>
    <t>100181</t>
  </si>
  <si>
    <t>100123</t>
  </si>
  <si>
    <t>101202</t>
  </si>
  <si>
    <t>105193</t>
  </si>
  <si>
    <t>101158</t>
  </si>
  <si>
    <t>100223</t>
  </si>
  <si>
    <t>100227</t>
  </si>
  <si>
    <t>101218</t>
  </si>
  <si>
    <t>100222</t>
  </si>
  <si>
    <t>100225</t>
  </si>
  <si>
    <t>110316</t>
  </si>
  <si>
    <t>110324</t>
  </si>
  <si>
    <t>110403</t>
  </si>
  <si>
    <t>110317</t>
  </si>
  <si>
    <t>110393</t>
  </si>
  <si>
    <t>111403</t>
  </si>
  <si>
    <t>SISEP</t>
  </si>
  <si>
    <t>CP CENTRO EDUCACIONAL ARCO ÍRIS</t>
  </si>
  <si>
    <t>RUA 4, Nº 93</t>
  </si>
  <si>
    <t>CP NASCEER - NÚCLEO DE ASSIST. SOCIAL CULTURAL EDUC. ECOLÓGICO DA ROCINHA</t>
  </si>
  <si>
    <t>CP CRECHE NOSSO LAR II</t>
  </si>
  <si>
    <t>CRECHE NOSSO LAR II - RICARDO DE ALBUQUERQUE</t>
  </si>
  <si>
    <t>ASSOCIAÇÃO CENTRO EDUCACIONAL REBRAL VII</t>
  </si>
  <si>
    <t>AEMMAC - ROCHA MIRANDA</t>
  </si>
  <si>
    <t>AEMMAC - MARECHAL HERMES</t>
  </si>
  <si>
    <t>CEPREMM MAT</t>
  </si>
  <si>
    <t>AEMMAC - JACAREPAGUÁ</t>
  </si>
  <si>
    <t>CRECHE BEZALEL KIDS I - FILIAL II</t>
  </si>
  <si>
    <t>CRECHE MUNDO MÁGICO II</t>
  </si>
  <si>
    <t>CÓDIGO SGA</t>
  </si>
  <si>
    <t>CASA MATERNAL CORAÇÃO DE MÃE</t>
  </si>
  <si>
    <t>CRECHE CANTINHO FELIZ DE SANTA TERESA</t>
  </si>
  <si>
    <t>CRECHE DO TUIUTI</t>
  </si>
  <si>
    <t>EDUCANDÁRIO NOSSA SENHORA DE NAZARÉ</t>
  </si>
  <si>
    <t>CENTRO CULTURAL MONTESSORI (SÃO CRISTÓVÃO)</t>
  </si>
  <si>
    <t>ABRIGO TERESA DE JESUS</t>
  </si>
  <si>
    <t>AÇÃO SOCIAL PADRE ANCHIETA ASPA</t>
  </si>
  <si>
    <t>CASA DA CRIANÇA</t>
  </si>
  <si>
    <t>CASA ESPÍRITA CRISTÃ MARIA DE NAZARÉ</t>
  </si>
  <si>
    <t>CASA MATERNAL MELLO MATTOS</t>
  </si>
  <si>
    <t>CENTRO COMUNITÁRIO ALEGRIA DAS CRIANÇAS</t>
  </si>
  <si>
    <t>CENTRO COMUNITÁRIO DA RUA UM - UNIÃO FAZ A FORÇA</t>
  </si>
  <si>
    <t>CENTRO DE EDUCAÇÃO INFANTIL CRISTO REDENTOR</t>
  </si>
  <si>
    <t>CENTRO EDUCACIONAL ESPERANÇA</t>
  </si>
  <si>
    <t>CENTRO SOCIAL DA MULHER UÊGA</t>
  </si>
  <si>
    <t>CENTRO SOCIAL E AÍ COMO É QUE FICA?</t>
  </si>
  <si>
    <t>CRECHE BERÇÁRIO MARIA HELENA DA ROCINHA</t>
  </si>
  <si>
    <t>CRECHE BEZERRA DE MENEZES (BOTAFOGO)</t>
  </si>
  <si>
    <t>CRECHE CASA DO POBRE DE NOSSA SENHORA DE COPACABANA</t>
  </si>
  <si>
    <t>CRECHE CASA SANTA MARTHA</t>
  </si>
  <si>
    <t>CRECHE CHAPEUZINHO MARROM</t>
  </si>
  <si>
    <t>CRECHE COMUNITÁRIA CANTINHO DA NATUREZA</t>
  </si>
  <si>
    <t>CRECHE ESCADINHA DO SABER</t>
  </si>
  <si>
    <t>CRECHE ESCOLA MENINOS DE LUZ</t>
  </si>
  <si>
    <t>CRECHE ESPAÇO SEMENTE</t>
  </si>
  <si>
    <t>CRECHE ESPERANÇA</t>
  </si>
  <si>
    <t>CRECHE MARIA MARIA</t>
  </si>
  <si>
    <t>CRECHE MONSENHOR FRANCA</t>
  </si>
  <si>
    <t>CRECHE PATINHO FELIZ</t>
  </si>
  <si>
    <t>CRECHE PRÉ-ESCOLA COMUNITÁRIA DO 199 PINGO DE GENTE</t>
  </si>
  <si>
    <t>CRECHE PRÉ-ESCOLA COMUNITÁRIA DOIS IRMÃOS</t>
  </si>
  <si>
    <t>CRECHE SANT’ANNA</t>
  </si>
  <si>
    <t>CRECHE SANTA CLARA</t>
  </si>
  <si>
    <t>CRECHE SANTA CLARA DE ASSIS NA PROVIDÊNCIA DE DEUS</t>
  </si>
  <si>
    <t>CRECHE SANTA MÔNICA</t>
  </si>
  <si>
    <t>CRECHE SÃO COSME E SÃO DAMIÃO</t>
  </si>
  <si>
    <t>CREI - CENTRO DE RECUPERAÇÃO INFANTIL</t>
  </si>
  <si>
    <t>CRUZADA PELA INFÂNCIA DO LEME</t>
  </si>
  <si>
    <t>ESPAÇO SANTA TEREZINHA - EST</t>
  </si>
  <si>
    <t>EDUCANDÁRIO CASA DE JACIRA</t>
  </si>
  <si>
    <t>ESCOLA COMUNITÁRIA DO CANTAGALO</t>
  </si>
  <si>
    <t>FUNDAÇÃO CASA SANTA IGNEZ</t>
  </si>
  <si>
    <t>GRUPO COMUNITÁRIO CRECHE ESCOLA TIA MAURA</t>
  </si>
  <si>
    <t>GRUPO COMUNITÁRIO MORRO DA ALEGRIA</t>
  </si>
  <si>
    <t>LAR CANTINHO FELIZ</t>
  </si>
  <si>
    <t>OBRA DO BERÇO</t>
  </si>
  <si>
    <t>UNIDAS - OBRAS SOCIAIS UNIDAS DE SANTA MARTA</t>
  </si>
  <si>
    <t>OBRAS SOCIAIS PADRE ALEIXO</t>
  </si>
  <si>
    <t>PATRONATO OPERÁRIO DA GÁVEA</t>
  </si>
  <si>
    <t>SOCIEDADE CIVIL DE ASSISTÊNCIA A MENORES - CASA DA DINDA</t>
  </si>
  <si>
    <t>UNIÃO DE MULHERES PRÓ-MELHORAMENTO DA ROUPA SUJA</t>
  </si>
  <si>
    <t>NASCEER - NÚCLEO DE ASSISTÊNCIA SOCIAL CULTURAL EDUCACIONAL ECOLÓGICO DA ROCINHA - TERMO 1</t>
  </si>
  <si>
    <t>NASCEER - NÚCLEO DE ASSISTÊNCIA SOCIAL CULTURAL EDUCACIONAL ECOLÓGICO DA ROCINHA - TERMO 2</t>
  </si>
  <si>
    <t>CENTRO EDUCACIONAL ARCO ÍRIS</t>
  </si>
  <si>
    <t>ABRIGO MARIA IMACULADA</t>
  </si>
  <si>
    <t>ASSOCIAÇÃO PRESBITERIANA CUIDANDO DO AMANHÃ - APCA</t>
  </si>
  <si>
    <t>CASA DE LEYLÁ</t>
  </si>
  <si>
    <t>CASA SÃO ROQUE</t>
  </si>
  <si>
    <t>CENTRO COMUNITÁRIO NOSSA SENHORA APARECIDA - CRECHE</t>
  </si>
  <si>
    <t>CENTRO CULTURAL EDUCAR - UNIDADE II</t>
  </si>
  <si>
    <t>CENTRO EDUCACIONAL SÃO VICENTE DE PAULO</t>
  </si>
  <si>
    <t>CHALÉ SEMENTINHA</t>
  </si>
  <si>
    <t>COLÉGIO RUTH SANT’ANNA/JARDIM DE INFÂNCIA CIRANDA CIRANDINHA</t>
  </si>
  <si>
    <t>CRECHE ALFA MASTER</t>
  </si>
  <si>
    <t>CRECHE BRINCANDO COM JUNINHO</t>
  </si>
  <si>
    <t>CRECHE CASA VIVA</t>
  </si>
  <si>
    <t>CRECHE CHAMEGUINHO</t>
  </si>
  <si>
    <t>CRECHE COMUNITÁRIA ELIANA SATURNINO BRAGA</t>
  </si>
  <si>
    <t>CRECHE COMUNITÁRIA JOÃO FERREIRA</t>
  </si>
  <si>
    <t>CRECHE COMUNITÁRIA TIA ALICE</t>
  </si>
  <si>
    <t xml:space="preserve">CRECHE DO CENTRO PASTORAL SOCIAL PADRE JUSTINO RUSSOLILLO </t>
  </si>
  <si>
    <t>CRECHE DO JACAREZINHO</t>
  </si>
  <si>
    <t>CRECHE ESCOLA COMUNITÁRIA MÃE SOCIAL</t>
  </si>
  <si>
    <t>CRECHE MÃE DO DIVINO SALVADOR</t>
  </si>
  <si>
    <t>CRECHE MARIETTA NAVARRO GAIO</t>
  </si>
  <si>
    <t>CRECHE PLANTANDO O AMANHÃ</t>
  </si>
  <si>
    <t>CRECHE RISCO E RABISCO</t>
  </si>
  <si>
    <t>CRECHE SÃO PEDRO NOLASCO</t>
  </si>
  <si>
    <t>CRECHE TERNURINHA</t>
  </si>
  <si>
    <t>CRECHE TIO KITO</t>
  </si>
  <si>
    <t>ESCOLA COMUNITÁRIA JARDIM ARCO-ÍRIS - UNIDADE I</t>
  </si>
  <si>
    <t>ESTRELINHA DO MAR</t>
  </si>
  <si>
    <t>FRATERNIDADE ASSISTENCIAL CRISTÃ</t>
  </si>
  <si>
    <t>INSTITUTO AVANTE ELITE DO FUTURO</t>
  </si>
  <si>
    <t>INSTITUTO EDUCACIONAL CRESCENDO E APRENDENDO ALGODÃO DOCE</t>
  </si>
  <si>
    <t>INSTITUTO EDUCACIONAL T &amp; P CONQUISTA</t>
  </si>
  <si>
    <t>LAR DA CRIANÇA JESUS BOM PASTOR</t>
  </si>
  <si>
    <t>LAR DE MARIA DOLORES</t>
  </si>
  <si>
    <t>NÚCLEO RECREATIVO RAIOZINHO DE SOL</t>
  </si>
  <si>
    <t>ASSOCIAÇÃO CENTRO EDUCACIONAL REBRAL I</t>
  </si>
  <si>
    <t>ASSOCIAÇÃO CENTRO EDUCACIONAL REBRAL II</t>
  </si>
  <si>
    <t>ASSOCIAÇÃO CENTRO EDUCACIONAL REBRAL IV</t>
  </si>
  <si>
    <t>ASSOCIAÇÃO CENTRO EDUCACIONAL REBRAL V</t>
  </si>
  <si>
    <t>ASSOCIAÇÃO CIVIL CENTRO EDUCACIONAL COMUNITÁRIO ESTAÇÃO DO SABER</t>
  </si>
  <si>
    <t>CASA DE JOEL</t>
  </si>
  <si>
    <t>CASA DE JOEL II</t>
  </si>
  <si>
    <t>CENTRO CULTURAL EDUCAR I</t>
  </si>
  <si>
    <t>CENTRO CULTURAL EDUCAR - UNIDADE III</t>
  </si>
  <si>
    <t>CENTRO EDUCACIONAL APRENDIZ DA MARÉ</t>
  </si>
  <si>
    <t>COMUNIDADE INSTITUCIONAL ADULÃO TEMPO FELIZ</t>
  </si>
  <si>
    <t>CRECHE CASULO BOM JESUS DA PENHA</t>
  </si>
  <si>
    <t>CRECHE COMUNITÁRIA CASULO DO PARQUE PROLETÁRIO DA PENHA</t>
  </si>
  <si>
    <t>CRECHE COMUNITÁRIA DE MANGUINHOS</t>
  </si>
  <si>
    <t>CRECHE COMUNITÁRIA SAGRADO CORAÇÃO DE MARIA</t>
  </si>
  <si>
    <t>CRECHE DO CENTRO COMUNITÁRIO DA VILA PROLETÁRIA DA PENHA</t>
  </si>
  <si>
    <t>CRECHE E PRÉ-ESCOLA NOVA JERUSALÉM</t>
  </si>
  <si>
    <t>CRECHE E PRÉ-ESCOLA NOVA JERUSALÉM NO CORDOVIL</t>
  </si>
  <si>
    <t>CRECHE ESCOLA MIMI</t>
  </si>
  <si>
    <t>CRECHE ESCOLA MIMI II</t>
  </si>
  <si>
    <t>CRECHE ESCOLA PATINHO ESTUDIOSO</t>
  </si>
  <si>
    <t>CRECHE GIZ COLORIDO</t>
  </si>
  <si>
    <t>CRECHE LAR IRMÃO FRANCISCO</t>
  </si>
  <si>
    <t>CRECHE SAGRADO CORAÇÃO DE MARIA E SANTO ANTÔNIO</t>
  </si>
  <si>
    <t>CRECHE TIA NANE</t>
  </si>
  <si>
    <t>CRECHE TIA NANE II</t>
  </si>
  <si>
    <t>CRECHE VALE DO SOL</t>
  </si>
  <si>
    <t>CRECHE VALE DO SOL II</t>
  </si>
  <si>
    <t>CRECHE VALE DO SOL NO GROTÃO</t>
  </si>
  <si>
    <t>ESPAÇO DE EDUCAÇÃO INFANTIL VILA DO JOÃO</t>
  </si>
  <si>
    <t>INSTITUTO DE EDUCAÇÃO EUCLIDES DOS SANTOS</t>
  </si>
  <si>
    <t>INSTITUTO EDUCACIONAL LUIZ ANTÔNIO - IELA</t>
  </si>
  <si>
    <t>RECANTO DA CRIANÇA FELIZ</t>
  </si>
  <si>
    <t>SOCIEDADE DE ENSINO TEREZA CRISTINA</t>
  </si>
  <si>
    <t>SOLZINHO</t>
  </si>
  <si>
    <t>ASSOCIAÇÃO CENTRO EDUCACIONAL REBRAL X</t>
  </si>
  <si>
    <t>ASSOCIAÇÃO CENTRO EDUCACIONAL REBRAL VIII</t>
  </si>
  <si>
    <t>ASSOCIAÇÃO CENTRO EDUCACIONAL REBRAL IX</t>
  </si>
  <si>
    <t>CRECHE ESCOLA OTACÍLIO BATISTA</t>
  </si>
  <si>
    <t>ASSOCIAÇÃO AMIGOS DA CRIANÇA - CRECHE ROCHA MIRANDA</t>
  </si>
  <si>
    <t>ASSOCIAÇÃO CRECHE ESPERANÇA (IRAJÁ)</t>
  </si>
  <si>
    <t>CRECHE APÓSTOLO SÃO PEDRO</t>
  </si>
  <si>
    <t>CRECHE CARDEAL CÂMARA</t>
  </si>
  <si>
    <t>CRECHE CASULO SÃO RAFAEL ARCANJO</t>
  </si>
  <si>
    <t>CENTRO COMUNITÁRIO FLOR DO AMANHÃ</t>
  </si>
  <si>
    <t>CRECHE EFFATÁ</t>
  </si>
  <si>
    <t>CRECHE PINTINHO DOURADO</t>
  </si>
  <si>
    <t>ASSOCIAÇÃO CENTRO EDUCACIONAL REBRAL XI</t>
  </si>
  <si>
    <t>ASSOCIAÇÃO CRESCÊNCIO</t>
  </si>
  <si>
    <t>CENTRO COMUNITÁRIO PARQUE UNIDOS DE ACARI</t>
  </si>
  <si>
    <t>CENTRO EDUCACIONAL NOSSA SENHORA APARECIDA</t>
  </si>
  <si>
    <t>CRECHE ABRINDO PORTAS</t>
  </si>
  <si>
    <t>CRECHE COMUNITÁRIA AQUARELA</t>
  </si>
  <si>
    <t>CRECHE DON GUANELLA</t>
  </si>
  <si>
    <t>CRECHE ESCOLA COMUNITÁRIA TIO PATINHAS</t>
  </si>
  <si>
    <t>ESCOLA PATRONATO NOSSA SENHORA DE NAZARÉ</t>
  </si>
  <si>
    <t>CRECHE GUADALUPE</t>
  </si>
  <si>
    <t>CRECHE NOSSO LAR I - ANCHIETA</t>
  </si>
  <si>
    <t>CASA EMILIEN LACAY</t>
  </si>
  <si>
    <t>CENTRO INTEGRADO SÃO JOSÉ</t>
  </si>
  <si>
    <t>CRECHE CANTINHO FELIZ</t>
  </si>
  <si>
    <t>CRECHE CANTINHO FELIZ II</t>
  </si>
  <si>
    <t>CRECHE ESCOLA MÃE ASTÉRIA</t>
  </si>
  <si>
    <t>CRECHE NOVA ESPERANÇA</t>
  </si>
  <si>
    <t>CRECHE NOVO PALMARES</t>
  </si>
  <si>
    <t>CRECHE RAIMUNDA NONATA DA SILVA</t>
  </si>
  <si>
    <t>CRECHE RITA ALEXANDRINA FERREIRA</t>
  </si>
  <si>
    <t>CRECHE SANT’ANA IRMÃ ANCILA</t>
  </si>
  <si>
    <t>CRECHE SÃO PAULO APÓSTOLO</t>
  </si>
  <si>
    <t>CRECHE SOCIAL ESTRELINHA</t>
  </si>
  <si>
    <t>ESPAÇO DE EDUCAÇÃO INFANTIL CIDADE DE DEUS</t>
  </si>
  <si>
    <t>JARDIM ESCOLA CRESCENDO E APRENDENDO</t>
  </si>
  <si>
    <t>JARDIM ESCOLA TURMINHA DA ARCA - JETA</t>
  </si>
  <si>
    <t>SEMENTE DE AMOR</t>
  </si>
  <si>
    <t>INSTITUTO CONSUELO PINHEIRO</t>
  </si>
  <si>
    <t>ASSOCIAÇÃO CENTRO EDUCACIONAL REBRAL III</t>
  </si>
  <si>
    <t>ASSOCIAÇÃO CENTRO EDUCACIONAL REBRAL VI</t>
  </si>
  <si>
    <t>ASSOCIAÇÃO CRECHE ESPERANÇA III</t>
  </si>
  <si>
    <t>ASSOCIAÇÃO DE MORADORES DO CONJUNTO PEDRO I E ADJACÊNCIAS</t>
  </si>
  <si>
    <t>ASSOCIAÇÃO RECREATIVA PINGUINHO DE GENTE</t>
  </si>
  <si>
    <t>CEM CRECHE ESCOLA MACHADO</t>
  </si>
  <si>
    <t>CENTRO EDUCACIONAL LUIZA</t>
  </si>
  <si>
    <t>CRECHE COMUNITÁRIA ESTRELINHA</t>
  </si>
  <si>
    <t>CRECHE COMUNITÁRIA NINO</t>
  </si>
  <si>
    <t>CRECHE CRIANÇA JABOUR</t>
  </si>
  <si>
    <t>CRECHE E ESCOLA COMUNITÁRIA GENTE INOCENTE</t>
  </si>
  <si>
    <t>CRECHE E ESCOLA COMUNITÁRIA GENTE INOCENTE II</t>
  </si>
  <si>
    <t>CRECHE ESPÍRITA FRANCISCO DE ASSIS</t>
  </si>
  <si>
    <t>DO.RA., A AVENTUREIRA</t>
  </si>
  <si>
    <t>ESCOLA COMUNITÁRIA JARDIM ARCO-ÍRIS - UNIDADE II</t>
  </si>
  <si>
    <t>ESPAÇO DE EDUCAÇÃO INFANTIL BATAN</t>
  </si>
  <si>
    <t>FUNDAÇÃO CASA DA JOANINHA - CRECHE</t>
  </si>
  <si>
    <t>CRECHE LOUVOR NA TERRA</t>
  </si>
  <si>
    <t>ASSOCIAÇÃO RECREATIVA MUNDO MÁGICO DA TIA NATY</t>
  </si>
  <si>
    <t>ASSOCIAÇÃO CRECHE ESPERANÇA (MAGALHÃES BASTOS)</t>
  </si>
  <si>
    <t>CRECHE COMUNITÁRIA ANA &amp; LU</t>
  </si>
  <si>
    <t>CRECHE COMUNITÁRIA CRIANÇAS DE OURO</t>
  </si>
  <si>
    <t>CRECHE COMUNITÁRIA SANTA RITA</t>
  </si>
  <si>
    <t>CRECHE COMUNITÁRIA SOL DO SABER</t>
  </si>
  <si>
    <t>CRECHE COMUNITÁRIA TIA NEIDE (CAMPO GRANDE)</t>
  </si>
  <si>
    <t>CRECHE E PRÉ-ESCOLA CANTINHO DO SABER</t>
  </si>
  <si>
    <t>CRECHE JARDIM ESCOLA RIO DA PRATA</t>
  </si>
  <si>
    <t>CRECHE NOVA JERUSALÉM EM CAMPO GRANDE</t>
  </si>
  <si>
    <t>CRECHE SAGRADA FAMÍLIA</t>
  </si>
  <si>
    <t>CRECHE SÃO JORGE</t>
  </si>
  <si>
    <t>INSTITUTO AVELINO II</t>
  </si>
  <si>
    <t>INSTITUTO DE ENSINO AVANÇADO</t>
  </si>
  <si>
    <t>CRECHE BEZALEL KIDS</t>
  </si>
  <si>
    <t>ESPAÇO CRESCER</t>
  </si>
  <si>
    <t>ASSOCIAÇÃO DE MORADORES DAS MORADAS DO IMPÉRIO</t>
  </si>
  <si>
    <t>ASSOCIAÇÃO DE MORADORES E AMIGOS DO PARQUE ESTORIL AMAPE</t>
  </si>
  <si>
    <t>CAAD DONA ZULMIRA TELLES</t>
  </si>
  <si>
    <t>CAAD - COMITÊ DE ATENDIMENTO À CRIANÇA E AO ADOLESCENTE</t>
  </si>
  <si>
    <t>CASA MATERNAL NOSSA SENHORA DE NAZARÉ</t>
  </si>
  <si>
    <t>CENTRO CULTURAL DE DESENVOLVIMENTO INFANTIL JOÃO BATISTA</t>
  </si>
  <si>
    <t>CENTRO CULTURAL MONTESSORI (SANTA CRUZ)</t>
  </si>
  <si>
    <t>CENTRO CULTURAL MONTESSORI II (PACIÊNCIA)</t>
  </si>
  <si>
    <t>CICIM (ISABEL MARIA)</t>
  </si>
  <si>
    <t>CICIM II (ISABEL MARIA II)</t>
  </si>
  <si>
    <t>CRECHE BEZERRA DE MENEZES (SANTA CRUZ)</t>
  </si>
  <si>
    <t>CRECHE CANTINHO CASLU</t>
  </si>
  <si>
    <t>CRECHE CASULO AGOSTINHO (VERIDIANA)</t>
  </si>
  <si>
    <t>CRECHE CASULO AGOSTINHO (MORRO DO CHÁ)</t>
  </si>
  <si>
    <t>CRECHE COMUNITÁRIA AQUARELA DO SABER</t>
  </si>
  <si>
    <t>CRECHE COMUNITÁRIA ARCA DE NOÉ</t>
  </si>
  <si>
    <t>CRECHE COMUNITÁRIA ARTE &amp; CULTURA</t>
  </si>
  <si>
    <t>CRECHE COMUNITÁRIA CORAÇÃO DE MÃE</t>
  </si>
  <si>
    <t>CRECHE COMUNITÁRIA DEUS É FIEL - CCDF</t>
  </si>
  <si>
    <t>CRECHE COMUNITÁRIA DEUS É FIEL - UNIDADE VIII</t>
  </si>
  <si>
    <t>CRECHE COMUNITÁRIA DEUS É FIEL - UNIDADE VI</t>
  </si>
  <si>
    <t>CRECHE COMUNITÁRIA DEUS É FIEL - UNIDADE VII</t>
  </si>
  <si>
    <t>CRECHE COMUNITÁRIA ESTRELA DO AMANHÃ</t>
  </si>
  <si>
    <t>CRECHE COMUNITÁRIA GÊNIO DO FUTURO</t>
  </si>
  <si>
    <t>CRECHE COMUNITÁRIA JARDIM DO CONHECIMENTO</t>
  </si>
  <si>
    <t>CRECHE COMUNITÁRIA JARDIM ESPERANÇA</t>
  </si>
  <si>
    <t>CRECHE COMUNITÁRIA JARDIM PEDRA AZUL</t>
  </si>
  <si>
    <t>CRECHE COMUNITÁRIA MAGIA DA CRIANÇA</t>
  </si>
  <si>
    <t>CRECHE COMUNITÁRIA MUNDO ENCANTADO DA CRIANÇA</t>
  </si>
  <si>
    <t>CRECHE COMUNITÁRIA MUNDO MÁGICO</t>
  </si>
  <si>
    <t>CRECHE COMUNITÁRIA PLANETA BEBÊ</t>
  </si>
  <si>
    <t>CRECHE COMUNITÁRIA SÃO JOÃO BATISTA</t>
  </si>
  <si>
    <t>CRECHE COMUNITÁRIA TIA NEIDE (GUARATIBA)</t>
  </si>
  <si>
    <t>CRECHE COMUNITÁRIA UNIVERSO INFANTIL</t>
  </si>
  <si>
    <t>CRECHE E ESCOLA COMUNITÁRIA GENTE BAIXINHA</t>
  </si>
  <si>
    <t>CRECHE E ESCOLA COMUNITÁRIA GENTE BAIXINHA II</t>
  </si>
  <si>
    <t>CRECHE ESCOLA COMUNITÁRIA ISMÊNIA RIBEIRO</t>
  </si>
  <si>
    <t>CRECHE ESCOLA COMUNITÁRIA MALLETZINHO</t>
  </si>
  <si>
    <t>CRECHE ESCOLA COMUNITÁRIA SÍTIO ALEGRE</t>
  </si>
  <si>
    <t>CRECHE ESCOLA SOSSEGO DA MAMÃE</t>
  </si>
  <si>
    <t>CRECHE MAGIA DA CRIANÇA II</t>
  </si>
  <si>
    <t>CRECHE MUNDO DA BIBI</t>
  </si>
  <si>
    <t>ESCOLA COMUNITÁRIA ENCANTO DE MARIA</t>
  </si>
  <si>
    <t>ESCOLA COMUNITÁRIA JARDIM ALEXANDRINO</t>
  </si>
  <si>
    <t>ESCOLA COMUNITÁRIA JARDIM ARCO IRIS</t>
  </si>
  <si>
    <t>ESCOLA COMUNITÁRIA JARDIM BALÃO MÁGICO</t>
  </si>
  <si>
    <t>ESCOLA COMUNITÁRIA JARDIM DE INFÂNCIA CHAVE DO TAMANHO</t>
  </si>
  <si>
    <t>ESCOLA COMUNITÁRIA JARDIM DE INFÂNCIA TIA ANASTÁCIA</t>
  </si>
  <si>
    <t>ESPAÇO CRIATIVO ERA UMA VEZ</t>
  </si>
  <si>
    <t>ESPAÇO DE DESENVOLVIMENTO MÃE GAIA</t>
  </si>
  <si>
    <t>FUNDAÇÃO KLINGNER PARA O DESENVOLVIMENTO SOCIAL</t>
  </si>
  <si>
    <t>INSTITUTO AVELINO</t>
  </si>
  <si>
    <t>JARDIM ESCOLA ERNESTO FAGUNDES VARELA</t>
  </si>
  <si>
    <t>OS BENEDITINHOS</t>
  </si>
  <si>
    <t>PEDACINHO DO CÉU</t>
  </si>
  <si>
    <t>PROJETO QUEBRA CABEÇA</t>
  </si>
  <si>
    <t>SEMPRE VIDA</t>
  </si>
  <si>
    <t>CRECHE COMUNITÁRIA ARTE &amp; CULTURA - UNIDADE I</t>
  </si>
  <si>
    <t>CRECHE COMUNITÁRIA DEUS É FIEL - UNIDADE X</t>
  </si>
  <si>
    <t>CRECHE COMUNITÁRIA CRIANÇA FELIZ</t>
  </si>
  <si>
    <t>AMIG - ASSOCIAÇÃO DOS MORADORES DA ILHA DO GOVERNADOR</t>
  </si>
  <si>
    <t>CENTRO DE ATIVIDADES EDUCACIONAIS E CULTURAIS ARCA DE NOÉ - CAECAN</t>
  </si>
  <si>
    <t>CRECHE CASULO DO DENDÊ</t>
  </si>
  <si>
    <t>CRECHE COMUNITÁRIA ALEGRIA DA CRIANÇA</t>
  </si>
  <si>
    <t>CRECHE ESFERA KIDS</t>
  </si>
  <si>
    <t>FILIAL BANCÁRIOS/RJ</t>
  </si>
  <si>
    <t>INSTITUTO MISSIONÁRIO COMUNHÃO E PARTICIPAÇÃO</t>
  </si>
  <si>
    <t>INSTITUTO TRILHO</t>
  </si>
  <si>
    <t xml:space="preserve">NÚCLEO DE AÇÃO COMUNITÁRIA E DESENVOLVIMENTO SOCIAL - NACODES </t>
  </si>
  <si>
    <t>CONGREGAÇÃO DAS PEQUENAS IRMÃS DA DIVINA PROVIDÊNCIA</t>
  </si>
  <si>
    <t>PROVIDENCIANDO A FAVOR DA VIDA</t>
  </si>
  <si>
    <t>AÇÃO SOCIAL PADRE ANCHIETA - ASPA</t>
  </si>
  <si>
    <t xml:space="preserve">CASA DA CRIANÇA </t>
  </si>
  <si>
    <t>ASSOCIAÇÃO TUTELAR DE MENORES</t>
  </si>
  <si>
    <t>ASSOCIAÇÃO PALOTINA</t>
  </si>
  <si>
    <t>PRIMEIRA IGREJA BATISTA DO ALTO DA BOA VISTA</t>
  </si>
  <si>
    <t>CENTRO ESPÍRITA CRISTÓFILOS</t>
  </si>
  <si>
    <t>ASSOCIAÇÃO DOS ANTIGOS ALUNOS DOS PADRES JESUÍTAS (ASIA)</t>
  </si>
  <si>
    <t>MITRA ARQUIEPISCOPAL DO RIO DE JANEIRO</t>
  </si>
  <si>
    <t>OBRA SOCIAL DA PARÓQUIA SANTA CRUZ DE COPACABANA</t>
  </si>
  <si>
    <t>ASSOCIAÇÃO DE MORADORES DO TIJUAÇU - AMOTI</t>
  </si>
  <si>
    <t>LAR PAULO DE TARSO</t>
  </si>
  <si>
    <t>JOVENS COM UMA MISSÃO - JOCUM BOREL</t>
  </si>
  <si>
    <t>SASP - SERVIÇO DE ASSISTÊNCIA SOCIAL PENTECOSTAL</t>
  </si>
  <si>
    <t>GRUPO COMUNITÁRIO MARIA MARIA DA ROCINHA</t>
  </si>
  <si>
    <t>INATOS - INSTITUTO NACIONAL DE ASSIS. TRABALHO, OPORTUNIDADES E SAÚDE</t>
  </si>
  <si>
    <t>OBRA SOCIAL CRISTO REDENTOR</t>
  </si>
  <si>
    <t>CASA DE SÃO FRANCISCO DE ASSIS</t>
  </si>
  <si>
    <t>AÇÃO COMUNITÁRIA PRÓ-FAVELA DR. MARCELLO CÂNDIA</t>
  </si>
  <si>
    <t>DISPENSÁRIO SANTA TEREZINHA DO MENINO JESUS DA GÁVEA</t>
  </si>
  <si>
    <t>CASA DE JACIRA AUXÍLIO À INFÂNCIA</t>
  </si>
  <si>
    <t>OBRAS SOCIAIS UNIDAS DE SANTA MARTA</t>
  </si>
  <si>
    <t>NASCEER - NÚCLEO DE ASSISTÊNCIA SOCIAL CULTURAL EDUCACIONAL ECOLÓGICO DA ROCINHA</t>
  </si>
  <si>
    <t>ASSOCIAÇÃO CENTRO EDUCACIONAL DANIELE LIMA</t>
  </si>
  <si>
    <t>INSTITUTO PROTETOR DOS POBRES E CRIANÇAS ABRIGO MARIA IMACULADA</t>
  </si>
  <si>
    <t>CRUZADA DO MENOR</t>
  </si>
  <si>
    <t>CENTRO CULTURAL EDUCAR</t>
  </si>
  <si>
    <t>CASA CARITATIVA SÃO VICENTE DE PAULO</t>
  </si>
  <si>
    <t xml:space="preserve">ASSOCIAÇÃO CHALÉ SEMENTINHAS </t>
  </si>
  <si>
    <t>CASA DE LÁZARO EDUCANDÁRIO SOCIAL DE ASSISTÊNCIA E AMPARO À CRIANÇA</t>
  </si>
  <si>
    <t>CENTRO CULTURAL EDUCAR (EDUCAR IV)</t>
  </si>
  <si>
    <t>ASSOCIAÇÃO DE PAIS DA CRECHE TIA ALICE</t>
  </si>
  <si>
    <t xml:space="preserve">SOCIEDADE ESPÍRITA CABOCLO SETE FLECHAS </t>
  </si>
  <si>
    <t>AÇÃO COMUNITÁRIA SAL DA TERRA</t>
  </si>
  <si>
    <t>ASSOCIAÇÃO DE MORADORES DO MORRO DA BAIANA</t>
  </si>
  <si>
    <t>ASSOCIAÇÃO DOS MORADORES DO MORRO DO ALEMÃO</t>
  </si>
  <si>
    <t>ASSOCIAÇÃO DE PAIS DA CRECHE COMUNITÁRIA TIA ALICE</t>
  </si>
  <si>
    <t>NÚCLEO DE AÇÃO COMUNITÁRIA E DESENVOLVIMENTO SOCIAL - NACODES</t>
  </si>
  <si>
    <t>INSTITUIÇÃO MARIA DE NAZARETH - CASA DA MÃE POBRE</t>
  </si>
  <si>
    <t>CENTRO CULTURAL RISCO E RABISCO</t>
  </si>
  <si>
    <t>ASSOCIAÇÃO BENEFICENTE NOSSA SENHORA DAS MERCÊS</t>
  </si>
  <si>
    <t>ESCOLA COMUNITÁRIA JARDIM ARCO-ÍRIS</t>
  </si>
  <si>
    <t>CENTRO CULTURAL ESTRELINHA DO MAR</t>
  </si>
  <si>
    <t>INSTITUTO EDUCACIONAL CRESCENDO E APRENDENDO - IECA</t>
  </si>
  <si>
    <t>INSTITUTO EDUCACIONAL T&amp;P CONQUISTA</t>
  </si>
  <si>
    <t>VENERÁVEL IRMANDADE DE PILARES</t>
  </si>
  <si>
    <t>INTITUTO CULTURAL E SOCIAL</t>
  </si>
  <si>
    <t>ASSOCIAÇÃO CENTRO EDUCACIONAL REBRAL</t>
  </si>
  <si>
    <t>CENTRO EDUCACIONAL JOEL MÁRIO</t>
  </si>
  <si>
    <t>CEJM - CENTRO EDUCACIONAL JOEL MARIO</t>
  </si>
  <si>
    <t>INSTITUTO BRASILEIRO DE AÇÕES, PESQUISAS E ESTUDOS SOCIAIS - IBRAPES</t>
  </si>
  <si>
    <t>ASSOCIAÇÃO COMUNITÁRIA DO PARQUE PROLETÁRIO DA PENHA</t>
  </si>
  <si>
    <t>SOCIEDADE INDEPENDENTE DE CULTURA E APRENDIZAGEM DE MANGUINHOS - SICAM</t>
  </si>
  <si>
    <t>SOCIEDADE BENEFICENTE SAGRADO CORAÇÃO DE MARIA</t>
  </si>
  <si>
    <t>CENTRO COMUNITÁRIO DA VILA PROLETÁRIA DA PENHA</t>
  </si>
  <si>
    <t>ASSOCIAÇÃO EDUCACIONAL PATINHO ESTUDIOSO</t>
  </si>
  <si>
    <t>LAR IRMÃO FRANCISCO</t>
  </si>
  <si>
    <t>CENTRO EDUCACIONAL VALE DO SOL II</t>
  </si>
  <si>
    <t>RIOSOLIDÁRIO - OBRA SOCIAL DO RIO DE JANEIRO</t>
  </si>
  <si>
    <t xml:space="preserve">ASSOCIAÇÃO PEDAGÓGICA TERAPÊUTICA LUIZ ANTONIO </t>
  </si>
  <si>
    <t>INSTITUTO DAS MISSIONÁRIAS DE NOSSA SENHORA DE FÁTIMA DO BRASIL</t>
  </si>
  <si>
    <t>CRECHE ESCOLA OTACILIO BATISTA</t>
  </si>
  <si>
    <t>ASSOCIAÇÃO AMIGOS DA CRIANÇA</t>
  </si>
  <si>
    <t>ASSOCIAÇÃO SERVAS DOS POBRES</t>
  </si>
  <si>
    <t>ASSOCIAÇÃO METODISTA DE AÇÃO SOCIAL DE IRAJÁ</t>
  </si>
  <si>
    <t>CENTRO COMUNITÁRIO LAUREANO TOLEDO</t>
  </si>
  <si>
    <t>ASSOCIAÇÃO CRESCENCIO</t>
  </si>
  <si>
    <t>ASSOCIAÇÃO FILHAS DE SANTA MARIA DA PROVIDÊNCIA - AFISMAP</t>
  </si>
  <si>
    <t>ABRINDO PORTAS SOCIEDADE CIVIL</t>
  </si>
  <si>
    <t>OSCIP - ORGANIZAÇÃO SOCIAL CIVIL DE INTERESSSE PÚBLICO CENTRO SOCIAL BRASIL</t>
  </si>
  <si>
    <t>ASSOCIAÇÃO SERVOS DA CARIDADE</t>
  </si>
  <si>
    <t>CRECHE NOSSO LAR</t>
  </si>
  <si>
    <t>MOVIMENTO EDUCACIONAL JOSEFA DE ALCANTARA GOULART</t>
  </si>
  <si>
    <t>OBRA SOCIAL DA CRECHE CANTINHO FELIZ</t>
  </si>
  <si>
    <t>CRECHE E PRÉ-ESCOLA MARIA MANUELA</t>
  </si>
  <si>
    <t>EDUCANDÁRIO SOCIAL LAR FREI LUIZ</t>
  </si>
  <si>
    <t>OASE-OBRAS DE ASSISTÊNCIA SOCIAL ESPERANÇA</t>
  </si>
  <si>
    <t>OBRAS SOCIAIS NOVOS PALMARES</t>
  </si>
  <si>
    <t>MITRA/PARÓQUIA DE SÃO MARCOS</t>
  </si>
  <si>
    <t>CONGREGAÇÃO MARIANA DO HOSPITAL COLÔNIA DE CURUPAITI</t>
  </si>
  <si>
    <t>MITRA/PARÓQUIA NOSSA SENHORA DO SAGRADO CORAÇÃO</t>
  </si>
  <si>
    <t>CENTRO CULTURAL MILENIUM</t>
  </si>
  <si>
    <t>INSTITUTO MARIANO EDUQUE</t>
  </si>
  <si>
    <t>RIOSOLIDÁRIO OBRA SOCIAL DO RIO DE JANEIRO</t>
  </si>
  <si>
    <t>CENTRO EDUCACIONAL CRESCENDO E APRENDENDO</t>
  </si>
  <si>
    <t>ASSOCIAÇÃO DO CENTRO EDUCACIONAL EVANGÉLICO MELO COSTA</t>
  </si>
  <si>
    <t>INPAR - INSTITUTO PRESBITERIANO ÁLVARO REIS DE ASSISTÊNCIA À CRIANÇA E AO ADOLESCENTE</t>
  </si>
  <si>
    <t>ASSOCIAÇÃO DE MORADORES DO CONJUNTO PEDRO I E ADJACÊNCIAS - AMCOPA</t>
  </si>
  <si>
    <t>ASSOCIAÇÃO CENTRO EDUCACIONAL LUÍZA</t>
  </si>
  <si>
    <t>CONSELHO DE MORADORES DA VILA KENNEDY</t>
  </si>
  <si>
    <t>CENTRO SOCIAL GOTA DE ESPERANÇA</t>
  </si>
  <si>
    <t>CRECHE ESCOLA COMUNITÁRIA GENTE INOCENTE</t>
  </si>
  <si>
    <t>GRUPO ESPÍRITA OBREIROS DA VIDA ETERNA</t>
  </si>
  <si>
    <t>CRECHE COMUNITÁRIA DONA RAPOSA</t>
  </si>
  <si>
    <t>FUNDAÇÃO CASA DA JOANINHA</t>
  </si>
  <si>
    <t>INSTITUTO LOUVOR NA TERRA</t>
  </si>
  <si>
    <t>CENTRO SOCIAL DE DESENVOLVIMENTO INFANTIL TIA NEIDE</t>
  </si>
  <si>
    <t>COLÉGIO FERREIRA MOTTA</t>
  </si>
  <si>
    <t>CENTRO EDUCACIONAL COMUNITÁRIO GIARDINIERI CAMPOS</t>
  </si>
  <si>
    <t>ASSOCIAÇÃO DAS DONAS DE CASA DA ESTRADA DA PEDRA</t>
  </si>
  <si>
    <t>CENTRO COMUNITÁRIO DE ENSINO AVANÇADO</t>
  </si>
  <si>
    <t>INSTITUTO BEZALEL PROJETO SOCIAL</t>
  </si>
  <si>
    <t>CRECHE COMUNITÁRIA ESPAÇO CRESCER</t>
  </si>
  <si>
    <t>CENTRO DE INTEGRAÇÃO SOCIAL ISABEL MARIA DE NOVA SEPETIBA</t>
  </si>
  <si>
    <t>CRECHE CASULO AGOSTINHO</t>
  </si>
  <si>
    <t>ASSOCIAÇÃO DE MORADORES E UNIÃO DAS BASES DE URUCÂNIA E ADJACÊNCIAS</t>
  </si>
  <si>
    <t>FIOS DA TERRA-EDUCAÇÃO E CULTURA, AMBIENTE E ENERGIA, TRABALHO E PARTICIPAÇÃO</t>
  </si>
  <si>
    <t>CENTRO SOCIAL DE DES. INFANTIL TIA NEIDE</t>
  </si>
  <si>
    <t>ASSOCIAÇÃO FILANTRÓPICA CRISTÃ ESPÍRITA ISMÊNIA RIBEIRO</t>
  </si>
  <si>
    <t>CRECHE MARQUES</t>
  </si>
  <si>
    <t>ESCOLA COMUNITÁRIA SEMENTES DO AMANHÃ</t>
  </si>
  <si>
    <t>CRECHE COMUNITÁRIA JARDIM SANTA CRUZ - OS BENEDITINHOS</t>
  </si>
  <si>
    <t>CRECHE COMUNITÁRIA ASSOCIAÇÃO SILVANA SILVA</t>
  </si>
  <si>
    <t>ESCOLA COMUNITÁRIA SOUZA PINTO</t>
  </si>
  <si>
    <t>CRECHE PINGUINHO DE GENTE</t>
  </si>
  <si>
    <t xml:space="preserve">CRECHE COMUNITÁRIA ARTE &amp; CULTURA </t>
  </si>
  <si>
    <t xml:space="preserve">CRECHE COMUNITÁRIA DEUS É FIEL </t>
  </si>
  <si>
    <t>OBRA SOCIAL DO PARQUE ROYAL</t>
  </si>
  <si>
    <t>ASSOCIAÇÃO RESGATE DOS VALORES HUMANOS - AREVAH</t>
  </si>
  <si>
    <t>RUA CONCEIÇÃO, Nº 01 - COMPLEXO DO TURANO</t>
  </si>
  <si>
    <t>RUA ALMIRANTE ALEXANDRINA, 2495</t>
  </si>
  <si>
    <t>RUA SÃO LUIZ GONZAGA, Nº 1612-FUNDOS</t>
  </si>
  <si>
    <t>RUA DOUTOR AGRA, Nº 115</t>
  </si>
  <si>
    <t>RUA DA AMÉRICA, 81</t>
  </si>
  <si>
    <t>R. SÃO LUIZ GONZAGA, 1720</t>
  </si>
  <si>
    <t>RUA IBITURUNA, 53</t>
  </si>
  <si>
    <t>TRAVESSA LUZ, 13</t>
  </si>
  <si>
    <t>RUA FERNANDES GUIMARÃES, 85</t>
  </si>
  <si>
    <t>ESTR. DA GÁVEA, 262, QUARTEIRÃO 21, R. UM S/Nº</t>
  </si>
  <si>
    <t>RUA FARO, 80</t>
  </si>
  <si>
    <t>RUA DOIS, 431</t>
  </si>
  <si>
    <t>ESTR. DA GÁVEA, 259 - PARTE</t>
  </si>
  <si>
    <t>RUA INDIANA, 59</t>
  </si>
  <si>
    <t>ESTRADA DO BIGUÁ, 336</t>
  </si>
  <si>
    <t>RUA ESPERANÇA, 37 - 2º ANDAR</t>
  </si>
  <si>
    <t>ESTR. DA GÁVEA, 229 - CASA 1 - RUA UM</t>
  </si>
  <si>
    <t>TRAV. ESPERANÇA, 12</t>
  </si>
  <si>
    <t>RUA MARTINS FERREIRA, 57</t>
  </si>
  <si>
    <t>RUA HILÁRIO DE GOUVÊIA, 36 - 4º ANDAR</t>
  </si>
  <si>
    <t>RUA MARECHAL FRANCISCO DE MOURA, 234</t>
  </si>
  <si>
    <t>RUA JOAQUIM PIZARRO,63</t>
  </si>
  <si>
    <t>RUA EUCLIDES DA ROCHA, 370</t>
  </si>
  <si>
    <t>ESTR. DO TIJUAÇU, 32</t>
  </si>
  <si>
    <t>RUA SAINT ROMAIN, 142</t>
  </si>
  <si>
    <t>TRAVESSA SÃO LUIZ, 99</t>
  </si>
  <si>
    <t>RUA ADALBERTO FERREIRA, 35</t>
  </si>
  <si>
    <t>ESTR. DA GÁVEA, 259, R. UM CASA 52</t>
  </si>
  <si>
    <t>RUA TAVARES BASTOS, 296</t>
  </si>
  <si>
    <t>RUA ARMANDO DE ALBUQUERQUE, 168</t>
  </si>
  <si>
    <t>ESTR. DA GÁVEA, 199-BECO 1/5/65 CASA 34</t>
  </si>
  <si>
    <t>EST. DA GÁVEA, 325 - BECO 1-CASA 30</t>
  </si>
  <si>
    <t>RUA PROFESSOR LUIZ CANTANHEDE, 25</t>
  </si>
  <si>
    <t>RUA ALICE, 308</t>
  </si>
  <si>
    <t>RUA BENEDITO CALIXTO, 92/94</t>
  </si>
  <si>
    <t>ESTR. DA INDEPENDÊNCIA, 56</t>
  </si>
  <si>
    <t>RUA LEOPOLDO, 434</t>
  </si>
  <si>
    <t>RUA JOANA ANGÉLICA, 203</t>
  </si>
  <si>
    <t>RUA COELHO CINTRA, 380</t>
  </si>
  <si>
    <t>RUA GENERAL RABELO, 09</t>
  </si>
  <si>
    <t>RUA AGUIAR, 72</t>
  </si>
  <si>
    <t>RUA SAINT ROMAIN, 200/RUA CÂNDIDO PORTINARI, 05</t>
  </si>
  <si>
    <t>RUA MERY  PESSOA,91</t>
  </si>
  <si>
    <t>ESTR. DAS CANOAS, 720</t>
  </si>
  <si>
    <t>RUA UM, 159</t>
  </si>
  <si>
    <t>RUA TORRES HOMEM, 1024</t>
  </si>
  <si>
    <t>RUA CÍCERO DE GÓIS MONTEIRO, 19</t>
  </si>
  <si>
    <t>BECO DO JABUTI, 09  - MORRO SANTA MARTA</t>
  </si>
  <si>
    <t>RUA PAULO VI, 62</t>
  </si>
  <si>
    <t>AV. LINEU DE PAULA MACHADO, 795</t>
  </si>
  <si>
    <t>RUA PETROCOCHINO, 74</t>
  </si>
  <si>
    <t>RUA UM, 325</t>
  </si>
  <si>
    <t>ESTRADA DA GÁVEA, 436 - FUNDOS</t>
  </si>
  <si>
    <t>RUA ANA NÉRI, 1422</t>
  </si>
  <si>
    <t>RUA VEREADOR IGLESIAS, 25</t>
  </si>
  <si>
    <t>RUA ANA NERI, 2400</t>
  </si>
  <si>
    <t>RUA VISCONDE DE TOCANTINS, 34</t>
  </si>
  <si>
    <t>RUA ARISTIDES CAIRE, 349</t>
  </si>
  <si>
    <t>AV. DOM HÉLDER CÂMARA, 7622</t>
  </si>
  <si>
    <t>RUA ANTÔNIO AUSTREGÉSILO, 90</t>
  </si>
  <si>
    <t>RUA JOSÉ RUBINO, 82 E 88</t>
  </si>
  <si>
    <t>RUA TORRES SOBRINHO, 57</t>
  </si>
  <si>
    <t>RUA MOSSORÓ, 107</t>
  </si>
  <si>
    <t>RUA CAMARISTA MÉIER, 972</t>
  </si>
  <si>
    <t>AV. AMARO CAVALCANTI, 2171</t>
  </si>
  <si>
    <t>RUA SÃO FRANCISCO DE ASSIS, 15</t>
  </si>
  <si>
    <t>RUA VISTA ALEGRE, 17</t>
  </si>
  <si>
    <t>AV. CENTRAL, 70</t>
  </si>
  <si>
    <t>RUA CAMBORIÚ, 205 - FUNDOS</t>
  </si>
  <si>
    <t>RUA VALMIR, S/Nº</t>
  </si>
  <si>
    <t>RUA MIGUEL ANGELO, 541</t>
  </si>
  <si>
    <t>RUA CANITAR, 749</t>
  </si>
  <si>
    <t>RUA DIVINO SALVADOR, 223</t>
  </si>
  <si>
    <t>RUA FREI PINTO, 75</t>
  </si>
  <si>
    <t>AV. PASTOR MARTIN LUTHER KING JR., 126</t>
  </si>
  <si>
    <t>RUA MARIA BENJAMIN, Nº 485</t>
  </si>
  <si>
    <t>RUA ITAQUIRI, 248</t>
  </si>
  <si>
    <t>RUA DA COLHER, 01</t>
  </si>
  <si>
    <t>AV. MARECHAL RONDON, 2649</t>
  </si>
  <si>
    <t>RUA VILELA TAVARES, 62</t>
  </si>
  <si>
    <t>RUA DIVINO SALVADOR, 349</t>
  </si>
  <si>
    <t>RUA PROPÍCIA, 245</t>
  </si>
  <si>
    <t>RUA EDMUNDO, 97</t>
  </si>
  <si>
    <t>ESTRADA DE ITARARÉ,  480- COMPLEMENTO RUA NOVA, 66</t>
  </si>
  <si>
    <t>RUA VILELA TAVARES, 356</t>
  </si>
  <si>
    <t>RUA BOA VISTA, 20 - A</t>
  </si>
  <si>
    <t>RUA NAZÁRIO, 42</t>
  </si>
  <si>
    <t>AV. DOM HELDER CÂMARA, 6653</t>
  </si>
  <si>
    <t>RUA SILVA ROSA, 286</t>
  </si>
  <si>
    <t>RUA PADRE JANUÁRIO, 161</t>
  </si>
  <si>
    <t>ESTRADA ADHEMAR BEBIANO, Nº 3805</t>
  </si>
  <si>
    <t>RUA OURIQUE, 73</t>
  </si>
  <si>
    <t>RUA FLORA LOBO, 64</t>
  </si>
  <si>
    <t>RUA XAVIER PINHEIRO, 486</t>
  </si>
  <si>
    <t>AV. BRÁS DE PINA, 1558</t>
  </si>
  <si>
    <t>RUA DA DEMOCRACIA, 31- FDS</t>
  </si>
  <si>
    <t>RUA ANTÔNIO JOÃO, 1381</t>
  </si>
  <si>
    <t>AVENIDA OLIVEIRA BELO, 754</t>
  </si>
  <si>
    <t>RUA URANOS, 529</t>
  </si>
  <si>
    <t>RUA NIOAC, 06</t>
  </si>
  <si>
    <t>RUA NILTON CORDEIRO, 19</t>
  </si>
  <si>
    <t>RUA CABO REIS, 15</t>
  </si>
  <si>
    <t>AV. BRÁS DE PINA, 181</t>
  </si>
  <si>
    <t>PRAÇA SÃO LUCAS, 01- B</t>
  </si>
  <si>
    <t>RUA DR. LUIZ GREGÓRIO DE SÁ, 33</t>
  </si>
  <si>
    <t>RUA CARMELA DUTRA, 24</t>
  </si>
  <si>
    <t>RUA SÃO VICENTE DE PAULA, S/Nº</t>
  </si>
  <si>
    <t>RUA OURIQUE, 1111</t>
  </si>
  <si>
    <t>RUA OTINGA, 186 E 186 A</t>
  </si>
  <si>
    <t>RUA JOÃO ARAÚJO, 237</t>
  </si>
  <si>
    <t>RUA ROBERTO DA SILVEIRA, 81</t>
  </si>
  <si>
    <t>TRAVESSA SÃO BENTO - RUA BULHÕES MARCIAL, 19</t>
  </si>
  <si>
    <t>RUA ITABIRA, 297</t>
  </si>
  <si>
    <t>RUA SIZENANDO NABUCO, 111</t>
  </si>
  <si>
    <t>RUA VICENTE CANECO, 03</t>
  </si>
  <si>
    <t>RUA FELISBERTO FREIRE, 135</t>
  </si>
  <si>
    <t>RUA LEOPOLDINA REGO, 862</t>
  </si>
  <si>
    <t>RUA MAJOR REGO, 300</t>
  </si>
  <si>
    <t>RUA DOUTOR MIGUEL VIEIRA FERREIRA, 646</t>
  </si>
  <si>
    <t>RUA IPOJUCA, 392</t>
  </si>
  <si>
    <t>AV. BRASIL, 4040</t>
  </si>
  <si>
    <t>AVENIDA BRIGADEIRO TROMPOWISKI, 220</t>
  </si>
  <si>
    <t>RUA CABO ROCHA, 230</t>
  </si>
  <si>
    <t>RUA ISMAEL ROCHA, LOTE 124</t>
  </si>
  <si>
    <t>RUA NEGRÃO DE LIMA, 21 E 21A</t>
  </si>
  <si>
    <t>RUA MAJOR REGO, 46</t>
  </si>
  <si>
    <t>R. CHARLES GOUNOUD, 671</t>
  </si>
  <si>
    <t>R. GENERAL CARVALHO, 711</t>
  </si>
  <si>
    <t>R. DO ALPISTE, 933</t>
  </si>
  <si>
    <t>RUA JOAQUIM NABUCO, 75 - NOVA HOLANDA - MARÉ</t>
  </si>
  <si>
    <t xml:space="preserve">RUA PIRICUMA, 12 </t>
  </si>
  <si>
    <t>RUA DR NUNES, 577</t>
  </si>
  <si>
    <t>RUA CARDOSO DE MORAES, 339 / 341</t>
  </si>
  <si>
    <t>RUA DEMOCRACIA, 27</t>
  </si>
  <si>
    <t>RUA MARQUES DE OLIVEIRA, 130</t>
  </si>
  <si>
    <t>RUA ANDRÉ AZEVEDO, 113</t>
  </si>
  <si>
    <t>RUA BARREIROS, 618</t>
  </si>
  <si>
    <t>RUA DOS DIAMANTES, 113 - FUNDOS</t>
  </si>
  <si>
    <t>RUA FERNANDES GUSMÃO, 340, LOTE 1, QUADRA Y</t>
  </si>
  <si>
    <t>RUA CORONEL SOARES, 285/295</t>
  </si>
  <si>
    <t>RUA CARAJÁS, 262</t>
  </si>
  <si>
    <t>RUA ANTÔNIO SARAIVA, 23</t>
  </si>
  <si>
    <t>RUA CÂNDIDO BENÍCIO, 546</t>
  </si>
  <si>
    <t>RUA PROJETADA B, 100</t>
  </si>
  <si>
    <t>RUA LOURENÇO MARQUES, 70</t>
  </si>
  <si>
    <t>RUA CAROLINA AMADO, 1325</t>
  </si>
  <si>
    <t>RUA URUPEMA, 205</t>
  </si>
  <si>
    <t>RUA ENGENHEIRO LAFAIETE STOOCKLER, 781</t>
  </si>
  <si>
    <t>RUA CAROLINA MACHADO,1670</t>
  </si>
  <si>
    <t>AVENIDA DOS ITALIANOS, 1005</t>
  </si>
  <si>
    <t>RUA CAROLINA MACHADO, 1882</t>
  </si>
  <si>
    <t>RUA TACARATU, 26</t>
  </si>
  <si>
    <t>RUA LEOCÁDIO FIGUEIREDO, 835</t>
  </si>
  <si>
    <t>RUA PADRE LIMA, 482</t>
  </si>
  <si>
    <t>RUA FAUSTINO LINS, 898</t>
  </si>
  <si>
    <t>RUA IPUERA, 331</t>
  </si>
  <si>
    <t>RUA ELZO FERREIRA, 129</t>
  </si>
  <si>
    <t>RUA CAÇAREMA, 63</t>
  </si>
  <si>
    <t>PRAÇA ROBERTO CARLOS, 19</t>
  </si>
  <si>
    <t>RUA JOSÉ LOURENÇO, 181 E 183</t>
  </si>
  <si>
    <t>RUA DELEGADO SILVIO TERRA, 202</t>
  </si>
  <si>
    <t>RUA JOSÉ LOURENÇO, 32</t>
  </si>
  <si>
    <t>PRAÇA NOSSA SENHORA DAS DORES, 14</t>
  </si>
  <si>
    <t>AV. NAZARÉ, 340</t>
  </si>
  <si>
    <t>RUA EDGARD WERNECK, 420</t>
  </si>
  <si>
    <t>RUA EDGARD WERNECK, 1615</t>
  </si>
  <si>
    <t>ESTR. VEREADOR ALCEU DE CARVALHO, 461</t>
  </si>
  <si>
    <t>PRAÇA VARGEM GRANDE, LOTE 52</t>
  </si>
  <si>
    <t>RUA IRIQUITIA, 38, LOTE6</t>
  </si>
  <si>
    <t>ESTR. DA BOIÚNA, 1367</t>
  </si>
  <si>
    <t>RUA TIROL, 1571</t>
  </si>
  <si>
    <t>RUA IPÊ, 10</t>
  </si>
  <si>
    <t>AV. CÉLIA RIBEIRO DA SILVA MENDES, 92</t>
  </si>
  <si>
    <t>RUA SERVIDÃO, 46</t>
  </si>
  <si>
    <t>RUA GODOFREDO VIANA, 64 - PARTE</t>
  </si>
  <si>
    <t>RUA 1, Nº 02 (ACESSO CÂNDIDO BENÍCIO, 2935</t>
  </si>
  <si>
    <t>ESTRADA DE JACAREPAGUÁ, 3506</t>
  </si>
  <si>
    <t>RUA URUCUIA,813</t>
  </si>
  <si>
    <t>AV. CIDADE DE DEUS, S/Nº, VILA NOVA CRUZADA, LOTE 6</t>
  </si>
  <si>
    <t>AV. DAS ALAGOAS, 755, CANAL ESPERANÇA, 23</t>
  </si>
  <si>
    <t>AV. ISABEL DOMINGUES, 78</t>
  </si>
  <si>
    <t>RUA EDGARD WERNECK, 846</t>
  </si>
  <si>
    <t>RUA MOISÉS, 33</t>
  </si>
  <si>
    <t xml:space="preserve">RUA DO CASTOR, 295 </t>
  </si>
  <si>
    <t>RUA Mª ALICE, 85</t>
  </si>
  <si>
    <t>ESTRADA DOS BANDEIRANTES, 25120</t>
  </si>
  <si>
    <t>AVENIDA SAMPAIO CORRÊA, 24</t>
  </si>
  <si>
    <t>RUA BELO VALE, 5</t>
  </si>
  <si>
    <t xml:space="preserve">RUA BARÃO, 1049 </t>
  </si>
  <si>
    <t>RUA MAMORÉ, 115</t>
  </si>
  <si>
    <t>AV. TENENTE CORONEL MUNIZ DE ARAGÃO, 219</t>
  </si>
  <si>
    <t>RUA IMPERADOR, 894</t>
  </si>
  <si>
    <t>RUA SANTA ODÍLIA, 602</t>
  </si>
  <si>
    <t>AVENIDA FREDERICO FAULHABER, 688</t>
  </si>
  <si>
    <t>RUA CÍTARA, 138</t>
  </si>
  <si>
    <t>RUA DR. AUGUSTO FIGUEIREDO, 2002</t>
  </si>
  <si>
    <t>RUA SÃO DAGOBERTO, 153</t>
  </si>
  <si>
    <t>RUA DO IMPERADOR, 521, APT. 101- FUNDOS</t>
  </si>
  <si>
    <t>RUA DOUTOR AUGUSTO FIGUEIREDO, 93</t>
  </si>
  <si>
    <t>RUA FORT LAMY, S/Nº, LOTE 01, QUADRA 32</t>
  </si>
  <si>
    <t>RUA CROÁCIA, 05 C. 16</t>
  </si>
  <si>
    <t>ESTR. DA ÁGUA BRANCA, 4090</t>
  </si>
  <si>
    <t>ESTR. DA ÁGUA BRANCA, 4296</t>
  </si>
  <si>
    <t>ESTR. DO ENGENHO NOVO, 235</t>
  </si>
  <si>
    <t>RUA DOS ESTAMPADORES, 306</t>
  </si>
  <si>
    <t>AVENIDA PIRPIRITUBA, 292</t>
  </si>
  <si>
    <t>RUA RAUL AZEDO NETO, S/Nº</t>
  </si>
  <si>
    <t>ESTR. DA ÁGUA BRANCA, 640</t>
  </si>
  <si>
    <t>R. FRANCISCO REAL Nº1100</t>
  </si>
  <si>
    <t>TRAV. BELIZÁRIA DE SOUZA, Nº36</t>
  </si>
  <si>
    <t>RUA CORREA SEARA, 97</t>
  </si>
  <si>
    <t xml:space="preserve">ESTR. SARGENTO MIGUEL FILHO, 371 </t>
  </si>
  <si>
    <t>RUA SÃO DAGOBERTO, 215</t>
  </si>
  <si>
    <t>RUA MARIA GRAHAM, 118</t>
  </si>
  <si>
    <t>RUA SOLON BOTELHO, 15, LOTE 15, QUADRA C</t>
  </si>
  <si>
    <t>RUA SOLDADO ERNEZITO CHAGAS, 38</t>
  </si>
  <si>
    <t>RUA ORLANDO RICCI, LOTE 02, QUADRA B</t>
  </si>
  <si>
    <t>RUA ARCEBURGO, LOTE 5</t>
  </si>
  <si>
    <t>RUA TOLEDO, 180 - CONJUNTO CAMPINHO</t>
  </si>
  <si>
    <t>RUA ITAMBARAÇA, Nº 670, LOTE 23, QUADRA 82</t>
  </si>
  <si>
    <t>AV. GLICÍNIA, 195, LOTE 1, QUADRA 5</t>
  </si>
  <si>
    <t>CAMINHO DA TUTÓIA, 520</t>
  </si>
  <si>
    <t>RUA CAMPOS ALTOS, LOTE 16, QUADRA G</t>
  </si>
  <si>
    <t>RUA VIRGÍLIO BAHIA, 15</t>
  </si>
  <si>
    <t>RUA ARCÍLIO PAPINI, 17</t>
  </si>
  <si>
    <t>RUA FLORENTINO ÁVIDOS, 195</t>
  </si>
  <si>
    <t>RUA CURARE Nº 541</t>
  </si>
  <si>
    <t>RUA VICENTE FRANCISCO DOS SANTOS, Nº 350, LOTE 2, QUADRA B</t>
  </si>
  <si>
    <t xml:space="preserve">RUA JOSÉ FRANCISCO DE SOUZA PORTO, Nº 222 </t>
  </si>
  <si>
    <t>RUA ICURANA S/Nº  R. PROJETADA A Q.01</t>
  </si>
  <si>
    <t xml:space="preserve">RUA POCINHOS, 368 </t>
  </si>
  <si>
    <t xml:space="preserve">RUA PROF RAMIRO DE MATOS </t>
  </si>
  <si>
    <t xml:space="preserve">RUA SEARA FILHO, 377 </t>
  </si>
  <si>
    <t>RUA DEZOITO, LOTE 11 - VILAR CARIOCA</t>
  </si>
  <si>
    <t>RUA ICURANA, 03</t>
  </si>
  <si>
    <t>RUA OITO, CASA 12  QD1</t>
  </si>
  <si>
    <t>RUA MINISTRO ADALBERTO BARRETO, 473</t>
  </si>
  <si>
    <t>PRAÇA CELINA,  S/Nº - PARQUE ESTORIL</t>
  </si>
  <si>
    <t>RUA DO IMPÉRIO, 1637</t>
  </si>
  <si>
    <t>RUA PROJETADA MATTOS, 1</t>
  </si>
  <si>
    <t>RUA SÃO GOMÁRIO, 422</t>
  </si>
  <si>
    <t>RUA  MARICOABO, 130, LOTE 24, QUADRA 63</t>
  </si>
  <si>
    <t>AV. JOÃO XXIII, 1388</t>
  </si>
  <si>
    <t>AV. CESÁRIO DE MELO, 10.056</t>
  </si>
  <si>
    <t>RUA 39, S/Nº - CONJ. NOVA SEPETIBA</t>
  </si>
  <si>
    <t>ESTRADA DE SEPETIBA, S/Nº,  AVENIDA 2, Nº 400 - CONJ. NOVA SEPETIBA</t>
  </si>
  <si>
    <t>AVENIDA ANTARES, 2991</t>
  </si>
  <si>
    <t>RUA SERROLANDIA, 480, QD. 41, LOTE 26</t>
  </si>
  <si>
    <t>ESTRADA SANTA VERIDIANA, 936 A</t>
  </si>
  <si>
    <t>RUA BATISTA, 51</t>
  </si>
  <si>
    <t>RUA PRIMEIRA, 423 - C. 4</t>
  </si>
  <si>
    <t>ESTRADA TASSO BLASO, 1</t>
  </si>
  <si>
    <t>ESTRADA ATERRADO DO LEME, 426</t>
  </si>
  <si>
    <t>RUA SOLDADO VALTER DE SOUZA, 133 B</t>
  </si>
  <si>
    <t>ESTRADA DE SEPETIBA, 5974</t>
  </si>
  <si>
    <t>RUA GOULART DE ALMEIDA, 77</t>
  </si>
  <si>
    <t>RUA SOLDADO PRIM CANES, S/Nº, LT. 22, QD. 195</t>
  </si>
  <si>
    <t>RUA BURITI BRAVO, 255</t>
  </si>
  <si>
    <t>AV. CESÁRIO DE MELO, 13.855 - FUNDOS</t>
  </si>
  <si>
    <t>RUA PRIMEIRA, 26 - C. 1</t>
  </si>
  <si>
    <t>RUA NESTOR, 822</t>
  </si>
  <si>
    <t>ESTRADA BOA ESPERANÇA, 1173</t>
  </si>
  <si>
    <t>RUA SÃO DOMINGOS, 15</t>
  </si>
  <si>
    <t>ESTRADA VITOR DUMAS, 1268</t>
  </si>
  <si>
    <t>AVENIDA JOÃO XXIII, 267 - RUA 20 - CONJUNTO NOVO MUNDO</t>
  </si>
  <si>
    <t>RUA ELIZEU GOUVEIA, 12</t>
  </si>
  <si>
    <t>RUA CONCEIÇÃO DE IPANEMA, S/Nº, LOTE 17, QUADRA 4</t>
  </si>
  <si>
    <t>ESTRADA DOS CABUIS, 15</t>
  </si>
  <si>
    <t>RUA JOSÉ MARTINS BRITO, 165</t>
  </si>
  <si>
    <t>ESTRADA DA PEDRA, 4680</t>
  </si>
  <si>
    <t>RUA OUROANA, 18</t>
  </si>
  <si>
    <t>RUA OUROANA, 46, LOTE 14, QUADRA F</t>
  </si>
  <si>
    <t>TRAVESSA AURORA, 52</t>
  </si>
  <si>
    <t>PRAIA DE SEPETIBA, 1656</t>
  </si>
  <si>
    <t>ESTRADA DE SEPETIBA, 144</t>
  </si>
  <si>
    <t>RUA PROJETADA SALLES, 23, CASA 15</t>
  </si>
  <si>
    <t>RUA SANTA BÁRBARA, 18</t>
  </si>
  <si>
    <t>RUA DA CONCILIAÇÃO, 497</t>
  </si>
  <si>
    <t>RUA SAPUCAÍ, TRAVESSA PROJETADA, 55</t>
  </si>
  <si>
    <t>RUA PROJETADA ISABEL, 20</t>
  </si>
  <si>
    <t>RUA FERNANDA, 2562</t>
  </si>
  <si>
    <t>RUA ALEXANDRE DA SILVA FAGUNDES, 104</t>
  </si>
  <si>
    <t>RUA JUSTO DE MORAES, 90</t>
  </si>
  <si>
    <t>RUA ALMADINA, LOTE 10, QUADRA A</t>
  </si>
  <si>
    <t>RUA CÓRREGO NOVO, 17, QUADRA 14, LOTE 17</t>
  </si>
  <si>
    <t>AV. SANTA URSULINA, 333</t>
  </si>
  <si>
    <t>AVENIDA AREIA BRANCA, 2283</t>
  </si>
  <si>
    <t>RUA PROFESSOR CHARLEY LACHMUND, 290</t>
  </si>
  <si>
    <t>ESTRADA DE SEPETIBA, 172</t>
  </si>
  <si>
    <t>RUA DOS RODOVIÁRIOS, 01</t>
  </si>
  <si>
    <t>RUA 22, AVENIDA CESÁRIO DE MELO, 258</t>
  </si>
  <si>
    <t>RUA RIO GRANDE DO SUL, 136</t>
  </si>
  <si>
    <t>RUA ARNALDO BASTOS, 22</t>
  </si>
  <si>
    <t>EST. DO CATRUZ, 317</t>
  </si>
  <si>
    <t>R. SOLDADO ELIZEU HIPÓLITO, S/N LOTE 2 - QD 22</t>
  </si>
  <si>
    <t xml:space="preserve">RUA SOLDADO RAMIS  MENDES, L 12 QD 19 </t>
  </si>
  <si>
    <t>ESTRADA DO MAGARÇA, 2829</t>
  </si>
  <si>
    <t>RUA JOSÉ FELIPE DE SOUZA, 60</t>
  </si>
  <si>
    <t>BECO DO CAMARÃO, 68 - EST VITOR DUMAS</t>
  </si>
  <si>
    <t>TRAVESSA AURORA,19 - EST VITOR DUMAS</t>
  </si>
  <si>
    <t>RUA CARVALHO SANTOS, 11</t>
  </si>
  <si>
    <t>PRAIA DAS PITANGUEIRAS, 243</t>
  </si>
  <si>
    <t>RUA MITÁ, 115</t>
  </si>
  <si>
    <t>ESTRADA DO DENDÊ, 205</t>
  </si>
  <si>
    <t>RUA JORNALISTA ALAÍDE PIRES, 35</t>
  </si>
  <si>
    <t>RUA DR. BERNARDINO GOMES, 280</t>
  </si>
  <si>
    <t>RUA DR. MANUEL MARREIROS, 2255</t>
  </si>
  <si>
    <t>RIO COMPRIDO</t>
  </si>
  <si>
    <t>SANTA TERESA</t>
  </si>
  <si>
    <t>BENFICA</t>
  </si>
  <si>
    <t>CATUMBI</t>
  </si>
  <si>
    <t>SANTO CRISTO</t>
  </si>
  <si>
    <t>SÃO CRISTÓVÃO</t>
  </si>
  <si>
    <t>TIJUCA</t>
  </si>
  <si>
    <t>ROCINHA</t>
  </si>
  <si>
    <t>BOTAFOGO</t>
  </si>
  <si>
    <t>JARDIM BOTÂNICO</t>
  </si>
  <si>
    <t>COSME VELHO</t>
  </si>
  <si>
    <t>ALTO DA BOA VISTA</t>
  </si>
  <si>
    <t>COPACABANA</t>
  </si>
  <si>
    <t>TURANO / RIO COMPRIDO</t>
  </si>
  <si>
    <t>BOREL / TIJUCA</t>
  </si>
  <si>
    <t>LEBLON</t>
  </si>
  <si>
    <t>CATETE</t>
  </si>
  <si>
    <t>VILA ISABEL</t>
  </si>
  <si>
    <t>LARANJEIRAS</t>
  </si>
  <si>
    <t>VIDIGAL</t>
  </si>
  <si>
    <t>ANDARAÍ</t>
  </si>
  <si>
    <t>IPANEMA</t>
  </si>
  <si>
    <t>GÁVEA</t>
  </si>
  <si>
    <t>SÃO CONRADO</t>
  </si>
  <si>
    <t>LAGOA</t>
  </si>
  <si>
    <t>FLAMENGO</t>
  </si>
  <si>
    <t>ROCHA</t>
  </si>
  <si>
    <t>ENGENHO DE DENTRO</t>
  </si>
  <si>
    <t>SAMPAIO</t>
  </si>
  <si>
    <t>CACHAMBI</t>
  </si>
  <si>
    <t>ABOLIÇÃO</t>
  </si>
  <si>
    <t>INHAÚMA</t>
  </si>
  <si>
    <t>HIGIENÓPOLIS</t>
  </si>
  <si>
    <t>MÉIER</t>
  </si>
  <si>
    <t>LINS DE VASCONCELOS</t>
  </si>
  <si>
    <t>RAMOS</t>
  </si>
  <si>
    <t>JACARÉ</t>
  </si>
  <si>
    <t>PIEDADE</t>
  </si>
  <si>
    <t>DEL CASTILHO</t>
  </si>
  <si>
    <t>PILARES</t>
  </si>
  <si>
    <t>SÃO FRANCISCO XAVIER</t>
  </si>
  <si>
    <t>ENGENHO NOVO</t>
  </si>
  <si>
    <t>MARÉ</t>
  </si>
  <si>
    <t>ENGENHO DA RAINHA</t>
  </si>
  <si>
    <t>PENHA</t>
  </si>
  <si>
    <t>PENHA CIRCULAR</t>
  </si>
  <si>
    <t>VIGÁRIO GERAL</t>
  </si>
  <si>
    <t>VILA DA PENHA</t>
  </si>
  <si>
    <t>PARADA DE LUCAS</t>
  </si>
  <si>
    <t>CORDOVIL</t>
  </si>
  <si>
    <t>BONSUCESSO</t>
  </si>
  <si>
    <t>MANGUINHOS</t>
  </si>
  <si>
    <t>BRÁS DE PINA</t>
  </si>
  <si>
    <t>OLARIA</t>
  </si>
  <si>
    <t>JARDIM AMÉRICA</t>
  </si>
  <si>
    <t>ROCHA MIRANDA</t>
  </si>
  <si>
    <t>IRAJÁ</t>
  </si>
  <si>
    <t>VILA COSMOS</t>
  </si>
  <si>
    <t>CAVALCANTI</t>
  </si>
  <si>
    <t>CAMPINHO</t>
  </si>
  <si>
    <t>VISTA ALEGRE</t>
  </si>
  <si>
    <t>MARECHAL HERMES</t>
  </si>
  <si>
    <t>QUINTINO BOCAIÚVA</t>
  </si>
  <si>
    <t>BENTO RIBEIRO</t>
  </si>
  <si>
    <t>GUADALUPE</t>
  </si>
  <si>
    <t>ACARI</t>
  </si>
  <si>
    <t>ANCHIETA</t>
  </si>
  <si>
    <t>PARQUE ANCHIETA</t>
  </si>
  <si>
    <t>PAVUNA</t>
  </si>
  <si>
    <t>RICARDO DE ALBUQUERQUE</t>
  </si>
  <si>
    <t>FREGUESIA</t>
  </si>
  <si>
    <t>CIDADE DE DEUS / JACAREPAGUÁ</t>
  </si>
  <si>
    <t>VARGEM GRANDE</t>
  </si>
  <si>
    <t>TAQUARA / JACAREPAGUÁ</t>
  </si>
  <si>
    <t>VARGEM PEQUENA</t>
  </si>
  <si>
    <t>RECREIO DOS BANDEIRANTES</t>
  </si>
  <si>
    <t>JACAREPAGUÁ</t>
  </si>
  <si>
    <t>MATO ALTO / JACAREPAGUÁ</t>
  </si>
  <si>
    <t>ITANHANGÁ</t>
  </si>
  <si>
    <t>VILA VALQUEIRE</t>
  </si>
  <si>
    <t>CURICICA</t>
  </si>
  <si>
    <t>REALENGO</t>
  </si>
  <si>
    <t>SENADOR CAMARÁ</t>
  </si>
  <si>
    <t>VILA KENNEDY</t>
  </si>
  <si>
    <t>JABOUR</t>
  </si>
  <si>
    <t>BANGU</t>
  </si>
  <si>
    <t>MAGALHÃES BASTOS</t>
  </si>
  <si>
    <t>PADRE MIGUEL</t>
  </si>
  <si>
    <t>SULACAP</t>
  </si>
  <si>
    <t>CAMPO GRANDE</t>
  </si>
  <si>
    <t>SANTÍSSIMO</t>
  </si>
  <si>
    <t>COSMOS</t>
  </si>
  <si>
    <t>INHOAÍBA</t>
  </si>
  <si>
    <t>SANTA CRUZ</t>
  </si>
  <si>
    <t>PACIÊNCIA</t>
  </si>
  <si>
    <t>GUARATIBA</t>
  </si>
  <si>
    <t>SEPETIBA</t>
  </si>
  <si>
    <t>PEDRA DE GUARATIBA</t>
  </si>
  <si>
    <t>ILHA DO GOVERNADOR / PITANGUEIRAS</t>
  </si>
  <si>
    <t>ILHA DO GOVERNADOR / GUARABU</t>
  </si>
  <si>
    <t>ILHA DO GOVERNADOR / TAUÁ</t>
  </si>
  <si>
    <t>ILHA DO GOVERNADOR / PARQUE ROYAL</t>
  </si>
  <si>
    <t>ILHA DO GOVERNADOR</t>
  </si>
  <si>
    <t>2 ANOS</t>
  </si>
  <si>
    <t>1 ANO</t>
  </si>
  <si>
    <t>6 MESES</t>
  </si>
  <si>
    <t>3 ANOS</t>
  </si>
  <si>
    <t/>
  </si>
  <si>
    <t>Fonte: Anexo XIV de Maio</t>
  </si>
  <si>
    <t>Parceria encerrada em 01/05 - Alunos em transição para Frutificar e Leãozinho</t>
  </si>
  <si>
    <t>Parceria encerrada em 01/05 - Alunos em transição para O Luar e Além do Arco 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</si>
</sst>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BDD7EE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1" fillId="2" borderId="4" xfId="0" applyFont="1" applyFill="1" applyBorder="1" applyAlignment="1">
      <alignment horizontal="centerContinuous" vertical="center"/>
    </xf>
    <xf numFmtId="0" fontId="1" fillId="2" borderId="5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5" fillId="2" borderId="7" xfId="0" applyNumberFormat="1" applyFont="1" applyFill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6E75-4AD1-4329-A193-36E31634B6AA}">
  <dimension ref="A1:AC327"/>
  <sheetViews>
    <sheetView tabSelected="1" workbookViewId="0">
      <pane xSplit="8" ySplit="2" topLeftCell="I3" activePane="bottomRight" state="frozen"/>
      <selection pane="topRight" activeCell="G1" sqref="G1"/>
      <selection pane="bottomLeft" activeCell="A3" sqref="A3"/>
      <selection pane="bottomRight" activeCell="I1" sqref="I1:I1048576"/>
    </sheetView>
  </sheetViews>
  <sheetFormatPr defaultColWidth="9.140625" defaultRowHeight="15" x14ac:dyDescent="0.25"/>
  <cols>
    <col min="1" max="2" width="6.42578125" customWidth="1"/>
    <col min="3" max="3" width="13.7109375" customWidth="1"/>
    <col min="4" max="4" width="12.7109375" customWidth="1"/>
    <col min="5" max="5" width="17.85546875" style="35" customWidth="1"/>
    <col min="6" max="6" width="11.42578125" customWidth="1"/>
    <col min="7" max="7" width="63.5703125" style="18" customWidth="1"/>
    <col min="8" max="8" width="67.85546875" customWidth="1"/>
    <col min="9" max="10" width="55.28515625" customWidth="1"/>
    <col min="11" max="11" width="21.5703125" customWidth="1"/>
    <col min="12" max="12" width="9.140625" bestFit="1" customWidth="1"/>
    <col min="13" max="13" width="13.140625" customWidth="1"/>
    <col min="14" max="17" width="12.7109375" style="19" customWidth="1"/>
    <col min="18" max="18" width="12.140625" style="19" customWidth="1"/>
    <col min="19" max="21" width="12.7109375" style="19" customWidth="1"/>
    <col min="22" max="22" width="10.28515625" customWidth="1"/>
    <col min="23" max="23" width="10.5703125" customWidth="1"/>
    <col min="24" max="25" width="13.85546875" customWidth="1"/>
    <col min="27" max="27" width="14.5703125" customWidth="1"/>
    <col min="28" max="28" width="66.5703125" customWidth="1"/>
    <col min="29" max="29" width="54.7109375" hidden="1" customWidth="1"/>
  </cols>
  <sheetData>
    <row r="1" spans="1:29" ht="43.5" customHeight="1" x14ac:dyDescent="0.25">
      <c r="A1" s="1" t="s">
        <v>0</v>
      </c>
      <c r="B1" s="2"/>
      <c r="C1" s="3" t="s">
        <v>965</v>
      </c>
      <c r="D1" s="3" t="s">
        <v>120</v>
      </c>
      <c r="E1" s="32" t="s">
        <v>138</v>
      </c>
      <c r="F1" s="3" t="s">
        <v>952</v>
      </c>
      <c r="G1" s="3" t="s">
        <v>1</v>
      </c>
      <c r="H1" s="4" t="s">
        <v>2</v>
      </c>
      <c r="I1" s="4" t="s">
        <v>3</v>
      </c>
      <c r="J1" s="4" t="s">
        <v>4</v>
      </c>
      <c r="K1" s="5" t="s">
        <v>5</v>
      </c>
      <c r="L1" s="5" t="s">
        <v>6</v>
      </c>
      <c r="M1" s="5" t="s">
        <v>7</v>
      </c>
      <c r="N1" s="1" t="s">
        <v>8</v>
      </c>
      <c r="O1" s="2"/>
      <c r="P1" s="22" t="s">
        <v>9</v>
      </c>
      <c r="Q1" s="23"/>
      <c r="R1" s="22" t="s">
        <v>10</v>
      </c>
      <c r="S1" s="23"/>
      <c r="T1" s="22" t="s">
        <v>11</v>
      </c>
      <c r="U1" s="23"/>
      <c r="V1" s="6" t="s">
        <v>12</v>
      </c>
      <c r="W1" s="3" t="s">
        <v>13</v>
      </c>
      <c r="X1" s="3" t="s">
        <v>14</v>
      </c>
      <c r="Y1" s="3" t="s">
        <v>15</v>
      </c>
      <c r="Z1" s="7" t="s">
        <v>16</v>
      </c>
      <c r="AA1" s="3" t="s">
        <v>17</v>
      </c>
      <c r="AB1" s="3" t="s">
        <v>18</v>
      </c>
      <c r="AC1" s="3" t="s">
        <v>19</v>
      </c>
    </row>
    <row r="2" spans="1:29" ht="21" customHeight="1" x14ac:dyDescent="0.25">
      <c r="A2" s="8" t="s">
        <v>0</v>
      </c>
      <c r="B2" s="8" t="s">
        <v>20</v>
      </c>
      <c r="C2" s="28" t="s">
        <v>965</v>
      </c>
      <c r="D2" s="26" t="s">
        <v>120</v>
      </c>
      <c r="E2" s="33" t="s">
        <v>138</v>
      </c>
      <c r="F2" s="33" t="s">
        <v>952</v>
      </c>
      <c r="G2" s="28" t="s">
        <v>21</v>
      </c>
      <c r="H2" s="24" t="s">
        <v>22</v>
      </c>
      <c r="I2" s="24" t="s">
        <v>23</v>
      </c>
      <c r="J2" s="25" t="s">
        <v>24</v>
      </c>
      <c r="K2" s="26" t="s">
        <v>25</v>
      </c>
      <c r="L2" s="26" t="s">
        <v>26</v>
      </c>
      <c r="M2" s="26" t="s">
        <v>27</v>
      </c>
      <c r="N2" s="8" t="s">
        <v>28</v>
      </c>
      <c r="O2" s="8" t="s">
        <v>29</v>
      </c>
      <c r="P2" s="8" t="s">
        <v>30</v>
      </c>
      <c r="Q2" s="8" t="s">
        <v>31</v>
      </c>
      <c r="R2" s="8" t="s">
        <v>32</v>
      </c>
      <c r="S2" s="8" t="s">
        <v>33</v>
      </c>
      <c r="T2" s="8" t="s">
        <v>34</v>
      </c>
      <c r="U2" s="8" t="s">
        <v>35</v>
      </c>
      <c r="V2" s="27" t="s">
        <v>36</v>
      </c>
      <c r="W2" s="28" t="s">
        <v>37</v>
      </c>
      <c r="X2" s="28" t="s">
        <v>38</v>
      </c>
      <c r="Y2" s="28" t="s">
        <v>39</v>
      </c>
      <c r="Z2" s="29" t="s">
        <v>40</v>
      </c>
      <c r="AA2" s="28" t="s">
        <v>41</v>
      </c>
      <c r="AB2" s="28" t="s">
        <v>42</v>
      </c>
      <c r="AC2" s="28" t="s">
        <v>43</v>
      </c>
    </row>
    <row r="3" spans="1:29" s="21" customFormat="1" ht="13.5" customHeight="1" x14ac:dyDescent="0.2">
      <c r="A3" s="9">
        <v>1</v>
      </c>
      <c r="B3" s="9">
        <v>1</v>
      </c>
      <c r="C3" s="10">
        <v>1005</v>
      </c>
      <c r="D3" s="9">
        <v>33184437</v>
      </c>
      <c r="E3" s="34" t="s">
        <v>430</v>
      </c>
      <c r="F3" s="10" t="s">
        <v>651</v>
      </c>
      <c r="G3" s="11" t="s">
        <v>44</v>
      </c>
      <c r="H3" s="12" t="s">
        <v>966</v>
      </c>
      <c r="I3" s="12" t="s">
        <v>1230</v>
      </c>
      <c r="J3" s="12" t="s">
        <v>1353</v>
      </c>
      <c r="K3" s="37" t="s">
        <v>1660</v>
      </c>
      <c r="L3" s="13">
        <v>40</v>
      </c>
      <c r="M3" s="13" t="s">
        <v>1763</v>
      </c>
      <c r="N3" s="14">
        <v>0</v>
      </c>
      <c r="O3" s="14">
        <v>0</v>
      </c>
      <c r="P3" s="14">
        <v>0</v>
      </c>
      <c r="Q3" s="14">
        <v>0</v>
      </c>
      <c r="R3" s="14">
        <v>20</v>
      </c>
      <c r="S3" s="14">
        <v>0</v>
      </c>
      <c r="T3" s="14">
        <v>20</v>
      </c>
      <c r="U3" s="14">
        <v>0</v>
      </c>
      <c r="V3" s="15">
        <f t="shared" ref="V3:W18" si="0">SUM(N3,P3,R3,T3)</f>
        <v>40</v>
      </c>
      <c r="W3" s="14">
        <f t="shared" si="0"/>
        <v>0</v>
      </c>
      <c r="X3" s="14">
        <f t="shared" ref="X3:X66" si="1">IF((O3+Q3)&gt;=1,2,0)</f>
        <v>0</v>
      </c>
      <c r="Y3" s="14">
        <f t="shared" ref="Y3:Y66" si="2">IF((S3+U3)&gt;=1,2,0)</f>
        <v>0</v>
      </c>
      <c r="Z3" s="16">
        <f t="shared" ref="Z3:Z66" si="3">IF(SUM(L3-V3-(X3+Y3))&lt;=0,0,SUM(L3-V3-(X3+Y3)))</f>
        <v>0</v>
      </c>
      <c r="AA3" s="14">
        <f t="shared" ref="AA3:AA66" si="4">IF(SUM(L3-V3-(X3+Y3))&lt;0,SUM(L3-V3-(X3+Y3)),0)</f>
        <v>0</v>
      </c>
      <c r="AB3" s="17"/>
      <c r="AC3" s="17"/>
    </row>
    <row r="4" spans="1:29" s="21" customFormat="1" ht="13.5" customHeight="1" x14ac:dyDescent="0.2">
      <c r="A4" s="9">
        <v>1</v>
      </c>
      <c r="B4" s="9">
        <v>2</v>
      </c>
      <c r="C4" s="10">
        <v>1004</v>
      </c>
      <c r="D4" s="9">
        <v>33122261</v>
      </c>
      <c r="E4" s="34" t="s">
        <v>431</v>
      </c>
      <c r="F4" s="10" t="s">
        <v>652</v>
      </c>
      <c r="G4" s="11" t="s">
        <v>45</v>
      </c>
      <c r="H4" s="12" t="s">
        <v>967</v>
      </c>
      <c r="I4" s="12" t="s">
        <v>1231</v>
      </c>
      <c r="J4" s="12" t="s">
        <v>1354</v>
      </c>
      <c r="K4" s="37" t="s">
        <v>1661</v>
      </c>
      <c r="L4" s="13">
        <v>50</v>
      </c>
      <c r="M4" s="13" t="s">
        <v>1763</v>
      </c>
      <c r="N4" s="14">
        <v>0</v>
      </c>
      <c r="O4" s="14">
        <v>0</v>
      </c>
      <c r="P4" s="14">
        <v>0</v>
      </c>
      <c r="Q4" s="14">
        <v>0</v>
      </c>
      <c r="R4" s="14">
        <v>25</v>
      </c>
      <c r="S4" s="14">
        <v>0</v>
      </c>
      <c r="T4" s="14">
        <v>25</v>
      </c>
      <c r="U4" s="14">
        <v>0</v>
      </c>
      <c r="V4" s="15">
        <f t="shared" si="0"/>
        <v>50</v>
      </c>
      <c r="W4" s="14">
        <f t="shared" si="0"/>
        <v>0</v>
      </c>
      <c r="X4" s="14">
        <f t="shared" si="1"/>
        <v>0</v>
      </c>
      <c r="Y4" s="14">
        <f t="shared" si="2"/>
        <v>0</v>
      </c>
      <c r="Z4" s="16">
        <f t="shared" si="3"/>
        <v>0</v>
      </c>
      <c r="AA4" s="14">
        <f t="shared" si="4"/>
        <v>0</v>
      </c>
      <c r="AB4" s="17"/>
      <c r="AC4" s="17"/>
    </row>
    <row r="5" spans="1:29" s="21" customFormat="1" ht="13.5" customHeight="1" x14ac:dyDescent="0.2">
      <c r="A5" s="9">
        <v>1</v>
      </c>
      <c r="B5" s="9">
        <v>3</v>
      </c>
      <c r="C5" s="10">
        <v>1006</v>
      </c>
      <c r="D5" s="9">
        <v>33188564</v>
      </c>
      <c r="E5" s="34" t="s">
        <v>432</v>
      </c>
      <c r="F5" s="10" t="s">
        <v>653</v>
      </c>
      <c r="G5" s="11" t="s">
        <v>46</v>
      </c>
      <c r="H5" s="12" t="s">
        <v>968</v>
      </c>
      <c r="I5" s="12" t="s">
        <v>1232</v>
      </c>
      <c r="J5" s="12" t="s">
        <v>1355</v>
      </c>
      <c r="K5" s="37" t="s">
        <v>1662</v>
      </c>
      <c r="L5" s="13">
        <v>147</v>
      </c>
      <c r="M5" s="13" t="s">
        <v>1764</v>
      </c>
      <c r="N5" s="14">
        <v>0</v>
      </c>
      <c r="O5" s="14">
        <v>0</v>
      </c>
      <c r="P5" s="14">
        <v>44</v>
      </c>
      <c r="Q5" s="14">
        <v>0</v>
      </c>
      <c r="R5" s="14">
        <v>45</v>
      </c>
      <c r="S5" s="14">
        <v>0</v>
      </c>
      <c r="T5" s="14">
        <v>59</v>
      </c>
      <c r="U5" s="14">
        <v>0</v>
      </c>
      <c r="V5" s="15">
        <f t="shared" si="0"/>
        <v>148</v>
      </c>
      <c r="W5" s="14">
        <f t="shared" si="0"/>
        <v>0</v>
      </c>
      <c r="X5" s="14">
        <f t="shared" si="1"/>
        <v>0</v>
      </c>
      <c r="Y5" s="14">
        <f t="shared" si="2"/>
        <v>0</v>
      </c>
      <c r="Z5" s="16">
        <f t="shared" si="3"/>
        <v>0</v>
      </c>
      <c r="AA5" s="14">
        <f t="shared" si="4"/>
        <v>-1</v>
      </c>
      <c r="AB5" s="17"/>
      <c r="AC5" s="17"/>
    </row>
    <row r="6" spans="1:29" s="21" customFormat="1" ht="13.5" customHeight="1" x14ac:dyDescent="0.2">
      <c r="A6" s="9">
        <v>1</v>
      </c>
      <c r="B6" s="9">
        <v>4</v>
      </c>
      <c r="C6" s="10">
        <v>1007</v>
      </c>
      <c r="D6" s="9">
        <v>33062978</v>
      </c>
      <c r="E6" s="34" t="s">
        <v>433</v>
      </c>
      <c r="F6" s="10" t="s">
        <v>654</v>
      </c>
      <c r="G6" s="11" t="s">
        <v>47</v>
      </c>
      <c r="H6" s="12" t="s">
        <v>969</v>
      </c>
      <c r="I6" s="12" t="s">
        <v>1233</v>
      </c>
      <c r="J6" s="12" t="s">
        <v>1356</v>
      </c>
      <c r="K6" s="37" t="s">
        <v>1663</v>
      </c>
      <c r="L6" s="13">
        <v>30</v>
      </c>
      <c r="M6" s="13" t="s">
        <v>1763</v>
      </c>
      <c r="N6" s="14">
        <v>0</v>
      </c>
      <c r="O6" s="14">
        <v>0</v>
      </c>
      <c r="P6" s="14">
        <v>0</v>
      </c>
      <c r="Q6" s="14">
        <v>0</v>
      </c>
      <c r="R6" s="14">
        <v>15</v>
      </c>
      <c r="S6" s="14">
        <v>1</v>
      </c>
      <c r="T6" s="14">
        <v>14</v>
      </c>
      <c r="U6" s="14">
        <v>1</v>
      </c>
      <c r="V6" s="15">
        <f t="shared" si="0"/>
        <v>29</v>
      </c>
      <c r="W6" s="14">
        <f t="shared" si="0"/>
        <v>2</v>
      </c>
      <c r="X6" s="14">
        <f t="shared" si="1"/>
        <v>0</v>
      </c>
      <c r="Y6" s="14">
        <f t="shared" si="2"/>
        <v>2</v>
      </c>
      <c r="Z6" s="16">
        <f t="shared" si="3"/>
        <v>0</v>
      </c>
      <c r="AA6" s="14">
        <f t="shared" si="4"/>
        <v>-1</v>
      </c>
      <c r="AB6" s="17"/>
      <c r="AC6" s="17" t="s">
        <v>48</v>
      </c>
    </row>
    <row r="7" spans="1:29" s="21" customFormat="1" ht="13.5" customHeight="1" x14ac:dyDescent="0.2">
      <c r="A7" s="9">
        <v>1</v>
      </c>
      <c r="B7" s="9">
        <v>5</v>
      </c>
      <c r="C7" s="10">
        <v>1009</v>
      </c>
      <c r="D7" s="9">
        <v>33194785</v>
      </c>
      <c r="E7" s="34" t="s">
        <v>434</v>
      </c>
      <c r="F7" s="10" t="s">
        <v>655</v>
      </c>
      <c r="G7" s="11" t="s">
        <v>50</v>
      </c>
      <c r="H7" s="12" t="s">
        <v>51</v>
      </c>
      <c r="I7" s="12" t="s">
        <v>1234</v>
      </c>
      <c r="J7" s="12" t="s">
        <v>1357</v>
      </c>
      <c r="K7" s="37" t="s">
        <v>1664</v>
      </c>
      <c r="L7" s="13">
        <v>130</v>
      </c>
      <c r="M7" s="13" t="s">
        <v>1765</v>
      </c>
      <c r="N7" s="14">
        <v>16</v>
      </c>
      <c r="O7" s="14">
        <v>0</v>
      </c>
      <c r="P7" s="14">
        <v>23</v>
      </c>
      <c r="Q7" s="14">
        <v>0</v>
      </c>
      <c r="R7" s="14">
        <v>48</v>
      </c>
      <c r="S7" s="14">
        <v>1</v>
      </c>
      <c r="T7" s="14">
        <v>43</v>
      </c>
      <c r="U7" s="14">
        <v>0</v>
      </c>
      <c r="V7" s="15">
        <f t="shared" si="0"/>
        <v>130</v>
      </c>
      <c r="W7" s="14">
        <f t="shared" si="0"/>
        <v>1</v>
      </c>
      <c r="X7" s="14">
        <f t="shared" si="1"/>
        <v>0</v>
      </c>
      <c r="Y7" s="14">
        <f t="shared" si="2"/>
        <v>2</v>
      </c>
      <c r="Z7" s="16">
        <f t="shared" si="3"/>
        <v>0</v>
      </c>
      <c r="AA7" s="14">
        <f t="shared" si="4"/>
        <v>-2</v>
      </c>
      <c r="AB7" s="17"/>
      <c r="AC7" s="17" t="s">
        <v>52</v>
      </c>
    </row>
    <row r="8" spans="1:29" s="21" customFormat="1" ht="13.5" customHeight="1" x14ac:dyDescent="0.2">
      <c r="A8" s="9">
        <v>1</v>
      </c>
      <c r="B8" s="9">
        <v>6</v>
      </c>
      <c r="C8" s="10">
        <v>1010</v>
      </c>
      <c r="D8" s="9">
        <v>33196311</v>
      </c>
      <c r="E8" s="34" t="s">
        <v>435</v>
      </c>
      <c r="F8" s="10" t="s">
        <v>656</v>
      </c>
      <c r="G8" s="11" t="s">
        <v>139</v>
      </c>
      <c r="H8" s="12" t="s">
        <v>970</v>
      </c>
      <c r="I8" s="12" t="s">
        <v>53</v>
      </c>
      <c r="J8" s="12" t="s">
        <v>1358</v>
      </c>
      <c r="K8" s="37" t="s">
        <v>1665</v>
      </c>
      <c r="L8" s="13">
        <v>297</v>
      </c>
      <c r="M8" s="13" t="s">
        <v>1765</v>
      </c>
      <c r="N8" s="14">
        <v>0</v>
      </c>
      <c r="O8" s="14">
        <v>0</v>
      </c>
      <c r="P8" s="14">
        <v>112</v>
      </c>
      <c r="Q8" s="14">
        <v>1</v>
      </c>
      <c r="R8" s="14">
        <v>107</v>
      </c>
      <c r="S8" s="14">
        <v>1</v>
      </c>
      <c r="T8" s="14">
        <v>78</v>
      </c>
      <c r="U8" s="14">
        <v>0</v>
      </c>
      <c r="V8" s="15">
        <f t="shared" si="0"/>
        <v>297</v>
      </c>
      <c r="W8" s="14">
        <f t="shared" si="0"/>
        <v>2</v>
      </c>
      <c r="X8" s="14">
        <f t="shared" si="1"/>
        <v>2</v>
      </c>
      <c r="Y8" s="14">
        <f t="shared" si="2"/>
        <v>2</v>
      </c>
      <c r="Z8" s="16">
        <f t="shared" si="3"/>
        <v>0</v>
      </c>
      <c r="AA8" s="14">
        <f t="shared" si="4"/>
        <v>-4</v>
      </c>
      <c r="AB8" s="17"/>
      <c r="AC8" s="17" t="s">
        <v>54</v>
      </c>
    </row>
    <row r="9" spans="1:29" s="21" customFormat="1" ht="13.5" customHeight="1" x14ac:dyDescent="0.2">
      <c r="A9" s="9">
        <v>2</v>
      </c>
      <c r="B9" s="9">
        <v>1</v>
      </c>
      <c r="C9" s="10">
        <v>2009</v>
      </c>
      <c r="D9" s="9">
        <v>33108064</v>
      </c>
      <c r="E9" s="34" t="s">
        <v>436</v>
      </c>
      <c r="F9" s="10" t="s">
        <v>657</v>
      </c>
      <c r="G9" s="11" t="s">
        <v>140</v>
      </c>
      <c r="H9" s="12" t="s">
        <v>971</v>
      </c>
      <c r="I9" s="12" t="s">
        <v>971</v>
      </c>
      <c r="J9" s="12" t="s">
        <v>1359</v>
      </c>
      <c r="K9" s="37" t="s">
        <v>1666</v>
      </c>
      <c r="L9" s="13">
        <v>96</v>
      </c>
      <c r="M9" s="13" t="s">
        <v>1763</v>
      </c>
      <c r="N9" s="14">
        <v>0</v>
      </c>
      <c r="O9" s="14">
        <v>0</v>
      </c>
      <c r="P9" s="14">
        <v>0</v>
      </c>
      <c r="Q9" s="14">
        <v>0</v>
      </c>
      <c r="R9" s="14">
        <v>46</v>
      </c>
      <c r="S9" s="14">
        <v>2</v>
      </c>
      <c r="T9" s="14">
        <v>46</v>
      </c>
      <c r="U9" s="14">
        <v>2</v>
      </c>
      <c r="V9" s="15">
        <f t="shared" si="0"/>
        <v>92</v>
      </c>
      <c r="W9" s="14">
        <f t="shared" si="0"/>
        <v>4</v>
      </c>
      <c r="X9" s="14">
        <f t="shared" si="1"/>
        <v>0</v>
      </c>
      <c r="Y9" s="14">
        <f t="shared" si="2"/>
        <v>2</v>
      </c>
      <c r="Z9" s="16">
        <f t="shared" si="3"/>
        <v>2</v>
      </c>
      <c r="AA9" s="14">
        <f t="shared" si="4"/>
        <v>0</v>
      </c>
      <c r="AB9" s="17"/>
      <c r="AC9" s="17"/>
    </row>
    <row r="10" spans="1:29" s="21" customFormat="1" ht="13.5" customHeight="1" x14ac:dyDescent="0.2">
      <c r="A10" s="9">
        <v>2</v>
      </c>
      <c r="B10" s="9">
        <v>2</v>
      </c>
      <c r="C10" s="10">
        <v>2004</v>
      </c>
      <c r="D10" s="9">
        <v>33095450</v>
      </c>
      <c r="E10" s="34" t="s">
        <v>437</v>
      </c>
      <c r="F10" s="10" t="s">
        <v>658</v>
      </c>
      <c r="G10" s="11" t="s">
        <v>141</v>
      </c>
      <c r="H10" s="12" t="s">
        <v>972</v>
      </c>
      <c r="I10" s="12" t="s">
        <v>1235</v>
      </c>
      <c r="J10" s="12" t="s">
        <v>1360</v>
      </c>
      <c r="K10" s="37" t="s">
        <v>1667</v>
      </c>
      <c r="L10" s="13">
        <v>179</v>
      </c>
      <c r="M10" s="13" t="s">
        <v>1765</v>
      </c>
      <c r="N10" s="14">
        <v>19</v>
      </c>
      <c r="O10" s="14">
        <v>0</v>
      </c>
      <c r="P10" s="14">
        <v>27</v>
      </c>
      <c r="Q10" s="14">
        <v>2</v>
      </c>
      <c r="R10" s="14">
        <v>63</v>
      </c>
      <c r="S10" s="14">
        <v>2</v>
      </c>
      <c r="T10" s="14">
        <v>63</v>
      </c>
      <c r="U10" s="14">
        <v>2</v>
      </c>
      <c r="V10" s="15">
        <f t="shared" si="0"/>
        <v>172</v>
      </c>
      <c r="W10" s="14">
        <f t="shared" si="0"/>
        <v>6</v>
      </c>
      <c r="X10" s="14">
        <f t="shared" si="1"/>
        <v>2</v>
      </c>
      <c r="Y10" s="14">
        <f t="shared" si="2"/>
        <v>2</v>
      </c>
      <c r="Z10" s="16">
        <f t="shared" si="3"/>
        <v>3</v>
      </c>
      <c r="AA10" s="14">
        <f t="shared" si="4"/>
        <v>0</v>
      </c>
      <c r="AB10" s="17"/>
      <c r="AC10" s="17"/>
    </row>
    <row r="11" spans="1:29" s="21" customFormat="1" ht="13.5" customHeight="1" x14ac:dyDescent="0.2">
      <c r="A11" s="9">
        <v>2</v>
      </c>
      <c r="B11" s="9">
        <v>3</v>
      </c>
      <c r="C11" s="10">
        <v>2029</v>
      </c>
      <c r="D11" s="9">
        <v>33122695</v>
      </c>
      <c r="E11" s="34" t="s">
        <v>438</v>
      </c>
      <c r="F11" s="10" t="s">
        <v>659</v>
      </c>
      <c r="G11" s="11" t="s">
        <v>142</v>
      </c>
      <c r="H11" s="12" t="s">
        <v>973</v>
      </c>
      <c r="I11" s="12" t="s">
        <v>1236</v>
      </c>
      <c r="J11" s="12" t="s">
        <v>1361</v>
      </c>
      <c r="K11" s="37" t="s">
        <v>1668</v>
      </c>
      <c r="L11" s="13">
        <v>192</v>
      </c>
      <c r="M11" s="13" t="s">
        <v>1765</v>
      </c>
      <c r="N11" s="14">
        <v>10</v>
      </c>
      <c r="O11" s="14">
        <v>0</v>
      </c>
      <c r="P11" s="14">
        <v>41</v>
      </c>
      <c r="Q11" s="14">
        <v>0</v>
      </c>
      <c r="R11" s="14">
        <v>69</v>
      </c>
      <c r="S11" s="14">
        <v>0</v>
      </c>
      <c r="T11" s="14">
        <v>72</v>
      </c>
      <c r="U11" s="14">
        <v>0</v>
      </c>
      <c r="V11" s="15">
        <f t="shared" si="0"/>
        <v>192</v>
      </c>
      <c r="W11" s="14">
        <f t="shared" si="0"/>
        <v>0</v>
      </c>
      <c r="X11" s="14">
        <f t="shared" si="1"/>
        <v>0</v>
      </c>
      <c r="Y11" s="14">
        <f t="shared" si="2"/>
        <v>0</v>
      </c>
      <c r="Z11" s="16">
        <f t="shared" si="3"/>
        <v>0</v>
      </c>
      <c r="AA11" s="14">
        <f t="shared" si="4"/>
        <v>0</v>
      </c>
      <c r="AB11" s="17"/>
      <c r="AC11" s="17"/>
    </row>
    <row r="12" spans="1:29" s="21" customFormat="1" ht="13.5" customHeight="1" x14ac:dyDescent="0.2">
      <c r="A12" s="9">
        <v>2</v>
      </c>
      <c r="B12" s="9">
        <v>4</v>
      </c>
      <c r="C12" s="10">
        <v>2020</v>
      </c>
      <c r="D12" s="9">
        <v>33120951</v>
      </c>
      <c r="E12" s="34" t="s">
        <v>439</v>
      </c>
      <c r="F12" s="10" t="s">
        <v>660</v>
      </c>
      <c r="G12" s="11" t="s">
        <v>143</v>
      </c>
      <c r="H12" s="12" t="s">
        <v>974</v>
      </c>
      <c r="I12" s="12" t="s">
        <v>974</v>
      </c>
      <c r="J12" s="12" t="s">
        <v>1362</v>
      </c>
      <c r="K12" s="37" t="s">
        <v>1667</v>
      </c>
      <c r="L12" s="13">
        <v>120</v>
      </c>
      <c r="M12" s="13" t="s">
        <v>1765</v>
      </c>
      <c r="N12" s="14">
        <v>10</v>
      </c>
      <c r="O12" s="14">
        <v>0</v>
      </c>
      <c r="P12" s="14">
        <v>33</v>
      </c>
      <c r="Q12" s="14">
        <v>0</v>
      </c>
      <c r="R12" s="14">
        <v>37</v>
      </c>
      <c r="S12" s="14">
        <v>0</v>
      </c>
      <c r="T12" s="14">
        <v>39</v>
      </c>
      <c r="U12" s="14">
        <v>0</v>
      </c>
      <c r="V12" s="15">
        <f t="shared" si="0"/>
        <v>119</v>
      </c>
      <c r="W12" s="14">
        <f t="shared" si="0"/>
        <v>0</v>
      </c>
      <c r="X12" s="14">
        <f t="shared" si="1"/>
        <v>0</v>
      </c>
      <c r="Y12" s="14">
        <f t="shared" si="2"/>
        <v>0</v>
      </c>
      <c r="Z12" s="16">
        <f t="shared" si="3"/>
        <v>1</v>
      </c>
      <c r="AA12" s="14">
        <f t="shared" si="4"/>
        <v>0</v>
      </c>
      <c r="AB12" s="17"/>
      <c r="AC12" s="17"/>
    </row>
    <row r="13" spans="1:29" s="21" customFormat="1" ht="13.5" customHeight="1" x14ac:dyDescent="0.2">
      <c r="A13" s="9">
        <v>2</v>
      </c>
      <c r="B13" s="9">
        <v>5</v>
      </c>
      <c r="C13" s="10">
        <v>2016</v>
      </c>
      <c r="D13" s="9">
        <v>33116113</v>
      </c>
      <c r="E13" s="34" t="s">
        <v>440</v>
      </c>
      <c r="F13" s="10" t="s">
        <v>661</v>
      </c>
      <c r="G13" s="11" t="s">
        <v>144</v>
      </c>
      <c r="H13" s="12" t="s">
        <v>975</v>
      </c>
      <c r="I13" s="12" t="s">
        <v>1237</v>
      </c>
      <c r="J13" s="12" t="s">
        <v>1363</v>
      </c>
      <c r="K13" s="37" t="s">
        <v>1669</v>
      </c>
      <c r="L13" s="13">
        <v>140</v>
      </c>
      <c r="M13" s="13" t="s">
        <v>1764</v>
      </c>
      <c r="N13" s="14">
        <v>17</v>
      </c>
      <c r="O13" s="14">
        <v>0</v>
      </c>
      <c r="P13" s="14">
        <v>31</v>
      </c>
      <c r="Q13" s="14">
        <v>0</v>
      </c>
      <c r="R13" s="14">
        <v>35</v>
      </c>
      <c r="S13" s="14">
        <v>0</v>
      </c>
      <c r="T13" s="14">
        <v>41</v>
      </c>
      <c r="U13" s="14">
        <v>1</v>
      </c>
      <c r="V13" s="15">
        <f t="shared" si="0"/>
        <v>124</v>
      </c>
      <c r="W13" s="14">
        <f t="shared" si="0"/>
        <v>1</v>
      </c>
      <c r="X13" s="14">
        <f t="shared" si="1"/>
        <v>0</v>
      </c>
      <c r="Y13" s="14">
        <f t="shared" si="2"/>
        <v>2</v>
      </c>
      <c r="Z13" s="16">
        <f t="shared" si="3"/>
        <v>14</v>
      </c>
      <c r="AA13" s="14">
        <f t="shared" si="4"/>
        <v>0</v>
      </c>
      <c r="AB13" s="17"/>
      <c r="AC13" s="17"/>
    </row>
    <row r="14" spans="1:29" s="21" customFormat="1" ht="13.5" customHeight="1" x14ac:dyDescent="0.2">
      <c r="A14" s="9">
        <v>2</v>
      </c>
      <c r="B14" s="9">
        <v>6</v>
      </c>
      <c r="C14" s="10">
        <v>2031</v>
      </c>
      <c r="D14" s="9">
        <v>33122890</v>
      </c>
      <c r="E14" s="34" t="s">
        <v>441</v>
      </c>
      <c r="F14" s="10" t="s">
        <v>662</v>
      </c>
      <c r="G14" s="11" t="s">
        <v>145</v>
      </c>
      <c r="H14" s="12" t="s">
        <v>976</v>
      </c>
      <c r="I14" s="12" t="s">
        <v>976</v>
      </c>
      <c r="J14" s="12" t="s">
        <v>1364</v>
      </c>
      <c r="K14" s="37" t="s">
        <v>1667</v>
      </c>
      <c r="L14" s="13">
        <v>72</v>
      </c>
      <c r="M14" s="13" t="s">
        <v>1763</v>
      </c>
      <c r="N14" s="14">
        <v>0</v>
      </c>
      <c r="O14" s="14">
        <v>0</v>
      </c>
      <c r="P14" s="14">
        <v>0</v>
      </c>
      <c r="Q14" s="14">
        <v>0</v>
      </c>
      <c r="R14" s="14">
        <v>26</v>
      </c>
      <c r="S14" s="14">
        <v>0</v>
      </c>
      <c r="T14" s="14">
        <v>46</v>
      </c>
      <c r="U14" s="14">
        <v>1</v>
      </c>
      <c r="V14" s="15">
        <f t="shared" si="0"/>
        <v>72</v>
      </c>
      <c r="W14" s="14">
        <f t="shared" si="0"/>
        <v>1</v>
      </c>
      <c r="X14" s="14">
        <f t="shared" si="1"/>
        <v>0</v>
      </c>
      <c r="Y14" s="14">
        <f t="shared" si="2"/>
        <v>2</v>
      </c>
      <c r="Z14" s="16">
        <f t="shared" si="3"/>
        <v>0</v>
      </c>
      <c r="AA14" s="14">
        <f t="shared" si="4"/>
        <v>-2</v>
      </c>
      <c r="AB14" s="17"/>
      <c r="AC14" s="17"/>
    </row>
    <row r="15" spans="1:29" s="21" customFormat="1" ht="13.5" customHeight="1" x14ac:dyDescent="0.2">
      <c r="A15" s="9">
        <v>2</v>
      </c>
      <c r="B15" s="9">
        <v>7</v>
      </c>
      <c r="C15" s="10">
        <v>2003</v>
      </c>
      <c r="D15" s="9">
        <v>33095388</v>
      </c>
      <c r="E15" s="34" t="s">
        <v>442</v>
      </c>
      <c r="F15" s="10" t="s">
        <v>663</v>
      </c>
      <c r="G15" s="11" t="s">
        <v>146</v>
      </c>
      <c r="H15" s="12" t="s">
        <v>977</v>
      </c>
      <c r="I15" s="12" t="s">
        <v>977</v>
      </c>
      <c r="J15" s="12" t="s">
        <v>1365</v>
      </c>
      <c r="K15" s="37" t="s">
        <v>1667</v>
      </c>
      <c r="L15" s="13">
        <v>140</v>
      </c>
      <c r="M15" s="13" t="s">
        <v>1764</v>
      </c>
      <c r="N15" s="14">
        <v>18</v>
      </c>
      <c r="O15" s="14">
        <v>0</v>
      </c>
      <c r="P15" s="14">
        <v>38</v>
      </c>
      <c r="Q15" s="14">
        <v>1</v>
      </c>
      <c r="R15" s="14">
        <v>27</v>
      </c>
      <c r="S15" s="14">
        <v>0</v>
      </c>
      <c r="T15" s="14">
        <v>58</v>
      </c>
      <c r="U15" s="14">
        <v>2</v>
      </c>
      <c r="V15" s="15">
        <f t="shared" si="0"/>
        <v>141</v>
      </c>
      <c r="W15" s="14">
        <f t="shared" si="0"/>
        <v>3</v>
      </c>
      <c r="X15" s="14">
        <f t="shared" si="1"/>
        <v>2</v>
      </c>
      <c r="Y15" s="14">
        <f t="shared" si="2"/>
        <v>2</v>
      </c>
      <c r="Z15" s="16">
        <f t="shared" si="3"/>
        <v>0</v>
      </c>
      <c r="AA15" s="14">
        <f t="shared" si="4"/>
        <v>-5</v>
      </c>
      <c r="AB15" s="17"/>
      <c r="AC15" s="17"/>
    </row>
    <row r="16" spans="1:29" s="21" customFormat="1" ht="13.5" customHeight="1" x14ac:dyDescent="0.2">
      <c r="A16" s="9">
        <v>2</v>
      </c>
      <c r="B16" s="9">
        <v>8</v>
      </c>
      <c r="C16" s="10">
        <v>2013</v>
      </c>
      <c r="D16" s="9">
        <v>33114480</v>
      </c>
      <c r="E16" s="34" t="s">
        <v>443</v>
      </c>
      <c r="F16" s="10" t="s">
        <v>664</v>
      </c>
      <c r="G16" s="11" t="s">
        <v>147</v>
      </c>
      <c r="H16" s="12" t="s">
        <v>978</v>
      </c>
      <c r="I16" s="12" t="s">
        <v>1238</v>
      </c>
      <c r="J16" s="12" t="s">
        <v>1366</v>
      </c>
      <c r="K16" s="37" t="s">
        <v>1670</v>
      </c>
      <c r="L16" s="13">
        <v>65</v>
      </c>
      <c r="M16" s="13" t="s">
        <v>1763</v>
      </c>
      <c r="N16" s="14">
        <v>0</v>
      </c>
      <c r="O16" s="14">
        <v>0</v>
      </c>
      <c r="P16" s="14">
        <v>0</v>
      </c>
      <c r="Q16" s="14">
        <v>0</v>
      </c>
      <c r="R16" s="14">
        <v>30</v>
      </c>
      <c r="S16" s="14">
        <v>0</v>
      </c>
      <c r="T16" s="14">
        <v>35</v>
      </c>
      <c r="U16" s="14">
        <v>2</v>
      </c>
      <c r="V16" s="15">
        <f t="shared" si="0"/>
        <v>65</v>
      </c>
      <c r="W16" s="14">
        <f t="shared" si="0"/>
        <v>2</v>
      </c>
      <c r="X16" s="14">
        <f t="shared" si="1"/>
        <v>0</v>
      </c>
      <c r="Y16" s="14">
        <f t="shared" si="2"/>
        <v>2</v>
      </c>
      <c r="Z16" s="16">
        <f t="shared" si="3"/>
        <v>0</v>
      </c>
      <c r="AA16" s="14">
        <f t="shared" si="4"/>
        <v>-2</v>
      </c>
      <c r="AB16" s="17"/>
      <c r="AC16" s="17"/>
    </row>
    <row r="17" spans="1:29" s="21" customFormat="1" ht="13.5" customHeight="1" x14ac:dyDescent="0.2">
      <c r="A17" s="9">
        <v>2</v>
      </c>
      <c r="B17" s="9">
        <v>9</v>
      </c>
      <c r="C17" s="10">
        <v>2057</v>
      </c>
      <c r="D17" s="9">
        <v>33145024</v>
      </c>
      <c r="E17" s="34" t="s">
        <v>444</v>
      </c>
      <c r="F17" s="10" t="s">
        <v>665</v>
      </c>
      <c r="G17" s="11" t="s">
        <v>148</v>
      </c>
      <c r="H17" s="12" t="s">
        <v>979</v>
      </c>
      <c r="I17" s="12" t="s">
        <v>1239</v>
      </c>
      <c r="J17" s="12" t="s">
        <v>1367</v>
      </c>
      <c r="K17" s="37" t="s">
        <v>1671</v>
      </c>
      <c r="L17" s="13">
        <v>60</v>
      </c>
      <c r="M17" s="13" t="s">
        <v>1763</v>
      </c>
      <c r="N17" s="14">
        <v>0</v>
      </c>
      <c r="O17" s="14">
        <v>0</v>
      </c>
      <c r="P17" s="14">
        <v>0</v>
      </c>
      <c r="Q17" s="14">
        <v>0</v>
      </c>
      <c r="R17" s="14">
        <v>24</v>
      </c>
      <c r="S17" s="14">
        <v>0</v>
      </c>
      <c r="T17" s="14">
        <v>35</v>
      </c>
      <c r="U17" s="14">
        <v>0</v>
      </c>
      <c r="V17" s="15">
        <f t="shared" si="0"/>
        <v>59</v>
      </c>
      <c r="W17" s="14">
        <f t="shared" si="0"/>
        <v>0</v>
      </c>
      <c r="X17" s="14">
        <f t="shared" si="1"/>
        <v>0</v>
      </c>
      <c r="Y17" s="14">
        <f t="shared" si="2"/>
        <v>0</v>
      </c>
      <c r="Z17" s="16">
        <f t="shared" si="3"/>
        <v>1</v>
      </c>
      <c r="AA17" s="14">
        <f t="shared" si="4"/>
        <v>0</v>
      </c>
      <c r="AB17" s="17"/>
      <c r="AC17" s="17"/>
    </row>
    <row r="18" spans="1:29" s="21" customFormat="1" ht="13.5" customHeight="1" x14ac:dyDescent="0.2">
      <c r="A18" s="9">
        <v>2</v>
      </c>
      <c r="B18" s="9">
        <v>10</v>
      </c>
      <c r="C18" s="10">
        <v>2034</v>
      </c>
      <c r="D18" s="9">
        <v>33152004</v>
      </c>
      <c r="E18" s="34" t="s">
        <v>445</v>
      </c>
      <c r="F18" s="10" t="s">
        <v>666</v>
      </c>
      <c r="G18" s="11" t="s">
        <v>149</v>
      </c>
      <c r="H18" s="12" t="s">
        <v>980</v>
      </c>
      <c r="I18" s="12" t="s">
        <v>980</v>
      </c>
      <c r="J18" s="12" t="s">
        <v>1368</v>
      </c>
      <c r="K18" s="37" t="s">
        <v>1667</v>
      </c>
      <c r="L18" s="13">
        <v>100</v>
      </c>
      <c r="M18" s="13" t="s">
        <v>1763</v>
      </c>
      <c r="N18" s="14">
        <v>0</v>
      </c>
      <c r="O18" s="14">
        <v>0</v>
      </c>
      <c r="P18" s="14">
        <v>0</v>
      </c>
      <c r="Q18" s="14">
        <v>0</v>
      </c>
      <c r="R18" s="14">
        <v>54</v>
      </c>
      <c r="S18" s="14">
        <v>0</v>
      </c>
      <c r="T18" s="14">
        <v>44</v>
      </c>
      <c r="U18" s="14">
        <v>1</v>
      </c>
      <c r="V18" s="15">
        <f t="shared" si="0"/>
        <v>98</v>
      </c>
      <c r="W18" s="14">
        <f t="shared" si="0"/>
        <v>1</v>
      </c>
      <c r="X18" s="14">
        <f t="shared" si="1"/>
        <v>0</v>
      </c>
      <c r="Y18" s="14">
        <f t="shared" si="2"/>
        <v>2</v>
      </c>
      <c r="Z18" s="16">
        <f t="shared" si="3"/>
        <v>0</v>
      </c>
      <c r="AA18" s="14">
        <f t="shared" si="4"/>
        <v>0</v>
      </c>
      <c r="AB18" s="17"/>
      <c r="AC18" s="17"/>
    </row>
    <row r="19" spans="1:29" s="21" customFormat="1" ht="13.5" customHeight="1" x14ac:dyDescent="0.2">
      <c r="A19" s="9">
        <v>2</v>
      </c>
      <c r="B19" s="9">
        <v>11</v>
      </c>
      <c r="C19" s="10">
        <v>2035</v>
      </c>
      <c r="D19" s="9">
        <v>33125490</v>
      </c>
      <c r="E19" s="34" t="s">
        <v>446</v>
      </c>
      <c r="F19" s="10" t="s">
        <v>667</v>
      </c>
      <c r="G19" s="11" t="s">
        <v>150</v>
      </c>
      <c r="H19" s="12" t="s">
        <v>981</v>
      </c>
      <c r="I19" s="12" t="s">
        <v>981</v>
      </c>
      <c r="J19" s="12" t="s">
        <v>1369</v>
      </c>
      <c r="K19" s="37" t="s">
        <v>1667</v>
      </c>
      <c r="L19" s="13">
        <v>65</v>
      </c>
      <c r="M19" s="13" t="s">
        <v>1765</v>
      </c>
      <c r="N19" s="14">
        <v>10</v>
      </c>
      <c r="O19" s="14">
        <v>0</v>
      </c>
      <c r="P19" s="14">
        <v>23</v>
      </c>
      <c r="Q19" s="14">
        <v>0</v>
      </c>
      <c r="R19" s="14">
        <v>17</v>
      </c>
      <c r="S19" s="14">
        <v>0</v>
      </c>
      <c r="T19" s="14">
        <v>14</v>
      </c>
      <c r="U19" s="14">
        <v>0</v>
      </c>
      <c r="V19" s="15">
        <f t="shared" ref="V19:W82" si="5">SUM(N19,P19,R19,T19)</f>
        <v>64</v>
      </c>
      <c r="W19" s="14">
        <f t="shared" si="5"/>
        <v>0</v>
      </c>
      <c r="X19" s="14">
        <f t="shared" si="1"/>
        <v>0</v>
      </c>
      <c r="Y19" s="14">
        <f t="shared" si="2"/>
        <v>0</v>
      </c>
      <c r="Z19" s="16">
        <f t="shared" si="3"/>
        <v>1</v>
      </c>
      <c r="AA19" s="14">
        <f t="shared" si="4"/>
        <v>0</v>
      </c>
      <c r="AB19" s="17"/>
      <c r="AC19" s="17"/>
    </row>
    <row r="20" spans="1:29" s="21" customFormat="1" ht="13.5" customHeight="1" x14ac:dyDescent="0.2">
      <c r="A20" s="9">
        <v>2</v>
      </c>
      <c r="B20" s="9">
        <v>12</v>
      </c>
      <c r="C20" s="10">
        <v>2036</v>
      </c>
      <c r="D20" s="9">
        <v>33122814</v>
      </c>
      <c r="E20" s="34">
        <v>30122758000163</v>
      </c>
      <c r="F20" s="10" t="s">
        <v>668</v>
      </c>
      <c r="G20" s="11" t="s">
        <v>151</v>
      </c>
      <c r="H20" s="12" t="s">
        <v>982</v>
      </c>
      <c r="I20" s="12" t="s">
        <v>137</v>
      </c>
      <c r="J20" s="12" t="s">
        <v>1370</v>
      </c>
      <c r="K20" s="37" t="s">
        <v>1667</v>
      </c>
      <c r="L20" s="13">
        <v>75</v>
      </c>
      <c r="M20" s="13" t="s">
        <v>1765</v>
      </c>
      <c r="N20" s="14">
        <v>1</v>
      </c>
      <c r="O20" s="14">
        <v>0</v>
      </c>
      <c r="P20" s="14">
        <v>33</v>
      </c>
      <c r="Q20" s="14">
        <v>0</v>
      </c>
      <c r="R20" s="14">
        <v>23</v>
      </c>
      <c r="S20" s="14">
        <v>1</v>
      </c>
      <c r="T20" s="14">
        <v>16</v>
      </c>
      <c r="U20" s="14">
        <v>1</v>
      </c>
      <c r="V20" s="15">
        <f t="shared" si="5"/>
        <v>73</v>
      </c>
      <c r="W20" s="14">
        <f t="shared" si="5"/>
        <v>2</v>
      </c>
      <c r="X20" s="14">
        <f t="shared" si="1"/>
        <v>0</v>
      </c>
      <c r="Y20" s="14">
        <f t="shared" si="2"/>
        <v>2</v>
      </c>
      <c r="Z20" s="16">
        <f t="shared" si="3"/>
        <v>0</v>
      </c>
      <c r="AA20" s="14">
        <f t="shared" si="4"/>
        <v>0</v>
      </c>
      <c r="AB20" s="17"/>
      <c r="AC20" s="17"/>
    </row>
    <row r="21" spans="1:29" s="21" customFormat="1" ht="13.5" customHeight="1" x14ac:dyDescent="0.2">
      <c r="A21" s="9">
        <v>2</v>
      </c>
      <c r="B21" s="9">
        <v>13</v>
      </c>
      <c r="C21" s="10">
        <v>2025</v>
      </c>
      <c r="D21" s="9">
        <v>33185107</v>
      </c>
      <c r="E21" s="34" t="s">
        <v>447</v>
      </c>
      <c r="F21" s="10" t="s">
        <v>669</v>
      </c>
      <c r="G21" s="11" t="s">
        <v>152</v>
      </c>
      <c r="H21" s="12" t="s">
        <v>983</v>
      </c>
      <c r="I21" s="12" t="s">
        <v>1240</v>
      </c>
      <c r="J21" s="12" t="s">
        <v>1371</v>
      </c>
      <c r="K21" s="37" t="s">
        <v>1668</v>
      </c>
      <c r="L21" s="13">
        <v>50</v>
      </c>
      <c r="M21" s="13" t="s">
        <v>1765</v>
      </c>
      <c r="N21" s="14">
        <v>5</v>
      </c>
      <c r="O21" s="14">
        <v>0</v>
      </c>
      <c r="P21" s="14">
        <v>7</v>
      </c>
      <c r="Q21" s="14">
        <v>0</v>
      </c>
      <c r="R21" s="14">
        <v>18</v>
      </c>
      <c r="S21" s="14">
        <v>0</v>
      </c>
      <c r="T21" s="14">
        <v>20</v>
      </c>
      <c r="U21" s="14">
        <v>0</v>
      </c>
      <c r="V21" s="15">
        <f t="shared" si="5"/>
        <v>50</v>
      </c>
      <c r="W21" s="14">
        <f t="shared" si="5"/>
        <v>0</v>
      </c>
      <c r="X21" s="14">
        <f t="shared" si="1"/>
        <v>0</v>
      </c>
      <c r="Y21" s="14">
        <f t="shared" si="2"/>
        <v>0</v>
      </c>
      <c r="Z21" s="16">
        <f t="shared" si="3"/>
        <v>0</v>
      </c>
      <c r="AA21" s="14">
        <f t="shared" si="4"/>
        <v>0</v>
      </c>
      <c r="AB21" s="17"/>
      <c r="AC21" s="17"/>
    </row>
    <row r="22" spans="1:29" s="21" customFormat="1" ht="13.5" customHeight="1" x14ac:dyDescent="0.2">
      <c r="A22" s="9">
        <v>2</v>
      </c>
      <c r="B22" s="9">
        <v>14</v>
      </c>
      <c r="C22" s="10">
        <v>2055</v>
      </c>
      <c r="D22" s="9">
        <v>33349215</v>
      </c>
      <c r="E22" s="34" t="s">
        <v>448</v>
      </c>
      <c r="F22" s="10" t="s">
        <v>670</v>
      </c>
      <c r="G22" s="11" t="s">
        <v>153</v>
      </c>
      <c r="H22" s="12" t="s">
        <v>984</v>
      </c>
      <c r="I22" s="12" t="s">
        <v>984</v>
      </c>
      <c r="J22" s="12" t="s">
        <v>1372</v>
      </c>
      <c r="K22" s="37" t="s">
        <v>1672</v>
      </c>
      <c r="L22" s="13">
        <v>79</v>
      </c>
      <c r="M22" s="13" t="s">
        <v>1763</v>
      </c>
      <c r="N22" s="14">
        <v>0</v>
      </c>
      <c r="O22" s="14">
        <v>0</v>
      </c>
      <c r="P22" s="14">
        <v>0</v>
      </c>
      <c r="Q22" s="14">
        <v>0</v>
      </c>
      <c r="R22" s="14">
        <v>24</v>
      </c>
      <c r="S22" s="14">
        <v>0</v>
      </c>
      <c r="T22" s="14">
        <v>50</v>
      </c>
      <c r="U22" s="14">
        <v>2</v>
      </c>
      <c r="V22" s="15">
        <f t="shared" si="5"/>
        <v>74</v>
      </c>
      <c r="W22" s="14">
        <f t="shared" si="5"/>
        <v>2</v>
      </c>
      <c r="X22" s="14">
        <f t="shared" si="1"/>
        <v>0</v>
      </c>
      <c r="Y22" s="14">
        <f t="shared" si="2"/>
        <v>2</v>
      </c>
      <c r="Z22" s="16">
        <f t="shared" si="3"/>
        <v>3</v>
      </c>
      <c r="AA22" s="14">
        <f t="shared" si="4"/>
        <v>0</v>
      </c>
      <c r="AB22" s="17"/>
      <c r="AC22" s="17"/>
    </row>
    <row r="23" spans="1:29" s="21" customFormat="1" ht="13.5" customHeight="1" x14ac:dyDescent="0.2">
      <c r="A23" s="9">
        <v>2</v>
      </c>
      <c r="B23" s="9">
        <v>15</v>
      </c>
      <c r="C23" s="10">
        <v>2052</v>
      </c>
      <c r="D23" s="9">
        <v>33182175</v>
      </c>
      <c r="E23" s="34" t="s">
        <v>449</v>
      </c>
      <c r="F23" s="10" t="s">
        <v>671</v>
      </c>
      <c r="G23" s="11" t="s">
        <v>154</v>
      </c>
      <c r="H23" s="12" t="s">
        <v>985</v>
      </c>
      <c r="I23" s="12" t="s">
        <v>1241</v>
      </c>
      <c r="J23" s="12" t="s">
        <v>1373</v>
      </c>
      <c r="K23" s="37" t="s">
        <v>1668</v>
      </c>
      <c r="L23" s="13">
        <v>96</v>
      </c>
      <c r="M23" s="13" t="s">
        <v>1765</v>
      </c>
      <c r="N23" s="14">
        <v>16</v>
      </c>
      <c r="O23" s="14">
        <v>0</v>
      </c>
      <c r="P23" s="14">
        <v>20</v>
      </c>
      <c r="Q23" s="14">
        <v>0</v>
      </c>
      <c r="R23" s="14">
        <v>40</v>
      </c>
      <c r="S23" s="14">
        <v>1</v>
      </c>
      <c r="T23" s="14">
        <v>17</v>
      </c>
      <c r="U23" s="14">
        <v>1</v>
      </c>
      <c r="V23" s="15">
        <f t="shared" si="5"/>
        <v>93</v>
      </c>
      <c r="W23" s="14">
        <f t="shared" si="5"/>
        <v>2</v>
      </c>
      <c r="X23" s="14">
        <f t="shared" si="1"/>
        <v>0</v>
      </c>
      <c r="Y23" s="14">
        <f t="shared" si="2"/>
        <v>2</v>
      </c>
      <c r="Z23" s="16">
        <f t="shared" si="3"/>
        <v>1</v>
      </c>
      <c r="AA23" s="14">
        <f t="shared" si="4"/>
        <v>0</v>
      </c>
      <c r="AB23" s="17"/>
      <c r="AC23" s="17"/>
    </row>
    <row r="24" spans="1:29" s="21" customFormat="1" ht="13.5" customHeight="1" x14ac:dyDescent="0.2">
      <c r="A24" s="9">
        <v>2</v>
      </c>
      <c r="B24" s="9">
        <v>16</v>
      </c>
      <c r="C24" s="10">
        <v>2022</v>
      </c>
      <c r="D24" s="9">
        <v>33121940</v>
      </c>
      <c r="E24" s="34" t="s">
        <v>450</v>
      </c>
      <c r="F24" s="10" t="s">
        <v>672</v>
      </c>
      <c r="G24" s="11" t="s">
        <v>155</v>
      </c>
      <c r="H24" s="12" t="s">
        <v>986</v>
      </c>
      <c r="I24" s="12" t="s">
        <v>1242</v>
      </c>
      <c r="J24" s="12" t="s">
        <v>1374</v>
      </c>
      <c r="K24" s="37" t="s">
        <v>1673</v>
      </c>
      <c r="L24" s="13">
        <v>42</v>
      </c>
      <c r="M24" s="13" t="s">
        <v>1764</v>
      </c>
      <c r="N24" s="14">
        <v>0</v>
      </c>
      <c r="O24" s="14">
        <v>0</v>
      </c>
      <c r="P24" s="14">
        <v>0</v>
      </c>
      <c r="Q24" s="14">
        <v>0</v>
      </c>
      <c r="R24" s="14">
        <v>20</v>
      </c>
      <c r="S24" s="14">
        <v>0</v>
      </c>
      <c r="T24" s="14">
        <v>22</v>
      </c>
      <c r="U24" s="14">
        <v>0</v>
      </c>
      <c r="V24" s="15">
        <f t="shared" si="5"/>
        <v>42</v>
      </c>
      <c r="W24" s="14">
        <f t="shared" si="5"/>
        <v>0</v>
      </c>
      <c r="X24" s="14">
        <f t="shared" si="1"/>
        <v>0</v>
      </c>
      <c r="Y24" s="14">
        <f t="shared" si="2"/>
        <v>0</v>
      </c>
      <c r="Z24" s="16">
        <f t="shared" si="3"/>
        <v>0</v>
      </c>
      <c r="AA24" s="14">
        <f t="shared" si="4"/>
        <v>0</v>
      </c>
      <c r="AB24" s="17"/>
      <c r="AC24" s="17"/>
    </row>
    <row r="25" spans="1:29" s="21" customFormat="1" ht="13.5" customHeight="1" x14ac:dyDescent="0.2">
      <c r="A25" s="9">
        <v>2</v>
      </c>
      <c r="B25" s="9">
        <v>17</v>
      </c>
      <c r="C25" s="10">
        <v>2037</v>
      </c>
      <c r="D25" s="9">
        <v>33096619</v>
      </c>
      <c r="E25" s="34" t="s">
        <v>451</v>
      </c>
      <c r="F25" s="10" t="s">
        <v>673</v>
      </c>
      <c r="G25" s="11" t="s">
        <v>156</v>
      </c>
      <c r="H25" s="12" t="s">
        <v>987</v>
      </c>
      <c r="I25" s="12" t="s">
        <v>1243</v>
      </c>
      <c r="J25" s="12" t="s">
        <v>1375</v>
      </c>
      <c r="K25" s="37" t="s">
        <v>1672</v>
      </c>
      <c r="L25" s="13">
        <v>150</v>
      </c>
      <c r="M25" s="13" t="s">
        <v>1765</v>
      </c>
      <c r="N25" s="14">
        <v>9</v>
      </c>
      <c r="O25" s="14">
        <v>0</v>
      </c>
      <c r="P25" s="14">
        <v>50</v>
      </c>
      <c r="Q25" s="14">
        <v>0</v>
      </c>
      <c r="R25" s="14">
        <v>46</v>
      </c>
      <c r="S25" s="14">
        <v>0</v>
      </c>
      <c r="T25" s="14">
        <v>38</v>
      </c>
      <c r="U25" s="14">
        <v>2</v>
      </c>
      <c r="V25" s="15">
        <f t="shared" si="5"/>
        <v>143</v>
      </c>
      <c r="W25" s="14">
        <f t="shared" si="5"/>
        <v>2</v>
      </c>
      <c r="X25" s="14">
        <f t="shared" si="1"/>
        <v>0</v>
      </c>
      <c r="Y25" s="14">
        <f t="shared" si="2"/>
        <v>2</v>
      </c>
      <c r="Z25" s="16">
        <f t="shared" si="3"/>
        <v>5</v>
      </c>
      <c r="AA25" s="14">
        <f t="shared" si="4"/>
        <v>0</v>
      </c>
      <c r="AB25" s="17"/>
      <c r="AC25" s="17"/>
    </row>
    <row r="26" spans="1:29" s="21" customFormat="1" ht="13.5" customHeight="1" x14ac:dyDescent="0.2">
      <c r="A26" s="9">
        <v>2</v>
      </c>
      <c r="B26" s="9">
        <v>18</v>
      </c>
      <c r="C26" s="10">
        <v>2024</v>
      </c>
      <c r="D26" s="9">
        <v>33122024</v>
      </c>
      <c r="E26" s="34" t="s">
        <v>452</v>
      </c>
      <c r="F26" s="10" t="s">
        <v>674</v>
      </c>
      <c r="G26" s="11" t="s">
        <v>157</v>
      </c>
      <c r="H26" s="12" t="s">
        <v>988</v>
      </c>
      <c r="I26" s="12" t="s">
        <v>1244</v>
      </c>
      <c r="J26" s="12" t="s">
        <v>1376</v>
      </c>
      <c r="K26" s="37" t="s">
        <v>1671</v>
      </c>
      <c r="L26" s="13">
        <v>45</v>
      </c>
      <c r="M26" s="13" t="s">
        <v>1763</v>
      </c>
      <c r="N26" s="14">
        <v>0</v>
      </c>
      <c r="O26" s="14">
        <v>0</v>
      </c>
      <c r="P26" s="14">
        <v>0</v>
      </c>
      <c r="Q26" s="14">
        <v>0</v>
      </c>
      <c r="R26" s="14">
        <v>8</v>
      </c>
      <c r="S26" s="14">
        <v>0</v>
      </c>
      <c r="T26" s="14">
        <v>19</v>
      </c>
      <c r="U26" s="14">
        <v>0</v>
      </c>
      <c r="V26" s="15">
        <f t="shared" si="5"/>
        <v>27</v>
      </c>
      <c r="W26" s="14">
        <f t="shared" si="5"/>
        <v>0</v>
      </c>
      <c r="X26" s="14">
        <f t="shared" si="1"/>
        <v>0</v>
      </c>
      <c r="Y26" s="14">
        <f t="shared" si="2"/>
        <v>0</v>
      </c>
      <c r="Z26" s="16">
        <f t="shared" si="3"/>
        <v>18</v>
      </c>
      <c r="AA26" s="14">
        <f t="shared" si="4"/>
        <v>0</v>
      </c>
      <c r="AB26" s="17"/>
      <c r="AC26" s="17"/>
    </row>
    <row r="27" spans="1:29" s="21" customFormat="1" ht="13.5" customHeight="1" x14ac:dyDescent="0.2">
      <c r="A27" s="9">
        <v>2</v>
      </c>
      <c r="B27" s="9">
        <v>19</v>
      </c>
      <c r="C27" s="10">
        <v>2039</v>
      </c>
      <c r="D27" s="9">
        <v>33151962</v>
      </c>
      <c r="E27" s="34" t="s">
        <v>453</v>
      </c>
      <c r="F27" s="10" t="s">
        <v>675</v>
      </c>
      <c r="G27" s="11" t="s">
        <v>158</v>
      </c>
      <c r="H27" s="12" t="s">
        <v>989</v>
      </c>
      <c r="I27" s="12" t="s">
        <v>1245</v>
      </c>
      <c r="J27" s="12" t="s">
        <v>1377</v>
      </c>
      <c r="K27" s="37" t="s">
        <v>1672</v>
      </c>
      <c r="L27" s="13">
        <v>88</v>
      </c>
      <c r="M27" s="13" t="s">
        <v>1765</v>
      </c>
      <c r="N27" s="14">
        <v>14</v>
      </c>
      <c r="O27" s="14">
        <v>0</v>
      </c>
      <c r="P27" s="14">
        <v>26</v>
      </c>
      <c r="Q27" s="14">
        <v>0</v>
      </c>
      <c r="R27" s="14">
        <v>26</v>
      </c>
      <c r="S27" s="14">
        <v>0</v>
      </c>
      <c r="T27" s="14">
        <v>22</v>
      </c>
      <c r="U27" s="14">
        <v>0</v>
      </c>
      <c r="V27" s="15">
        <f t="shared" si="5"/>
        <v>88</v>
      </c>
      <c r="W27" s="14">
        <f t="shared" si="5"/>
        <v>0</v>
      </c>
      <c r="X27" s="14">
        <f t="shared" si="1"/>
        <v>0</v>
      </c>
      <c r="Y27" s="14">
        <f t="shared" si="2"/>
        <v>0</v>
      </c>
      <c r="Z27" s="16">
        <f t="shared" si="3"/>
        <v>0</v>
      </c>
      <c r="AA27" s="14">
        <f t="shared" si="4"/>
        <v>0</v>
      </c>
      <c r="AB27" s="17"/>
      <c r="AC27" s="17"/>
    </row>
    <row r="28" spans="1:29" s="21" customFormat="1" ht="13.5" customHeight="1" x14ac:dyDescent="0.2">
      <c r="A28" s="9">
        <v>2</v>
      </c>
      <c r="B28" s="9">
        <v>20</v>
      </c>
      <c r="C28" s="10">
        <v>2001</v>
      </c>
      <c r="D28" s="9">
        <v>33172820</v>
      </c>
      <c r="E28" s="34" t="s">
        <v>454</v>
      </c>
      <c r="F28" s="10" t="s">
        <v>676</v>
      </c>
      <c r="G28" s="11" t="s">
        <v>159</v>
      </c>
      <c r="H28" s="12" t="s">
        <v>990</v>
      </c>
      <c r="I28" s="12" t="s">
        <v>1246</v>
      </c>
      <c r="J28" s="12" t="s">
        <v>1378</v>
      </c>
      <c r="K28" s="37" t="s">
        <v>1674</v>
      </c>
      <c r="L28" s="13">
        <v>80</v>
      </c>
      <c r="M28" s="13" t="s">
        <v>1763</v>
      </c>
      <c r="N28" s="14">
        <v>0</v>
      </c>
      <c r="O28" s="14">
        <v>0</v>
      </c>
      <c r="P28" s="14">
        <v>0</v>
      </c>
      <c r="Q28" s="14">
        <v>0</v>
      </c>
      <c r="R28" s="14">
        <v>41</v>
      </c>
      <c r="S28" s="14">
        <v>0</v>
      </c>
      <c r="T28" s="14">
        <v>38</v>
      </c>
      <c r="U28" s="14">
        <v>1</v>
      </c>
      <c r="V28" s="15">
        <f t="shared" si="5"/>
        <v>79</v>
      </c>
      <c r="W28" s="14">
        <f t="shared" si="5"/>
        <v>1</v>
      </c>
      <c r="X28" s="14">
        <f t="shared" si="1"/>
        <v>0</v>
      </c>
      <c r="Y28" s="14">
        <f t="shared" si="2"/>
        <v>2</v>
      </c>
      <c r="Z28" s="16">
        <f t="shared" si="3"/>
        <v>0</v>
      </c>
      <c r="AA28" s="14">
        <f t="shared" si="4"/>
        <v>-1</v>
      </c>
      <c r="AB28" s="17"/>
      <c r="AC28" s="17"/>
    </row>
    <row r="29" spans="1:29" s="21" customFormat="1" ht="13.5" customHeight="1" x14ac:dyDescent="0.2">
      <c r="A29" s="9">
        <v>2</v>
      </c>
      <c r="B29" s="9">
        <v>21</v>
      </c>
      <c r="C29" s="10">
        <v>2053</v>
      </c>
      <c r="D29" s="9">
        <v>33121982</v>
      </c>
      <c r="E29" s="34" t="s">
        <v>455</v>
      </c>
      <c r="F29" s="10" t="s">
        <v>677</v>
      </c>
      <c r="G29" s="11" t="s">
        <v>160</v>
      </c>
      <c r="H29" s="12" t="s">
        <v>991</v>
      </c>
      <c r="I29" s="12" t="s">
        <v>1247</v>
      </c>
      <c r="J29" s="12" t="s">
        <v>1379</v>
      </c>
      <c r="K29" s="37" t="s">
        <v>1675</v>
      </c>
      <c r="L29" s="13">
        <v>100</v>
      </c>
      <c r="M29" s="13" t="s">
        <v>1765</v>
      </c>
      <c r="N29" s="14">
        <v>10</v>
      </c>
      <c r="O29" s="14">
        <v>0</v>
      </c>
      <c r="P29" s="14">
        <v>27</v>
      </c>
      <c r="Q29" s="14">
        <v>1</v>
      </c>
      <c r="R29" s="14">
        <v>30</v>
      </c>
      <c r="S29" s="14">
        <v>0</v>
      </c>
      <c r="T29" s="14">
        <v>30</v>
      </c>
      <c r="U29" s="14">
        <v>2</v>
      </c>
      <c r="V29" s="15">
        <f t="shared" si="5"/>
        <v>97</v>
      </c>
      <c r="W29" s="14">
        <f t="shared" si="5"/>
        <v>3</v>
      </c>
      <c r="X29" s="14">
        <f t="shared" si="1"/>
        <v>2</v>
      </c>
      <c r="Y29" s="14">
        <f t="shared" si="2"/>
        <v>2</v>
      </c>
      <c r="Z29" s="16">
        <f t="shared" si="3"/>
        <v>0</v>
      </c>
      <c r="AA29" s="14">
        <f t="shared" si="4"/>
        <v>-1</v>
      </c>
      <c r="AB29" s="17"/>
      <c r="AC29" s="17"/>
    </row>
    <row r="30" spans="1:29" s="21" customFormat="1" ht="13.5" customHeight="1" x14ac:dyDescent="0.2">
      <c r="A30" s="9">
        <v>2</v>
      </c>
      <c r="B30" s="9">
        <v>22</v>
      </c>
      <c r="C30" s="10">
        <v>2040</v>
      </c>
      <c r="D30" s="9">
        <v>33122997</v>
      </c>
      <c r="E30" s="34" t="s">
        <v>456</v>
      </c>
      <c r="F30" s="10" t="s">
        <v>678</v>
      </c>
      <c r="G30" s="11" t="s">
        <v>161</v>
      </c>
      <c r="H30" s="12" t="s">
        <v>992</v>
      </c>
      <c r="I30" s="12" t="s">
        <v>1248</v>
      </c>
      <c r="J30" s="12" t="s">
        <v>1380</v>
      </c>
      <c r="K30" s="37" t="s">
        <v>1667</v>
      </c>
      <c r="L30" s="13">
        <v>72</v>
      </c>
      <c r="M30" s="13" t="s">
        <v>1765</v>
      </c>
      <c r="N30" s="14">
        <v>6</v>
      </c>
      <c r="O30" s="14">
        <v>0</v>
      </c>
      <c r="P30" s="14">
        <v>25</v>
      </c>
      <c r="Q30" s="14">
        <v>0</v>
      </c>
      <c r="R30" s="14">
        <v>20</v>
      </c>
      <c r="S30" s="14">
        <v>0</v>
      </c>
      <c r="T30" s="14">
        <v>21</v>
      </c>
      <c r="U30" s="14">
        <v>0</v>
      </c>
      <c r="V30" s="15">
        <f t="shared" si="5"/>
        <v>72</v>
      </c>
      <c r="W30" s="14">
        <f t="shared" si="5"/>
        <v>0</v>
      </c>
      <c r="X30" s="14">
        <f t="shared" si="1"/>
        <v>0</v>
      </c>
      <c r="Y30" s="14">
        <f t="shared" si="2"/>
        <v>0</v>
      </c>
      <c r="Z30" s="16">
        <f t="shared" si="3"/>
        <v>0</v>
      </c>
      <c r="AA30" s="14">
        <f t="shared" si="4"/>
        <v>0</v>
      </c>
      <c r="AB30" s="17"/>
      <c r="AC30" s="17"/>
    </row>
    <row r="31" spans="1:29" s="21" customFormat="1" ht="13.5" customHeight="1" x14ac:dyDescent="0.2">
      <c r="A31" s="9">
        <v>2</v>
      </c>
      <c r="B31" s="9">
        <v>23</v>
      </c>
      <c r="C31" s="10">
        <v>2026</v>
      </c>
      <c r="D31" s="9">
        <v>33122377</v>
      </c>
      <c r="E31" s="34" t="s">
        <v>430</v>
      </c>
      <c r="F31" s="10" t="s">
        <v>679</v>
      </c>
      <c r="G31" s="11" t="s">
        <v>162</v>
      </c>
      <c r="H31" s="12" t="s">
        <v>993</v>
      </c>
      <c r="I31" s="12" t="s">
        <v>1230</v>
      </c>
      <c r="J31" s="12" t="s">
        <v>1381</v>
      </c>
      <c r="K31" s="37" t="s">
        <v>1676</v>
      </c>
      <c r="L31" s="13">
        <v>50</v>
      </c>
      <c r="M31" s="13" t="s">
        <v>1763</v>
      </c>
      <c r="N31" s="14">
        <v>0</v>
      </c>
      <c r="O31" s="14">
        <v>0</v>
      </c>
      <c r="P31" s="14">
        <v>0</v>
      </c>
      <c r="Q31" s="14">
        <v>0</v>
      </c>
      <c r="R31" s="14">
        <v>25</v>
      </c>
      <c r="S31" s="14">
        <v>0</v>
      </c>
      <c r="T31" s="14">
        <v>25</v>
      </c>
      <c r="U31" s="14">
        <v>0</v>
      </c>
      <c r="V31" s="15">
        <f t="shared" si="5"/>
        <v>50</v>
      </c>
      <c r="W31" s="14">
        <f t="shared" si="5"/>
        <v>0</v>
      </c>
      <c r="X31" s="14">
        <f t="shared" si="1"/>
        <v>0</v>
      </c>
      <c r="Y31" s="14">
        <f t="shared" si="2"/>
        <v>0</v>
      </c>
      <c r="Z31" s="16">
        <f t="shared" si="3"/>
        <v>0</v>
      </c>
      <c r="AA31" s="14">
        <f t="shared" si="4"/>
        <v>0</v>
      </c>
      <c r="AB31" s="17"/>
      <c r="AC31" s="17"/>
    </row>
    <row r="32" spans="1:29" s="21" customFormat="1" ht="13.5" customHeight="1" x14ac:dyDescent="0.2">
      <c r="A32" s="9">
        <v>2</v>
      </c>
      <c r="B32" s="9">
        <v>24</v>
      </c>
      <c r="C32" s="10">
        <v>2010</v>
      </c>
      <c r="D32" s="9">
        <v>33113777</v>
      </c>
      <c r="E32" s="34" t="s">
        <v>457</v>
      </c>
      <c r="F32" s="10" t="s">
        <v>680</v>
      </c>
      <c r="G32" s="11" t="s">
        <v>163</v>
      </c>
      <c r="H32" s="12" t="s">
        <v>994</v>
      </c>
      <c r="I32" s="12" t="s">
        <v>1249</v>
      </c>
      <c r="J32" s="12" t="s">
        <v>1382</v>
      </c>
      <c r="K32" s="37" t="s">
        <v>1677</v>
      </c>
      <c r="L32" s="13">
        <v>170</v>
      </c>
      <c r="M32" s="13" t="s">
        <v>1764</v>
      </c>
      <c r="N32" s="14">
        <v>0</v>
      </c>
      <c r="O32" s="14">
        <v>0</v>
      </c>
      <c r="P32" s="14">
        <v>54</v>
      </c>
      <c r="Q32" s="14">
        <v>0</v>
      </c>
      <c r="R32" s="14">
        <v>63</v>
      </c>
      <c r="S32" s="14">
        <v>0</v>
      </c>
      <c r="T32" s="14">
        <v>53</v>
      </c>
      <c r="U32" s="14">
        <v>1</v>
      </c>
      <c r="V32" s="15">
        <f t="shared" si="5"/>
        <v>170</v>
      </c>
      <c r="W32" s="14">
        <f t="shared" si="5"/>
        <v>1</v>
      </c>
      <c r="X32" s="14">
        <f t="shared" si="1"/>
        <v>0</v>
      </c>
      <c r="Y32" s="14">
        <f t="shared" si="2"/>
        <v>2</v>
      </c>
      <c r="Z32" s="16">
        <f t="shared" si="3"/>
        <v>0</v>
      </c>
      <c r="AA32" s="14">
        <f t="shared" si="4"/>
        <v>-2</v>
      </c>
      <c r="AB32" s="17"/>
      <c r="AC32" s="17"/>
    </row>
    <row r="33" spans="1:29" s="21" customFormat="1" ht="13.5" customHeight="1" x14ac:dyDescent="0.2">
      <c r="A33" s="9">
        <v>2</v>
      </c>
      <c r="B33" s="9">
        <v>25</v>
      </c>
      <c r="C33" s="10">
        <v>2041</v>
      </c>
      <c r="D33" s="9">
        <v>33123128</v>
      </c>
      <c r="E33" s="34" t="s">
        <v>458</v>
      </c>
      <c r="F33" s="10" t="s">
        <v>681</v>
      </c>
      <c r="G33" s="11" t="s">
        <v>164</v>
      </c>
      <c r="H33" s="12" t="s">
        <v>995</v>
      </c>
      <c r="I33" s="12" t="s">
        <v>995</v>
      </c>
      <c r="J33" s="12" t="s">
        <v>1383</v>
      </c>
      <c r="K33" s="37" t="s">
        <v>1667</v>
      </c>
      <c r="L33" s="13">
        <v>50</v>
      </c>
      <c r="M33" s="13" t="s">
        <v>1763</v>
      </c>
      <c r="N33" s="14">
        <v>0</v>
      </c>
      <c r="O33" s="14">
        <v>0</v>
      </c>
      <c r="P33" s="14">
        <v>0</v>
      </c>
      <c r="Q33" s="14">
        <v>0</v>
      </c>
      <c r="R33" s="14">
        <v>18</v>
      </c>
      <c r="S33" s="14">
        <v>0</v>
      </c>
      <c r="T33" s="14">
        <v>22</v>
      </c>
      <c r="U33" s="14">
        <v>0</v>
      </c>
      <c r="V33" s="15">
        <f t="shared" si="5"/>
        <v>40</v>
      </c>
      <c r="W33" s="14">
        <f t="shared" si="5"/>
        <v>0</v>
      </c>
      <c r="X33" s="14">
        <f t="shared" si="1"/>
        <v>0</v>
      </c>
      <c r="Y33" s="14">
        <f t="shared" si="2"/>
        <v>0</v>
      </c>
      <c r="Z33" s="16">
        <f t="shared" si="3"/>
        <v>10</v>
      </c>
      <c r="AA33" s="14">
        <f t="shared" si="4"/>
        <v>0</v>
      </c>
      <c r="AB33" s="17"/>
      <c r="AC33" s="17"/>
    </row>
    <row r="34" spans="1:29" s="21" customFormat="1" ht="13.5" customHeight="1" x14ac:dyDescent="0.2">
      <c r="A34" s="9">
        <v>2</v>
      </c>
      <c r="B34" s="9">
        <v>26</v>
      </c>
      <c r="C34" s="10">
        <v>2006</v>
      </c>
      <c r="D34" s="9">
        <v>33096422</v>
      </c>
      <c r="E34" s="34" t="s">
        <v>459</v>
      </c>
      <c r="F34" s="10" t="s">
        <v>682</v>
      </c>
      <c r="G34" s="11" t="s">
        <v>165</v>
      </c>
      <c r="H34" s="12" t="s">
        <v>996</v>
      </c>
      <c r="I34" s="12" t="s">
        <v>996</v>
      </c>
      <c r="J34" s="12" t="s">
        <v>1384</v>
      </c>
      <c r="K34" s="37" t="s">
        <v>1667</v>
      </c>
      <c r="L34" s="13">
        <v>75</v>
      </c>
      <c r="M34" s="13" t="s">
        <v>1764</v>
      </c>
      <c r="N34" s="14">
        <v>0</v>
      </c>
      <c r="O34" s="14">
        <v>0</v>
      </c>
      <c r="P34" s="14">
        <v>25</v>
      </c>
      <c r="Q34" s="14">
        <v>0</v>
      </c>
      <c r="R34" s="14">
        <v>25</v>
      </c>
      <c r="S34" s="14">
        <v>2</v>
      </c>
      <c r="T34" s="14">
        <v>25</v>
      </c>
      <c r="U34" s="14">
        <v>0</v>
      </c>
      <c r="V34" s="15">
        <f t="shared" si="5"/>
        <v>75</v>
      </c>
      <c r="W34" s="14">
        <f t="shared" si="5"/>
        <v>2</v>
      </c>
      <c r="X34" s="14">
        <f t="shared" si="1"/>
        <v>0</v>
      </c>
      <c r="Y34" s="14">
        <f t="shared" si="2"/>
        <v>2</v>
      </c>
      <c r="Z34" s="16">
        <f t="shared" si="3"/>
        <v>0</v>
      </c>
      <c r="AA34" s="14">
        <f t="shared" si="4"/>
        <v>-2</v>
      </c>
      <c r="AB34" s="17"/>
      <c r="AC34" s="17"/>
    </row>
    <row r="35" spans="1:29" s="21" customFormat="1" ht="13.5" customHeight="1" x14ac:dyDescent="0.2">
      <c r="A35" s="9">
        <v>2</v>
      </c>
      <c r="B35" s="9">
        <v>27</v>
      </c>
      <c r="C35" s="10">
        <v>2015</v>
      </c>
      <c r="D35" s="9">
        <v>33114552</v>
      </c>
      <c r="E35" s="34" t="s">
        <v>460</v>
      </c>
      <c r="F35" s="10" t="s">
        <v>683</v>
      </c>
      <c r="G35" s="11" t="s">
        <v>166</v>
      </c>
      <c r="H35" s="12" t="s">
        <v>997</v>
      </c>
      <c r="I35" s="12" t="s">
        <v>1250</v>
      </c>
      <c r="J35" s="12" t="s">
        <v>1385</v>
      </c>
      <c r="K35" s="37" t="s">
        <v>1678</v>
      </c>
      <c r="L35" s="13">
        <v>72</v>
      </c>
      <c r="M35" s="13" t="s">
        <v>1763</v>
      </c>
      <c r="N35" s="14">
        <v>0</v>
      </c>
      <c r="O35" s="14">
        <v>0</v>
      </c>
      <c r="P35" s="14">
        <v>0</v>
      </c>
      <c r="Q35" s="14">
        <v>0</v>
      </c>
      <c r="R35" s="14">
        <v>27</v>
      </c>
      <c r="S35" s="14">
        <v>0</v>
      </c>
      <c r="T35" s="14">
        <v>45</v>
      </c>
      <c r="U35" s="14">
        <v>3</v>
      </c>
      <c r="V35" s="15">
        <f t="shared" si="5"/>
        <v>72</v>
      </c>
      <c r="W35" s="14">
        <f t="shared" si="5"/>
        <v>3</v>
      </c>
      <c r="X35" s="14">
        <f t="shared" si="1"/>
        <v>0</v>
      </c>
      <c r="Y35" s="14">
        <f t="shared" si="2"/>
        <v>2</v>
      </c>
      <c r="Z35" s="16">
        <f t="shared" si="3"/>
        <v>0</v>
      </c>
      <c r="AA35" s="14">
        <f t="shared" si="4"/>
        <v>-2</v>
      </c>
      <c r="AB35" s="17"/>
      <c r="AC35" s="17"/>
    </row>
    <row r="36" spans="1:29" s="21" customFormat="1" ht="13.5" customHeight="1" x14ac:dyDescent="0.2">
      <c r="A36" s="9">
        <v>2</v>
      </c>
      <c r="B36" s="9">
        <v>28</v>
      </c>
      <c r="C36" s="10">
        <v>2042</v>
      </c>
      <c r="D36" s="9">
        <v>33123020</v>
      </c>
      <c r="E36" s="34" t="s">
        <v>461</v>
      </c>
      <c r="F36" s="10" t="s">
        <v>684</v>
      </c>
      <c r="G36" s="11" t="s">
        <v>167</v>
      </c>
      <c r="H36" s="12" t="s">
        <v>998</v>
      </c>
      <c r="I36" s="12" t="s">
        <v>1251</v>
      </c>
      <c r="J36" s="12" t="s">
        <v>1386</v>
      </c>
      <c r="K36" s="37" t="s">
        <v>1678</v>
      </c>
      <c r="L36" s="13">
        <v>40</v>
      </c>
      <c r="M36" s="13" t="s">
        <v>1763</v>
      </c>
      <c r="N36" s="14">
        <v>0</v>
      </c>
      <c r="O36" s="14">
        <v>0</v>
      </c>
      <c r="P36" s="14">
        <v>0</v>
      </c>
      <c r="Q36" s="14">
        <v>0</v>
      </c>
      <c r="R36" s="14">
        <v>20</v>
      </c>
      <c r="S36" s="14">
        <v>0</v>
      </c>
      <c r="T36" s="14">
        <v>19</v>
      </c>
      <c r="U36" s="14">
        <v>1</v>
      </c>
      <c r="V36" s="15">
        <f t="shared" si="5"/>
        <v>39</v>
      </c>
      <c r="W36" s="14">
        <f t="shared" si="5"/>
        <v>1</v>
      </c>
      <c r="X36" s="14">
        <f t="shared" si="1"/>
        <v>0</v>
      </c>
      <c r="Y36" s="14">
        <f t="shared" si="2"/>
        <v>2</v>
      </c>
      <c r="Z36" s="16">
        <f t="shared" si="3"/>
        <v>0</v>
      </c>
      <c r="AA36" s="14">
        <f t="shared" si="4"/>
        <v>-1</v>
      </c>
      <c r="AB36" s="17"/>
      <c r="AC36" s="17"/>
    </row>
    <row r="37" spans="1:29" s="21" customFormat="1" ht="13.5" customHeight="1" x14ac:dyDescent="0.2">
      <c r="A37" s="9">
        <v>2</v>
      </c>
      <c r="B37" s="9">
        <v>29</v>
      </c>
      <c r="C37" s="10">
        <v>2056</v>
      </c>
      <c r="D37" s="9">
        <v>33187657</v>
      </c>
      <c r="E37" s="34" t="s">
        <v>430</v>
      </c>
      <c r="F37" s="10" t="s">
        <v>685</v>
      </c>
      <c r="G37" s="11" t="s">
        <v>168</v>
      </c>
      <c r="H37" s="12" t="s">
        <v>999</v>
      </c>
      <c r="I37" s="12" t="s">
        <v>1230</v>
      </c>
      <c r="J37" s="12" t="s">
        <v>1387</v>
      </c>
      <c r="K37" s="37" t="s">
        <v>1679</v>
      </c>
      <c r="L37" s="13">
        <v>71</v>
      </c>
      <c r="M37" s="13" t="s">
        <v>1764</v>
      </c>
      <c r="N37" s="14">
        <v>0</v>
      </c>
      <c r="O37" s="14">
        <v>0</v>
      </c>
      <c r="P37" s="14">
        <v>12</v>
      </c>
      <c r="Q37" s="14">
        <v>0</v>
      </c>
      <c r="R37" s="14">
        <v>24</v>
      </c>
      <c r="S37" s="14">
        <v>1</v>
      </c>
      <c r="T37" s="14">
        <v>38</v>
      </c>
      <c r="U37" s="14">
        <v>2</v>
      </c>
      <c r="V37" s="15">
        <f t="shared" si="5"/>
        <v>74</v>
      </c>
      <c r="W37" s="14">
        <f t="shared" si="5"/>
        <v>3</v>
      </c>
      <c r="X37" s="14">
        <f t="shared" si="1"/>
        <v>0</v>
      </c>
      <c r="Y37" s="14">
        <f t="shared" si="2"/>
        <v>2</v>
      </c>
      <c r="Z37" s="16">
        <f t="shared" si="3"/>
        <v>0</v>
      </c>
      <c r="AA37" s="14">
        <f t="shared" si="4"/>
        <v>-5</v>
      </c>
      <c r="AB37" s="17"/>
      <c r="AC37" s="17"/>
    </row>
    <row r="38" spans="1:29" s="21" customFormat="1" ht="13.5" customHeight="1" x14ac:dyDescent="0.2">
      <c r="A38" s="9">
        <v>2</v>
      </c>
      <c r="B38" s="9">
        <v>30</v>
      </c>
      <c r="C38" s="10">
        <v>2043</v>
      </c>
      <c r="D38" s="9">
        <v>33124540</v>
      </c>
      <c r="E38" s="34" t="s">
        <v>462</v>
      </c>
      <c r="F38" s="10" t="s">
        <v>686</v>
      </c>
      <c r="G38" s="11" t="s">
        <v>169</v>
      </c>
      <c r="H38" s="12" t="s">
        <v>1000</v>
      </c>
      <c r="I38" s="12" t="s">
        <v>1252</v>
      </c>
      <c r="J38" s="12" t="s">
        <v>1388</v>
      </c>
      <c r="K38" s="37" t="s">
        <v>1674</v>
      </c>
      <c r="L38" s="13">
        <v>140</v>
      </c>
      <c r="M38" s="13" t="s">
        <v>1765</v>
      </c>
      <c r="N38" s="14">
        <v>12</v>
      </c>
      <c r="O38" s="14">
        <v>0</v>
      </c>
      <c r="P38" s="14">
        <v>60</v>
      </c>
      <c r="Q38" s="14">
        <v>0</v>
      </c>
      <c r="R38" s="14">
        <v>36</v>
      </c>
      <c r="S38" s="14">
        <v>0</v>
      </c>
      <c r="T38" s="14">
        <v>38</v>
      </c>
      <c r="U38" s="14">
        <v>1</v>
      </c>
      <c r="V38" s="15">
        <f t="shared" si="5"/>
        <v>146</v>
      </c>
      <c r="W38" s="14">
        <f t="shared" si="5"/>
        <v>1</v>
      </c>
      <c r="X38" s="14">
        <f t="shared" si="1"/>
        <v>0</v>
      </c>
      <c r="Y38" s="14">
        <f t="shared" si="2"/>
        <v>2</v>
      </c>
      <c r="Z38" s="16">
        <f t="shared" si="3"/>
        <v>0</v>
      </c>
      <c r="AA38" s="14">
        <f t="shared" si="4"/>
        <v>-8</v>
      </c>
      <c r="AB38" s="17"/>
      <c r="AC38" s="17"/>
    </row>
    <row r="39" spans="1:29" s="21" customFormat="1" ht="13.5" customHeight="1" x14ac:dyDescent="0.2">
      <c r="A39" s="9">
        <v>2</v>
      </c>
      <c r="B39" s="9">
        <v>31</v>
      </c>
      <c r="C39" s="10">
        <v>2044</v>
      </c>
      <c r="D39" s="9">
        <v>33148821</v>
      </c>
      <c r="E39" s="34" t="s">
        <v>463</v>
      </c>
      <c r="F39" s="10" t="s">
        <v>687</v>
      </c>
      <c r="G39" s="11" t="s">
        <v>170</v>
      </c>
      <c r="H39" s="12" t="s">
        <v>1001</v>
      </c>
      <c r="I39" s="12" t="s">
        <v>1242</v>
      </c>
      <c r="J39" s="12" t="s">
        <v>1389</v>
      </c>
      <c r="K39" s="37" t="s">
        <v>1680</v>
      </c>
      <c r="L39" s="13">
        <v>86</v>
      </c>
      <c r="M39" s="13" t="s">
        <v>1765</v>
      </c>
      <c r="N39" s="14">
        <v>0</v>
      </c>
      <c r="O39" s="14">
        <v>0</v>
      </c>
      <c r="P39" s="14">
        <v>0</v>
      </c>
      <c r="Q39" s="14">
        <v>0</v>
      </c>
      <c r="R39" s="14">
        <v>34</v>
      </c>
      <c r="S39" s="14">
        <v>0</v>
      </c>
      <c r="T39" s="14">
        <v>42</v>
      </c>
      <c r="U39" s="14">
        <v>4</v>
      </c>
      <c r="V39" s="15">
        <f t="shared" si="5"/>
        <v>76</v>
      </c>
      <c r="W39" s="14">
        <f t="shared" si="5"/>
        <v>4</v>
      </c>
      <c r="X39" s="14">
        <f t="shared" si="1"/>
        <v>0</v>
      </c>
      <c r="Y39" s="14">
        <f t="shared" si="2"/>
        <v>2</v>
      </c>
      <c r="Z39" s="16">
        <f t="shared" si="3"/>
        <v>8</v>
      </c>
      <c r="AA39" s="14">
        <f t="shared" si="4"/>
        <v>0</v>
      </c>
      <c r="AB39" s="17"/>
      <c r="AC39" s="17"/>
    </row>
    <row r="40" spans="1:29" s="21" customFormat="1" ht="13.5" customHeight="1" x14ac:dyDescent="0.2">
      <c r="A40" s="9">
        <v>2</v>
      </c>
      <c r="B40" s="9">
        <v>32</v>
      </c>
      <c r="C40" s="10">
        <v>2045</v>
      </c>
      <c r="D40" s="9">
        <v>33097160</v>
      </c>
      <c r="E40" s="34" t="s">
        <v>464</v>
      </c>
      <c r="F40" s="10" t="s">
        <v>688</v>
      </c>
      <c r="G40" s="11" t="s">
        <v>171</v>
      </c>
      <c r="H40" s="12" t="s">
        <v>1002</v>
      </c>
      <c r="I40" s="12" t="s">
        <v>1002</v>
      </c>
      <c r="J40" s="12" t="s">
        <v>1390</v>
      </c>
      <c r="K40" s="37" t="s">
        <v>1681</v>
      </c>
      <c r="L40" s="13">
        <v>50</v>
      </c>
      <c r="M40" s="13" t="s">
        <v>1763</v>
      </c>
      <c r="N40" s="14">
        <v>0</v>
      </c>
      <c r="O40" s="14">
        <v>0</v>
      </c>
      <c r="P40" s="14">
        <v>0</v>
      </c>
      <c r="Q40" s="14">
        <v>0</v>
      </c>
      <c r="R40" s="14">
        <v>21</v>
      </c>
      <c r="S40" s="14">
        <v>1</v>
      </c>
      <c r="T40" s="14">
        <v>20</v>
      </c>
      <c r="U40" s="14">
        <v>2</v>
      </c>
      <c r="V40" s="15">
        <f t="shared" si="5"/>
        <v>41</v>
      </c>
      <c r="W40" s="14">
        <f t="shared" si="5"/>
        <v>3</v>
      </c>
      <c r="X40" s="14">
        <f t="shared" si="1"/>
        <v>0</v>
      </c>
      <c r="Y40" s="14">
        <f t="shared" si="2"/>
        <v>2</v>
      </c>
      <c r="Z40" s="16">
        <f t="shared" si="3"/>
        <v>7</v>
      </c>
      <c r="AA40" s="14">
        <f t="shared" si="4"/>
        <v>0</v>
      </c>
      <c r="AB40" s="17"/>
      <c r="AC40" s="17"/>
    </row>
    <row r="41" spans="1:29" s="21" customFormat="1" ht="13.5" customHeight="1" x14ac:dyDescent="0.2">
      <c r="A41" s="9">
        <v>2</v>
      </c>
      <c r="B41" s="9">
        <v>33</v>
      </c>
      <c r="C41" s="10">
        <v>2014</v>
      </c>
      <c r="D41" s="9">
        <v>33114501</v>
      </c>
      <c r="E41" s="34" t="s">
        <v>465</v>
      </c>
      <c r="F41" s="10" t="s">
        <v>689</v>
      </c>
      <c r="G41" s="11" t="s">
        <v>172</v>
      </c>
      <c r="H41" s="12" t="s">
        <v>1003</v>
      </c>
      <c r="I41" s="12" t="s">
        <v>1003</v>
      </c>
      <c r="J41" s="12" t="s">
        <v>1391</v>
      </c>
      <c r="K41" s="37" t="s">
        <v>1672</v>
      </c>
      <c r="L41" s="13">
        <v>60</v>
      </c>
      <c r="M41" s="13" t="s">
        <v>1764</v>
      </c>
      <c r="N41" s="14">
        <v>0</v>
      </c>
      <c r="O41" s="14">
        <v>0</v>
      </c>
      <c r="P41" s="14">
        <v>22</v>
      </c>
      <c r="Q41" s="14">
        <v>0</v>
      </c>
      <c r="R41" s="14">
        <v>19</v>
      </c>
      <c r="S41" s="14">
        <v>0</v>
      </c>
      <c r="T41" s="14">
        <v>19</v>
      </c>
      <c r="U41" s="14">
        <v>0</v>
      </c>
      <c r="V41" s="15">
        <f t="shared" si="5"/>
        <v>60</v>
      </c>
      <c r="W41" s="14">
        <f t="shared" si="5"/>
        <v>0</v>
      </c>
      <c r="X41" s="14">
        <f t="shared" si="1"/>
        <v>0</v>
      </c>
      <c r="Y41" s="14">
        <f t="shared" si="2"/>
        <v>0</v>
      </c>
      <c r="Z41" s="16">
        <f t="shared" si="3"/>
        <v>0</v>
      </c>
      <c r="AA41" s="14">
        <f t="shared" si="4"/>
        <v>0</v>
      </c>
      <c r="AB41" s="17"/>
      <c r="AC41" s="17"/>
    </row>
    <row r="42" spans="1:29" s="21" customFormat="1" ht="13.5" customHeight="1" x14ac:dyDescent="0.2">
      <c r="A42" s="9">
        <v>2</v>
      </c>
      <c r="B42" s="9">
        <v>34</v>
      </c>
      <c r="C42" s="10">
        <v>2046</v>
      </c>
      <c r="D42" s="9">
        <v>33114471</v>
      </c>
      <c r="E42" s="34" t="s">
        <v>466</v>
      </c>
      <c r="F42" s="10" t="s">
        <v>690</v>
      </c>
      <c r="G42" s="11" t="s">
        <v>173</v>
      </c>
      <c r="H42" s="12" t="s">
        <v>1004</v>
      </c>
      <c r="I42" s="12" t="s">
        <v>1253</v>
      </c>
      <c r="J42" s="12" t="s">
        <v>1392</v>
      </c>
      <c r="K42" s="37" t="s">
        <v>1682</v>
      </c>
      <c r="L42" s="13">
        <v>140</v>
      </c>
      <c r="M42" s="13" t="s">
        <v>1764</v>
      </c>
      <c r="N42" s="14">
        <v>0</v>
      </c>
      <c r="O42" s="14">
        <v>0</v>
      </c>
      <c r="P42" s="14">
        <v>44</v>
      </c>
      <c r="Q42" s="14">
        <v>0</v>
      </c>
      <c r="R42" s="14">
        <v>48</v>
      </c>
      <c r="S42" s="14">
        <v>1</v>
      </c>
      <c r="T42" s="14">
        <v>48</v>
      </c>
      <c r="U42" s="14">
        <v>2</v>
      </c>
      <c r="V42" s="15">
        <f t="shared" si="5"/>
        <v>140</v>
      </c>
      <c r="W42" s="14">
        <f t="shared" si="5"/>
        <v>3</v>
      </c>
      <c r="X42" s="14">
        <f t="shared" si="1"/>
        <v>0</v>
      </c>
      <c r="Y42" s="14">
        <f t="shared" si="2"/>
        <v>2</v>
      </c>
      <c r="Z42" s="16">
        <f t="shared" si="3"/>
        <v>0</v>
      </c>
      <c r="AA42" s="14">
        <f t="shared" si="4"/>
        <v>-2</v>
      </c>
      <c r="AB42" s="17"/>
      <c r="AC42" s="17"/>
    </row>
    <row r="43" spans="1:29" s="21" customFormat="1" ht="13.5" customHeight="1" x14ac:dyDescent="0.2">
      <c r="A43" s="9">
        <v>2</v>
      </c>
      <c r="B43" s="9">
        <v>35</v>
      </c>
      <c r="C43" s="10">
        <v>2002</v>
      </c>
      <c r="D43" s="9">
        <v>33066442</v>
      </c>
      <c r="E43" s="34" t="s">
        <v>467</v>
      </c>
      <c r="F43" s="10" t="s">
        <v>691</v>
      </c>
      <c r="G43" s="11" t="s">
        <v>174</v>
      </c>
      <c r="H43" s="12" t="s">
        <v>1005</v>
      </c>
      <c r="I43" s="12" t="s">
        <v>1254</v>
      </c>
      <c r="J43" s="12" t="s">
        <v>1393</v>
      </c>
      <c r="K43" s="37" t="s">
        <v>1666</v>
      </c>
      <c r="L43" s="13">
        <v>24</v>
      </c>
      <c r="M43" s="13" t="s">
        <v>1766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24</v>
      </c>
      <c r="U43" s="14">
        <v>0</v>
      </c>
      <c r="V43" s="15">
        <f t="shared" si="5"/>
        <v>24</v>
      </c>
      <c r="W43" s="14">
        <f t="shared" si="5"/>
        <v>0</v>
      </c>
      <c r="X43" s="14">
        <f t="shared" si="1"/>
        <v>0</v>
      </c>
      <c r="Y43" s="14">
        <f t="shared" si="2"/>
        <v>0</v>
      </c>
      <c r="Z43" s="16">
        <f t="shared" si="3"/>
        <v>0</v>
      </c>
      <c r="AA43" s="14">
        <f t="shared" si="4"/>
        <v>0</v>
      </c>
      <c r="AB43" s="17"/>
      <c r="AC43" s="17"/>
    </row>
    <row r="44" spans="1:29" s="21" customFormat="1" ht="13.5" customHeight="1" x14ac:dyDescent="0.2">
      <c r="A44" s="9">
        <v>2</v>
      </c>
      <c r="B44" s="9">
        <v>36</v>
      </c>
      <c r="C44" s="10">
        <v>2005</v>
      </c>
      <c r="D44" s="9">
        <v>33096414</v>
      </c>
      <c r="E44" s="34" t="s">
        <v>468</v>
      </c>
      <c r="F44" s="10" t="s">
        <v>692</v>
      </c>
      <c r="G44" s="11" t="s">
        <v>175</v>
      </c>
      <c r="H44" s="12" t="s">
        <v>1006</v>
      </c>
      <c r="I44" s="12" t="s">
        <v>1006</v>
      </c>
      <c r="J44" s="12" t="s">
        <v>1394</v>
      </c>
      <c r="K44" s="37" t="s">
        <v>1672</v>
      </c>
      <c r="L44" s="13">
        <v>72</v>
      </c>
      <c r="M44" s="13" t="s">
        <v>1763</v>
      </c>
      <c r="N44" s="14">
        <v>0</v>
      </c>
      <c r="O44" s="14">
        <v>0</v>
      </c>
      <c r="P44" s="14">
        <v>0</v>
      </c>
      <c r="Q44" s="14">
        <v>0</v>
      </c>
      <c r="R44" s="14">
        <v>24</v>
      </c>
      <c r="S44" s="14">
        <v>0</v>
      </c>
      <c r="T44" s="14">
        <v>48</v>
      </c>
      <c r="U44" s="14">
        <v>0</v>
      </c>
      <c r="V44" s="15">
        <f t="shared" si="5"/>
        <v>72</v>
      </c>
      <c r="W44" s="14">
        <f t="shared" si="5"/>
        <v>0</v>
      </c>
      <c r="X44" s="14">
        <f t="shared" si="1"/>
        <v>0</v>
      </c>
      <c r="Y44" s="14">
        <f t="shared" si="2"/>
        <v>0</v>
      </c>
      <c r="Z44" s="16">
        <f t="shared" si="3"/>
        <v>0</v>
      </c>
      <c r="AA44" s="14">
        <f t="shared" si="4"/>
        <v>0</v>
      </c>
      <c r="AB44" s="17"/>
      <c r="AC44" s="17"/>
    </row>
    <row r="45" spans="1:29" s="21" customFormat="1" ht="13.5" customHeight="1" x14ac:dyDescent="0.2">
      <c r="A45" s="9">
        <v>2</v>
      </c>
      <c r="B45" s="9">
        <v>37</v>
      </c>
      <c r="C45" s="10">
        <v>2018</v>
      </c>
      <c r="D45" s="9">
        <v>33117870</v>
      </c>
      <c r="E45" s="34" t="s">
        <v>469</v>
      </c>
      <c r="F45" s="10" t="s">
        <v>693</v>
      </c>
      <c r="G45" s="11" t="s">
        <v>176</v>
      </c>
      <c r="H45" s="12" t="s">
        <v>1007</v>
      </c>
      <c r="I45" s="12" t="s">
        <v>1007</v>
      </c>
      <c r="J45" s="12" t="s">
        <v>1395</v>
      </c>
      <c r="K45" s="37" t="s">
        <v>1682</v>
      </c>
      <c r="L45" s="13">
        <v>96</v>
      </c>
      <c r="M45" s="13" t="s">
        <v>1763</v>
      </c>
      <c r="N45" s="14">
        <v>0</v>
      </c>
      <c r="O45" s="14">
        <v>0</v>
      </c>
      <c r="P45" s="14">
        <v>0</v>
      </c>
      <c r="Q45" s="14">
        <v>0</v>
      </c>
      <c r="R45" s="14">
        <v>39</v>
      </c>
      <c r="S45" s="14">
        <v>1</v>
      </c>
      <c r="T45" s="14">
        <v>49</v>
      </c>
      <c r="U45" s="14">
        <v>8</v>
      </c>
      <c r="V45" s="15">
        <f t="shared" si="5"/>
        <v>88</v>
      </c>
      <c r="W45" s="14">
        <f t="shared" si="5"/>
        <v>9</v>
      </c>
      <c r="X45" s="14">
        <f t="shared" si="1"/>
        <v>0</v>
      </c>
      <c r="Y45" s="14">
        <f t="shared" si="2"/>
        <v>2</v>
      </c>
      <c r="Z45" s="16">
        <f t="shared" si="3"/>
        <v>6</v>
      </c>
      <c r="AA45" s="14">
        <f t="shared" si="4"/>
        <v>0</v>
      </c>
      <c r="AB45" s="17"/>
      <c r="AC45" s="17"/>
    </row>
    <row r="46" spans="1:29" s="21" customFormat="1" ht="13.5" customHeight="1" x14ac:dyDescent="0.2">
      <c r="A46" s="9">
        <v>2</v>
      </c>
      <c r="B46" s="9">
        <v>38</v>
      </c>
      <c r="C46" s="10">
        <v>2012</v>
      </c>
      <c r="D46" s="9">
        <v>33114455</v>
      </c>
      <c r="E46" s="34" t="s">
        <v>470</v>
      </c>
      <c r="F46" s="10" t="s">
        <v>694</v>
      </c>
      <c r="G46" s="11" t="s">
        <v>177</v>
      </c>
      <c r="H46" s="12" t="s">
        <v>1008</v>
      </c>
      <c r="I46" s="12" t="s">
        <v>1008</v>
      </c>
      <c r="J46" s="12" t="s">
        <v>1396</v>
      </c>
      <c r="K46" s="37" t="s">
        <v>1683</v>
      </c>
      <c r="L46" s="13">
        <v>70</v>
      </c>
      <c r="M46" s="13" t="s">
        <v>1764</v>
      </c>
      <c r="N46" s="14">
        <v>0</v>
      </c>
      <c r="O46" s="14">
        <v>0</v>
      </c>
      <c r="P46" s="14">
        <v>20</v>
      </c>
      <c r="Q46" s="14">
        <v>0</v>
      </c>
      <c r="R46" s="14">
        <v>28</v>
      </c>
      <c r="S46" s="14">
        <v>0</v>
      </c>
      <c r="T46" s="14">
        <v>22</v>
      </c>
      <c r="U46" s="14">
        <v>0</v>
      </c>
      <c r="V46" s="15">
        <f t="shared" si="5"/>
        <v>70</v>
      </c>
      <c r="W46" s="14">
        <f t="shared" si="5"/>
        <v>0</v>
      </c>
      <c r="X46" s="14">
        <f t="shared" si="1"/>
        <v>0</v>
      </c>
      <c r="Y46" s="14">
        <f t="shared" si="2"/>
        <v>0</v>
      </c>
      <c r="Z46" s="16">
        <f t="shared" si="3"/>
        <v>0</v>
      </c>
      <c r="AA46" s="14">
        <f t="shared" si="4"/>
        <v>0</v>
      </c>
      <c r="AB46" s="17"/>
      <c r="AC46" s="17"/>
    </row>
    <row r="47" spans="1:29" s="21" customFormat="1" ht="13.5" customHeight="1" x14ac:dyDescent="0.2">
      <c r="A47" s="9">
        <v>2</v>
      </c>
      <c r="B47" s="9">
        <v>39</v>
      </c>
      <c r="C47" s="10">
        <v>2047</v>
      </c>
      <c r="D47" s="9">
        <v>33122970</v>
      </c>
      <c r="E47" s="34" t="s">
        <v>471</v>
      </c>
      <c r="F47" s="10" t="s">
        <v>695</v>
      </c>
      <c r="G47" s="11" t="s">
        <v>178</v>
      </c>
      <c r="H47" s="12" t="s">
        <v>1009</v>
      </c>
      <c r="I47" s="12" t="s">
        <v>1009</v>
      </c>
      <c r="J47" s="12" t="s">
        <v>1397</v>
      </c>
      <c r="K47" s="37" t="s">
        <v>1667</v>
      </c>
      <c r="L47" s="13">
        <v>65</v>
      </c>
      <c r="M47" s="13" t="s">
        <v>1765</v>
      </c>
      <c r="N47" s="14">
        <v>11</v>
      </c>
      <c r="O47" s="14">
        <v>0</v>
      </c>
      <c r="P47" s="14">
        <v>18</v>
      </c>
      <c r="Q47" s="14">
        <v>1</v>
      </c>
      <c r="R47" s="14">
        <v>14</v>
      </c>
      <c r="S47" s="14">
        <v>0</v>
      </c>
      <c r="T47" s="14">
        <v>20</v>
      </c>
      <c r="U47" s="14">
        <v>0</v>
      </c>
      <c r="V47" s="15">
        <f t="shared" si="5"/>
        <v>63</v>
      </c>
      <c r="W47" s="14">
        <f t="shared" si="5"/>
        <v>1</v>
      </c>
      <c r="X47" s="14">
        <f t="shared" si="1"/>
        <v>2</v>
      </c>
      <c r="Y47" s="14">
        <f t="shared" si="2"/>
        <v>0</v>
      </c>
      <c r="Z47" s="16">
        <f t="shared" si="3"/>
        <v>0</v>
      </c>
      <c r="AA47" s="14">
        <f t="shared" si="4"/>
        <v>0</v>
      </c>
      <c r="AB47" s="17"/>
      <c r="AC47" s="17"/>
    </row>
    <row r="48" spans="1:29" s="21" customFormat="1" ht="13.5" customHeight="1" x14ac:dyDescent="0.2">
      <c r="A48" s="9">
        <v>2</v>
      </c>
      <c r="B48" s="9">
        <v>40</v>
      </c>
      <c r="C48" s="10">
        <v>2048</v>
      </c>
      <c r="D48" s="9">
        <v>33169063</v>
      </c>
      <c r="E48" s="34" t="s">
        <v>472</v>
      </c>
      <c r="F48" s="10" t="s">
        <v>696</v>
      </c>
      <c r="G48" s="11" t="s">
        <v>179</v>
      </c>
      <c r="H48" s="12" t="s">
        <v>1010</v>
      </c>
      <c r="I48" s="12" t="s">
        <v>1010</v>
      </c>
      <c r="J48" s="12" t="s">
        <v>1398</v>
      </c>
      <c r="K48" s="37" t="s">
        <v>1677</v>
      </c>
      <c r="L48" s="13">
        <v>110</v>
      </c>
      <c r="M48" s="13" t="s">
        <v>1764</v>
      </c>
      <c r="N48" s="14">
        <v>0</v>
      </c>
      <c r="O48" s="14">
        <v>0</v>
      </c>
      <c r="P48" s="14">
        <v>25</v>
      </c>
      <c r="Q48" s="14">
        <v>0</v>
      </c>
      <c r="R48" s="14">
        <v>45</v>
      </c>
      <c r="S48" s="14">
        <v>0</v>
      </c>
      <c r="T48" s="14">
        <v>40</v>
      </c>
      <c r="U48" s="14">
        <v>1</v>
      </c>
      <c r="V48" s="15">
        <f t="shared" si="5"/>
        <v>110</v>
      </c>
      <c r="W48" s="14">
        <f t="shared" si="5"/>
        <v>1</v>
      </c>
      <c r="X48" s="14">
        <f t="shared" si="1"/>
        <v>0</v>
      </c>
      <c r="Y48" s="14">
        <f t="shared" si="2"/>
        <v>2</v>
      </c>
      <c r="Z48" s="16">
        <f t="shared" si="3"/>
        <v>0</v>
      </c>
      <c r="AA48" s="14">
        <f t="shared" si="4"/>
        <v>-2</v>
      </c>
      <c r="AB48" s="17"/>
      <c r="AC48" s="17"/>
    </row>
    <row r="49" spans="1:29" s="21" customFormat="1" ht="13.5" customHeight="1" x14ac:dyDescent="0.2">
      <c r="A49" s="9">
        <v>2</v>
      </c>
      <c r="B49" s="9">
        <v>41</v>
      </c>
      <c r="C49" s="10">
        <v>2049</v>
      </c>
      <c r="D49" s="9">
        <v>33120935</v>
      </c>
      <c r="E49" s="34" t="s">
        <v>473</v>
      </c>
      <c r="F49" s="10" t="s">
        <v>697</v>
      </c>
      <c r="G49" s="11" t="s">
        <v>180</v>
      </c>
      <c r="H49" s="12" t="s">
        <v>1011</v>
      </c>
      <c r="I49" s="12" t="s">
        <v>1011</v>
      </c>
      <c r="J49" s="12" t="s">
        <v>1399</v>
      </c>
      <c r="K49" s="37" t="s">
        <v>1684</v>
      </c>
      <c r="L49" s="13">
        <v>85</v>
      </c>
      <c r="M49" s="13" t="s">
        <v>1765</v>
      </c>
      <c r="N49" s="14">
        <v>12</v>
      </c>
      <c r="O49" s="14">
        <v>0</v>
      </c>
      <c r="P49" s="14">
        <v>18</v>
      </c>
      <c r="Q49" s="14">
        <v>0</v>
      </c>
      <c r="R49" s="14">
        <v>35</v>
      </c>
      <c r="S49" s="14">
        <v>0</v>
      </c>
      <c r="T49" s="14">
        <v>19</v>
      </c>
      <c r="U49" s="14">
        <v>0</v>
      </c>
      <c r="V49" s="15">
        <f t="shared" si="5"/>
        <v>84</v>
      </c>
      <c r="W49" s="14">
        <f t="shared" si="5"/>
        <v>0</v>
      </c>
      <c r="X49" s="14">
        <f t="shared" si="1"/>
        <v>0</v>
      </c>
      <c r="Y49" s="14">
        <f t="shared" si="2"/>
        <v>0</v>
      </c>
      <c r="Z49" s="16">
        <f t="shared" si="3"/>
        <v>1</v>
      </c>
      <c r="AA49" s="14">
        <f t="shared" si="4"/>
        <v>0</v>
      </c>
      <c r="AB49" s="17"/>
      <c r="AC49" s="17"/>
    </row>
    <row r="50" spans="1:29" s="21" customFormat="1" ht="13.5" customHeight="1" x14ac:dyDescent="0.2">
      <c r="A50" s="9">
        <v>2</v>
      </c>
      <c r="B50" s="9">
        <v>42</v>
      </c>
      <c r="C50" s="10">
        <v>2019</v>
      </c>
      <c r="D50" s="9">
        <v>33120927</v>
      </c>
      <c r="E50" s="34" t="s">
        <v>474</v>
      </c>
      <c r="F50" s="10" t="s">
        <v>698</v>
      </c>
      <c r="G50" s="11" t="s">
        <v>181</v>
      </c>
      <c r="H50" s="12" t="s">
        <v>1012</v>
      </c>
      <c r="I50" s="12" t="s">
        <v>1255</v>
      </c>
      <c r="J50" s="12" t="s">
        <v>1400</v>
      </c>
      <c r="K50" s="37" t="s">
        <v>1668</v>
      </c>
      <c r="L50" s="13">
        <v>60</v>
      </c>
      <c r="M50" s="13" t="s">
        <v>1764</v>
      </c>
      <c r="N50" s="14">
        <v>0</v>
      </c>
      <c r="O50" s="14">
        <v>0</v>
      </c>
      <c r="P50" s="14">
        <v>18</v>
      </c>
      <c r="Q50" s="14">
        <v>0</v>
      </c>
      <c r="R50" s="14">
        <v>18</v>
      </c>
      <c r="S50" s="14">
        <v>0</v>
      </c>
      <c r="T50" s="14">
        <v>14</v>
      </c>
      <c r="U50" s="14">
        <v>1</v>
      </c>
      <c r="V50" s="15">
        <f t="shared" si="5"/>
        <v>50</v>
      </c>
      <c r="W50" s="14">
        <f t="shared" si="5"/>
        <v>1</v>
      </c>
      <c r="X50" s="14">
        <f t="shared" si="1"/>
        <v>0</v>
      </c>
      <c r="Y50" s="14">
        <f t="shared" si="2"/>
        <v>2</v>
      </c>
      <c r="Z50" s="16">
        <f t="shared" si="3"/>
        <v>8</v>
      </c>
      <c r="AA50" s="14">
        <f t="shared" si="4"/>
        <v>0</v>
      </c>
      <c r="AB50" s="17"/>
      <c r="AC50" s="17"/>
    </row>
    <row r="51" spans="1:29" s="21" customFormat="1" ht="13.5" customHeight="1" x14ac:dyDescent="0.2">
      <c r="A51" s="9">
        <v>2</v>
      </c>
      <c r="B51" s="9">
        <v>43</v>
      </c>
      <c r="C51" s="10">
        <v>2028</v>
      </c>
      <c r="D51" s="9">
        <v>33122610</v>
      </c>
      <c r="E51" s="34" t="s">
        <v>475</v>
      </c>
      <c r="F51" s="10" t="s">
        <v>699</v>
      </c>
      <c r="G51" s="11" t="s">
        <v>182</v>
      </c>
      <c r="H51" s="12" t="s">
        <v>1013</v>
      </c>
      <c r="I51" s="12" t="s">
        <v>1242</v>
      </c>
      <c r="J51" s="12" t="s">
        <v>1401</v>
      </c>
      <c r="K51" s="37" t="s">
        <v>1685</v>
      </c>
      <c r="L51" s="13">
        <v>90</v>
      </c>
      <c r="M51" s="13" t="s">
        <v>1764</v>
      </c>
      <c r="N51" s="14">
        <v>0</v>
      </c>
      <c r="O51" s="14">
        <v>0</v>
      </c>
      <c r="P51" s="14">
        <v>23</v>
      </c>
      <c r="Q51" s="14">
        <v>0</v>
      </c>
      <c r="R51" s="14">
        <v>33</v>
      </c>
      <c r="S51" s="14">
        <v>0</v>
      </c>
      <c r="T51" s="14">
        <v>33</v>
      </c>
      <c r="U51" s="14">
        <v>0</v>
      </c>
      <c r="V51" s="15">
        <f t="shared" si="5"/>
        <v>89</v>
      </c>
      <c r="W51" s="14">
        <f t="shared" si="5"/>
        <v>0</v>
      </c>
      <c r="X51" s="14">
        <f t="shared" si="1"/>
        <v>0</v>
      </c>
      <c r="Y51" s="14">
        <f t="shared" si="2"/>
        <v>0</v>
      </c>
      <c r="Z51" s="16">
        <f t="shared" si="3"/>
        <v>1</v>
      </c>
      <c r="AA51" s="14">
        <f t="shared" si="4"/>
        <v>0</v>
      </c>
      <c r="AB51" s="17"/>
      <c r="AC51" s="17"/>
    </row>
    <row r="52" spans="1:29" s="21" customFormat="1" ht="13.5" customHeight="1" x14ac:dyDescent="0.2">
      <c r="A52" s="9">
        <v>2</v>
      </c>
      <c r="B52" s="9">
        <v>44</v>
      </c>
      <c r="C52" s="10">
        <v>2032</v>
      </c>
      <c r="D52" s="9">
        <v>33122954</v>
      </c>
      <c r="E52" s="34" t="s">
        <v>476</v>
      </c>
      <c r="F52" s="10" t="s">
        <v>700</v>
      </c>
      <c r="G52" s="11" t="s">
        <v>183</v>
      </c>
      <c r="H52" s="12" t="s">
        <v>1014</v>
      </c>
      <c r="I52" s="12" t="s">
        <v>1014</v>
      </c>
      <c r="J52" s="12" t="s">
        <v>1402</v>
      </c>
      <c r="K52" s="37" t="s">
        <v>1682</v>
      </c>
      <c r="L52" s="13">
        <v>80</v>
      </c>
      <c r="M52" s="13" t="s">
        <v>1763</v>
      </c>
      <c r="N52" s="14">
        <v>0</v>
      </c>
      <c r="O52" s="14">
        <v>0</v>
      </c>
      <c r="P52" s="14">
        <v>0</v>
      </c>
      <c r="Q52" s="14">
        <v>0</v>
      </c>
      <c r="R52" s="14">
        <v>37</v>
      </c>
      <c r="S52" s="14">
        <v>0</v>
      </c>
      <c r="T52" s="14">
        <v>43</v>
      </c>
      <c r="U52" s="14">
        <v>3</v>
      </c>
      <c r="V52" s="15">
        <f t="shared" si="5"/>
        <v>80</v>
      </c>
      <c r="W52" s="14">
        <f t="shared" si="5"/>
        <v>3</v>
      </c>
      <c r="X52" s="14">
        <f t="shared" si="1"/>
        <v>0</v>
      </c>
      <c r="Y52" s="14">
        <f t="shared" si="2"/>
        <v>2</v>
      </c>
      <c r="Z52" s="16">
        <f t="shared" si="3"/>
        <v>0</v>
      </c>
      <c r="AA52" s="14">
        <f t="shared" si="4"/>
        <v>-2</v>
      </c>
      <c r="AB52" s="17"/>
      <c r="AC52" s="17"/>
    </row>
    <row r="53" spans="1:29" s="21" customFormat="1" ht="13.5" customHeight="1" x14ac:dyDescent="0.2">
      <c r="A53" s="9">
        <v>2</v>
      </c>
      <c r="B53" s="9">
        <v>45</v>
      </c>
      <c r="C53" s="10">
        <v>2011</v>
      </c>
      <c r="D53" s="9">
        <v>33114404</v>
      </c>
      <c r="E53" s="34" t="s">
        <v>477</v>
      </c>
      <c r="F53" s="10" t="s">
        <v>701</v>
      </c>
      <c r="G53" s="11" t="s">
        <v>184</v>
      </c>
      <c r="H53" s="12" t="s">
        <v>1015</v>
      </c>
      <c r="I53" s="12" t="s">
        <v>1015</v>
      </c>
      <c r="J53" s="12" t="s">
        <v>1403</v>
      </c>
      <c r="K53" s="37" t="s">
        <v>1677</v>
      </c>
      <c r="L53" s="13">
        <v>45</v>
      </c>
      <c r="M53" s="13" t="s">
        <v>1764</v>
      </c>
      <c r="N53" s="14">
        <v>0</v>
      </c>
      <c r="O53" s="14">
        <v>0</v>
      </c>
      <c r="P53" s="14">
        <v>13</v>
      </c>
      <c r="Q53" s="14">
        <v>0</v>
      </c>
      <c r="R53" s="14">
        <v>12</v>
      </c>
      <c r="S53" s="14">
        <v>0</v>
      </c>
      <c r="T53" s="14">
        <v>20</v>
      </c>
      <c r="U53" s="14">
        <v>0</v>
      </c>
      <c r="V53" s="15">
        <f t="shared" si="5"/>
        <v>45</v>
      </c>
      <c r="W53" s="14">
        <f t="shared" si="5"/>
        <v>0</v>
      </c>
      <c r="X53" s="14">
        <f t="shared" si="1"/>
        <v>0</v>
      </c>
      <c r="Y53" s="14">
        <f t="shared" si="2"/>
        <v>0</v>
      </c>
      <c r="Z53" s="16">
        <f t="shared" si="3"/>
        <v>0</v>
      </c>
      <c r="AA53" s="14">
        <f t="shared" si="4"/>
        <v>0</v>
      </c>
      <c r="AB53" s="17"/>
      <c r="AC53" s="17"/>
    </row>
    <row r="54" spans="1:29" s="21" customFormat="1" ht="13.5" customHeight="1" x14ac:dyDescent="0.2">
      <c r="A54" s="9">
        <v>2</v>
      </c>
      <c r="B54" s="9">
        <v>46</v>
      </c>
      <c r="C54" s="10">
        <v>2054</v>
      </c>
      <c r="D54" s="9">
        <v>33182540</v>
      </c>
      <c r="E54" s="34" t="s">
        <v>478</v>
      </c>
      <c r="F54" s="10" t="s">
        <v>702</v>
      </c>
      <c r="G54" s="11" t="s">
        <v>185</v>
      </c>
      <c r="H54" s="12" t="s">
        <v>1016</v>
      </c>
      <c r="I54" s="12" t="s">
        <v>1016</v>
      </c>
      <c r="J54" s="12" t="s">
        <v>1404</v>
      </c>
      <c r="K54" s="37" t="s">
        <v>1667</v>
      </c>
      <c r="L54" s="13">
        <v>75</v>
      </c>
      <c r="M54" s="13" t="s">
        <v>1765</v>
      </c>
      <c r="N54" s="14">
        <v>6</v>
      </c>
      <c r="O54" s="14">
        <v>0</v>
      </c>
      <c r="P54" s="14">
        <v>26</v>
      </c>
      <c r="Q54" s="14">
        <v>0</v>
      </c>
      <c r="R54" s="14">
        <v>23</v>
      </c>
      <c r="S54" s="14">
        <v>0</v>
      </c>
      <c r="T54" s="14">
        <v>16</v>
      </c>
      <c r="U54" s="14">
        <v>0</v>
      </c>
      <c r="V54" s="15">
        <f t="shared" si="5"/>
        <v>71</v>
      </c>
      <c r="W54" s="14">
        <f t="shared" si="5"/>
        <v>0</v>
      </c>
      <c r="X54" s="14">
        <f t="shared" si="1"/>
        <v>0</v>
      </c>
      <c r="Y54" s="14">
        <f t="shared" si="2"/>
        <v>0</v>
      </c>
      <c r="Z54" s="16">
        <f t="shared" si="3"/>
        <v>4</v>
      </c>
      <c r="AA54" s="14">
        <f t="shared" si="4"/>
        <v>0</v>
      </c>
      <c r="AB54" s="17"/>
      <c r="AC54" s="17"/>
    </row>
    <row r="55" spans="1:29" s="21" customFormat="1" ht="13.5" customHeight="1" x14ac:dyDescent="0.2">
      <c r="A55" s="9">
        <v>2</v>
      </c>
      <c r="B55" s="9">
        <v>47</v>
      </c>
      <c r="C55" s="10">
        <v>2058</v>
      </c>
      <c r="D55" s="9">
        <v>33192642</v>
      </c>
      <c r="E55" s="34">
        <v>5575736000101</v>
      </c>
      <c r="F55" s="10">
        <v>20309</v>
      </c>
      <c r="G55" s="11" t="s">
        <v>955</v>
      </c>
      <c r="H55" s="12" t="s">
        <v>1017</v>
      </c>
      <c r="I55" s="12" t="s">
        <v>1256</v>
      </c>
      <c r="J55" s="12" t="s">
        <v>1405</v>
      </c>
      <c r="K55" s="37" t="s">
        <v>1667</v>
      </c>
      <c r="L55" s="13">
        <v>22</v>
      </c>
      <c r="M55" s="13" t="s">
        <v>1763</v>
      </c>
      <c r="N55" s="14">
        <v>0</v>
      </c>
      <c r="O55" s="14">
        <v>0</v>
      </c>
      <c r="P55" s="14">
        <v>0</v>
      </c>
      <c r="Q55" s="14">
        <v>0</v>
      </c>
      <c r="R55" s="14">
        <v>22</v>
      </c>
      <c r="S55" s="14">
        <v>0</v>
      </c>
      <c r="T55" s="14">
        <v>0</v>
      </c>
      <c r="U55" s="14">
        <v>0</v>
      </c>
      <c r="V55" s="15">
        <f t="shared" si="5"/>
        <v>22</v>
      </c>
      <c r="W55" s="14">
        <f t="shared" si="5"/>
        <v>0</v>
      </c>
      <c r="X55" s="14">
        <f t="shared" si="1"/>
        <v>0</v>
      </c>
      <c r="Y55" s="14">
        <f t="shared" si="2"/>
        <v>0</v>
      </c>
      <c r="Z55" s="16">
        <f t="shared" si="3"/>
        <v>0</v>
      </c>
      <c r="AA55" s="14">
        <f t="shared" si="4"/>
        <v>0</v>
      </c>
      <c r="AB55" s="17"/>
      <c r="AC55" s="17"/>
    </row>
    <row r="56" spans="1:29" s="21" customFormat="1" ht="13.5" customHeight="1" x14ac:dyDescent="0.2">
      <c r="A56" s="9">
        <v>2</v>
      </c>
      <c r="B56" s="9">
        <v>47</v>
      </c>
      <c r="C56" s="10">
        <v>2058</v>
      </c>
      <c r="D56" s="9">
        <v>33192642</v>
      </c>
      <c r="E56" s="34">
        <v>5575736000101</v>
      </c>
      <c r="F56" s="10">
        <v>20309</v>
      </c>
      <c r="G56" s="11" t="s">
        <v>955</v>
      </c>
      <c r="H56" s="12" t="s">
        <v>1018</v>
      </c>
      <c r="I56" s="12" t="s">
        <v>1256</v>
      </c>
      <c r="J56" s="12" t="s">
        <v>1405</v>
      </c>
      <c r="K56" s="37" t="s">
        <v>1667</v>
      </c>
      <c r="L56" s="13">
        <v>59</v>
      </c>
      <c r="M56" s="13" t="s">
        <v>1763</v>
      </c>
      <c r="N56" s="14">
        <v>0</v>
      </c>
      <c r="O56" s="14">
        <v>0</v>
      </c>
      <c r="P56" s="14">
        <v>0</v>
      </c>
      <c r="Q56" s="14">
        <v>0</v>
      </c>
      <c r="R56" s="14">
        <v>18</v>
      </c>
      <c r="S56" s="14">
        <v>0</v>
      </c>
      <c r="T56" s="14">
        <v>40</v>
      </c>
      <c r="U56" s="14">
        <v>0</v>
      </c>
      <c r="V56" s="15">
        <f t="shared" si="5"/>
        <v>58</v>
      </c>
      <c r="W56" s="14">
        <f t="shared" si="5"/>
        <v>0</v>
      </c>
      <c r="X56" s="14">
        <f t="shared" si="1"/>
        <v>0</v>
      </c>
      <c r="Y56" s="14">
        <f t="shared" si="2"/>
        <v>0</v>
      </c>
      <c r="Z56" s="16">
        <f t="shared" si="3"/>
        <v>1</v>
      </c>
      <c r="AA56" s="14">
        <f t="shared" si="4"/>
        <v>0</v>
      </c>
      <c r="AB56" s="17"/>
      <c r="AC56" s="17" t="s">
        <v>49</v>
      </c>
    </row>
    <row r="57" spans="1:29" s="21" customFormat="1" ht="13.5" customHeight="1" x14ac:dyDescent="0.2">
      <c r="A57" s="9">
        <v>2</v>
      </c>
      <c r="B57" s="9">
        <v>48</v>
      </c>
      <c r="C57" s="10">
        <v>2059</v>
      </c>
      <c r="D57" s="9">
        <v>33195919</v>
      </c>
      <c r="E57" s="34">
        <v>47609202000107</v>
      </c>
      <c r="F57" s="10">
        <v>20261</v>
      </c>
      <c r="G57" s="11" t="s">
        <v>953</v>
      </c>
      <c r="H57" s="12" t="s">
        <v>1019</v>
      </c>
      <c r="I57" s="12" t="s">
        <v>1257</v>
      </c>
      <c r="J57" s="12" t="s">
        <v>954</v>
      </c>
      <c r="K57" s="37" t="s">
        <v>1667</v>
      </c>
      <c r="L57" s="13">
        <v>35</v>
      </c>
      <c r="M57" s="13" t="s">
        <v>1764</v>
      </c>
      <c r="N57" s="14">
        <v>0</v>
      </c>
      <c r="O57" s="14">
        <v>0</v>
      </c>
      <c r="P57" s="14">
        <v>22</v>
      </c>
      <c r="Q57" s="14">
        <v>1</v>
      </c>
      <c r="R57" s="14">
        <v>6</v>
      </c>
      <c r="S57" s="14">
        <v>0</v>
      </c>
      <c r="T57" s="14">
        <v>7</v>
      </c>
      <c r="U57" s="14">
        <v>1</v>
      </c>
      <c r="V57" s="15">
        <f t="shared" si="5"/>
        <v>35</v>
      </c>
      <c r="W57" s="14">
        <f t="shared" si="5"/>
        <v>2</v>
      </c>
      <c r="X57" s="14">
        <f t="shared" si="1"/>
        <v>2</v>
      </c>
      <c r="Y57" s="14">
        <f t="shared" si="2"/>
        <v>2</v>
      </c>
      <c r="Z57" s="16">
        <f t="shared" si="3"/>
        <v>0</v>
      </c>
      <c r="AA57" s="14">
        <f t="shared" si="4"/>
        <v>-4</v>
      </c>
      <c r="AB57" s="17"/>
      <c r="AC57" s="17"/>
    </row>
    <row r="58" spans="1:29" s="21" customFormat="1" ht="13.5" customHeight="1" x14ac:dyDescent="0.2">
      <c r="A58" s="9">
        <v>3</v>
      </c>
      <c r="B58" s="9">
        <v>1</v>
      </c>
      <c r="C58" s="10">
        <v>3002</v>
      </c>
      <c r="D58" s="9">
        <v>33107262</v>
      </c>
      <c r="E58" s="34" t="s">
        <v>479</v>
      </c>
      <c r="F58" s="10" t="s">
        <v>703</v>
      </c>
      <c r="G58" s="11" t="s">
        <v>186</v>
      </c>
      <c r="H58" s="12" t="s">
        <v>1020</v>
      </c>
      <c r="I58" s="12" t="s">
        <v>1258</v>
      </c>
      <c r="J58" s="12" t="s">
        <v>1406</v>
      </c>
      <c r="K58" s="37" t="s">
        <v>1686</v>
      </c>
      <c r="L58" s="13">
        <v>415</v>
      </c>
      <c r="M58" s="13" t="s">
        <v>1764</v>
      </c>
      <c r="N58" s="14">
        <v>0</v>
      </c>
      <c r="O58" s="14">
        <v>0</v>
      </c>
      <c r="P58" s="14">
        <v>73</v>
      </c>
      <c r="Q58" s="14">
        <v>1</v>
      </c>
      <c r="R58" s="14">
        <v>150</v>
      </c>
      <c r="S58" s="14">
        <v>0</v>
      </c>
      <c r="T58" s="14">
        <v>164</v>
      </c>
      <c r="U58" s="14">
        <v>5</v>
      </c>
      <c r="V58" s="15">
        <f t="shared" si="5"/>
        <v>387</v>
      </c>
      <c r="W58" s="14">
        <f t="shared" si="5"/>
        <v>6</v>
      </c>
      <c r="X58" s="14">
        <f t="shared" si="1"/>
        <v>2</v>
      </c>
      <c r="Y58" s="14">
        <f t="shared" si="2"/>
        <v>2</v>
      </c>
      <c r="Z58" s="16">
        <f t="shared" si="3"/>
        <v>24</v>
      </c>
      <c r="AA58" s="14">
        <f t="shared" si="4"/>
        <v>0</v>
      </c>
      <c r="AB58" s="17"/>
      <c r="AC58" s="17"/>
    </row>
    <row r="59" spans="1:29" s="21" customFormat="1" ht="13.5" customHeight="1" x14ac:dyDescent="0.2">
      <c r="A59" s="9">
        <v>3</v>
      </c>
      <c r="B59" s="9">
        <v>2</v>
      </c>
      <c r="C59" s="10">
        <v>3001</v>
      </c>
      <c r="D59" s="9">
        <v>33161259</v>
      </c>
      <c r="E59" s="34" t="s">
        <v>480</v>
      </c>
      <c r="F59" s="10" t="s">
        <v>704</v>
      </c>
      <c r="G59" s="11" t="s">
        <v>187</v>
      </c>
      <c r="H59" s="12" t="s">
        <v>1021</v>
      </c>
      <c r="I59" s="12" t="s">
        <v>1021</v>
      </c>
      <c r="J59" s="12" t="s">
        <v>1407</v>
      </c>
      <c r="K59" s="37" t="s">
        <v>1687</v>
      </c>
      <c r="L59" s="13">
        <v>82</v>
      </c>
      <c r="M59" s="13" t="s">
        <v>1764</v>
      </c>
      <c r="N59" s="14">
        <v>0</v>
      </c>
      <c r="O59" s="14">
        <v>0</v>
      </c>
      <c r="P59" s="14">
        <v>12</v>
      </c>
      <c r="Q59" s="14">
        <v>0</v>
      </c>
      <c r="R59" s="14">
        <v>30</v>
      </c>
      <c r="S59" s="14">
        <v>0</v>
      </c>
      <c r="T59" s="14">
        <v>40</v>
      </c>
      <c r="U59" s="14">
        <v>1</v>
      </c>
      <c r="V59" s="15">
        <f t="shared" si="5"/>
        <v>82</v>
      </c>
      <c r="W59" s="14">
        <f t="shared" si="5"/>
        <v>1</v>
      </c>
      <c r="X59" s="14">
        <f t="shared" si="1"/>
        <v>0</v>
      </c>
      <c r="Y59" s="14">
        <f t="shared" si="2"/>
        <v>2</v>
      </c>
      <c r="Z59" s="16">
        <f t="shared" si="3"/>
        <v>0</v>
      </c>
      <c r="AA59" s="14">
        <f t="shared" si="4"/>
        <v>-2</v>
      </c>
      <c r="AB59" s="17"/>
      <c r="AC59" s="17"/>
    </row>
    <row r="60" spans="1:29" s="21" customFormat="1" ht="13.5" customHeight="1" x14ac:dyDescent="0.2">
      <c r="A60" s="9">
        <v>3</v>
      </c>
      <c r="B60" s="9">
        <v>3</v>
      </c>
      <c r="C60" s="10">
        <v>3024</v>
      </c>
      <c r="D60" s="9">
        <v>33177422</v>
      </c>
      <c r="E60" s="34" t="s">
        <v>481</v>
      </c>
      <c r="F60" s="10" t="s">
        <v>705</v>
      </c>
      <c r="G60" s="11" t="s">
        <v>188</v>
      </c>
      <c r="H60" s="12" t="s">
        <v>1022</v>
      </c>
      <c r="I60" s="12" t="s">
        <v>1259</v>
      </c>
      <c r="J60" s="12" t="s">
        <v>1408</v>
      </c>
      <c r="K60" s="37" t="s">
        <v>1688</v>
      </c>
      <c r="L60" s="13">
        <v>143</v>
      </c>
      <c r="M60" s="13" t="s">
        <v>1764</v>
      </c>
      <c r="N60" s="14">
        <v>0</v>
      </c>
      <c r="O60" s="14">
        <v>0</v>
      </c>
      <c r="P60" s="14">
        <v>49</v>
      </c>
      <c r="Q60" s="14">
        <v>0</v>
      </c>
      <c r="R60" s="14">
        <v>50</v>
      </c>
      <c r="S60" s="14">
        <v>0</v>
      </c>
      <c r="T60" s="14">
        <v>43</v>
      </c>
      <c r="U60" s="14">
        <v>1</v>
      </c>
      <c r="V60" s="15">
        <f t="shared" si="5"/>
        <v>142</v>
      </c>
      <c r="W60" s="14">
        <f t="shared" si="5"/>
        <v>1</v>
      </c>
      <c r="X60" s="14">
        <f t="shared" si="1"/>
        <v>0</v>
      </c>
      <c r="Y60" s="14">
        <f t="shared" si="2"/>
        <v>2</v>
      </c>
      <c r="Z60" s="16">
        <f t="shared" si="3"/>
        <v>0</v>
      </c>
      <c r="AA60" s="14">
        <f t="shared" si="4"/>
        <v>-1</v>
      </c>
      <c r="AB60" s="17"/>
      <c r="AC60" s="17"/>
    </row>
    <row r="61" spans="1:29" s="21" customFormat="1" ht="13.5" customHeight="1" x14ac:dyDescent="0.2">
      <c r="A61" s="9">
        <v>3</v>
      </c>
      <c r="B61" s="9">
        <v>4</v>
      </c>
      <c r="C61" s="10">
        <v>3003</v>
      </c>
      <c r="D61" s="9">
        <v>33141240</v>
      </c>
      <c r="E61" s="34" t="s">
        <v>482</v>
      </c>
      <c r="F61" s="10" t="s">
        <v>706</v>
      </c>
      <c r="G61" s="11" t="s">
        <v>189</v>
      </c>
      <c r="H61" s="12" t="s">
        <v>1023</v>
      </c>
      <c r="I61" s="12" t="s">
        <v>1023</v>
      </c>
      <c r="J61" s="12" t="s">
        <v>1409</v>
      </c>
      <c r="K61" s="37" t="s">
        <v>1686</v>
      </c>
      <c r="L61" s="13">
        <v>200</v>
      </c>
      <c r="M61" s="13" t="s">
        <v>1763</v>
      </c>
      <c r="N61" s="14">
        <v>0</v>
      </c>
      <c r="O61" s="14">
        <v>0</v>
      </c>
      <c r="P61" s="14">
        <v>0</v>
      </c>
      <c r="Q61" s="14">
        <v>0</v>
      </c>
      <c r="R61" s="14">
        <v>89</v>
      </c>
      <c r="S61" s="14">
        <v>3</v>
      </c>
      <c r="T61" s="14">
        <v>109</v>
      </c>
      <c r="U61" s="14">
        <v>7</v>
      </c>
      <c r="V61" s="15">
        <f t="shared" si="5"/>
        <v>198</v>
      </c>
      <c r="W61" s="14">
        <f t="shared" si="5"/>
        <v>10</v>
      </c>
      <c r="X61" s="14">
        <f t="shared" si="1"/>
        <v>0</v>
      </c>
      <c r="Y61" s="14">
        <f t="shared" si="2"/>
        <v>2</v>
      </c>
      <c r="Z61" s="16">
        <f t="shared" si="3"/>
        <v>0</v>
      </c>
      <c r="AA61" s="14">
        <f t="shared" si="4"/>
        <v>0</v>
      </c>
      <c r="AB61" s="17"/>
      <c r="AC61" s="17"/>
    </row>
    <row r="62" spans="1:29" s="21" customFormat="1" ht="13.5" customHeight="1" x14ac:dyDescent="0.2">
      <c r="A62" s="9">
        <v>3</v>
      </c>
      <c r="B62" s="9">
        <v>5</v>
      </c>
      <c r="C62" s="10">
        <v>3004</v>
      </c>
      <c r="D62" s="9">
        <v>33110689</v>
      </c>
      <c r="E62" s="34" t="s">
        <v>483</v>
      </c>
      <c r="F62" s="10" t="s">
        <v>707</v>
      </c>
      <c r="G62" s="11" t="s">
        <v>190</v>
      </c>
      <c r="H62" s="12" t="s">
        <v>1024</v>
      </c>
      <c r="I62" s="12" t="s">
        <v>1242</v>
      </c>
      <c r="J62" s="12" t="s">
        <v>1410</v>
      </c>
      <c r="K62" s="37" t="s">
        <v>1689</v>
      </c>
      <c r="L62" s="13">
        <v>50</v>
      </c>
      <c r="M62" s="13" t="s">
        <v>1763</v>
      </c>
      <c r="N62" s="14">
        <v>0</v>
      </c>
      <c r="O62" s="14">
        <v>0</v>
      </c>
      <c r="P62" s="14">
        <v>0</v>
      </c>
      <c r="Q62" s="14">
        <v>0</v>
      </c>
      <c r="R62" s="14">
        <v>24</v>
      </c>
      <c r="S62" s="14">
        <v>1</v>
      </c>
      <c r="T62" s="14">
        <v>25</v>
      </c>
      <c r="U62" s="14">
        <v>0</v>
      </c>
      <c r="V62" s="15">
        <f t="shared" si="5"/>
        <v>49</v>
      </c>
      <c r="W62" s="14">
        <f t="shared" si="5"/>
        <v>1</v>
      </c>
      <c r="X62" s="14">
        <f t="shared" si="1"/>
        <v>0</v>
      </c>
      <c r="Y62" s="14">
        <f t="shared" si="2"/>
        <v>2</v>
      </c>
      <c r="Z62" s="16">
        <f t="shared" si="3"/>
        <v>0</v>
      </c>
      <c r="AA62" s="14">
        <f t="shared" si="4"/>
        <v>-1</v>
      </c>
      <c r="AB62" s="17"/>
      <c r="AC62" s="17"/>
    </row>
    <row r="63" spans="1:29" s="21" customFormat="1" ht="13.5" customHeight="1" x14ac:dyDescent="0.2">
      <c r="A63" s="9">
        <v>3</v>
      </c>
      <c r="B63" s="9">
        <v>6</v>
      </c>
      <c r="C63" s="10">
        <v>3025</v>
      </c>
      <c r="D63" s="9">
        <v>33184488</v>
      </c>
      <c r="E63" s="34" t="s">
        <v>484</v>
      </c>
      <c r="F63" s="10" t="s">
        <v>708</v>
      </c>
      <c r="G63" s="11" t="s">
        <v>191</v>
      </c>
      <c r="H63" s="12" t="s">
        <v>1025</v>
      </c>
      <c r="I63" s="12" t="s">
        <v>1260</v>
      </c>
      <c r="J63" s="12" t="s">
        <v>1411</v>
      </c>
      <c r="K63" s="37" t="s">
        <v>1690</v>
      </c>
      <c r="L63" s="13">
        <v>157</v>
      </c>
      <c r="M63" s="13" t="s">
        <v>1764</v>
      </c>
      <c r="N63" s="14">
        <v>0</v>
      </c>
      <c r="O63" s="14">
        <v>0</v>
      </c>
      <c r="P63" s="14">
        <v>47</v>
      </c>
      <c r="Q63" s="14">
        <v>0</v>
      </c>
      <c r="R63" s="14">
        <v>58</v>
      </c>
      <c r="S63" s="14">
        <v>0</v>
      </c>
      <c r="T63" s="14">
        <v>52</v>
      </c>
      <c r="U63" s="14">
        <v>0</v>
      </c>
      <c r="V63" s="15">
        <f t="shared" si="5"/>
        <v>157</v>
      </c>
      <c r="W63" s="14">
        <f t="shared" si="5"/>
        <v>0</v>
      </c>
      <c r="X63" s="14">
        <f t="shared" si="1"/>
        <v>0</v>
      </c>
      <c r="Y63" s="14">
        <f t="shared" si="2"/>
        <v>0</v>
      </c>
      <c r="Z63" s="16">
        <f t="shared" si="3"/>
        <v>0</v>
      </c>
      <c r="AA63" s="14">
        <f t="shared" si="4"/>
        <v>0</v>
      </c>
      <c r="AB63" s="17"/>
      <c r="AC63" s="17"/>
    </row>
    <row r="64" spans="1:29" s="21" customFormat="1" ht="13.5" customHeight="1" x14ac:dyDescent="0.2">
      <c r="A64" s="9">
        <v>3</v>
      </c>
      <c r="B64" s="9">
        <v>7</v>
      </c>
      <c r="C64" s="10">
        <v>3035</v>
      </c>
      <c r="D64" s="9" t="s">
        <v>122</v>
      </c>
      <c r="E64" s="34" t="s">
        <v>485</v>
      </c>
      <c r="F64" s="10" t="s">
        <v>709</v>
      </c>
      <c r="G64" s="11" t="s">
        <v>192</v>
      </c>
      <c r="H64" s="12" t="s">
        <v>1026</v>
      </c>
      <c r="I64" s="12" t="s">
        <v>1261</v>
      </c>
      <c r="J64" s="12" t="s">
        <v>1412</v>
      </c>
      <c r="K64" s="37" t="s">
        <v>1691</v>
      </c>
      <c r="L64" s="13">
        <v>67</v>
      </c>
      <c r="M64" s="13" t="s">
        <v>1763</v>
      </c>
      <c r="N64" s="14">
        <v>0</v>
      </c>
      <c r="O64" s="14">
        <v>0</v>
      </c>
      <c r="P64" s="14">
        <v>0</v>
      </c>
      <c r="Q64" s="14">
        <v>0</v>
      </c>
      <c r="R64" s="14">
        <v>39</v>
      </c>
      <c r="S64" s="14">
        <v>0</v>
      </c>
      <c r="T64" s="14">
        <v>28</v>
      </c>
      <c r="U64" s="14">
        <v>0</v>
      </c>
      <c r="V64" s="15">
        <f t="shared" si="5"/>
        <v>67</v>
      </c>
      <c r="W64" s="14">
        <f t="shared" si="5"/>
        <v>0</v>
      </c>
      <c r="X64" s="14">
        <f t="shared" si="1"/>
        <v>0</v>
      </c>
      <c r="Y64" s="14">
        <f t="shared" si="2"/>
        <v>0</v>
      </c>
      <c r="Z64" s="16">
        <f t="shared" si="3"/>
        <v>0</v>
      </c>
      <c r="AA64" s="14">
        <f t="shared" si="4"/>
        <v>0</v>
      </c>
      <c r="AB64" s="17"/>
      <c r="AC64" s="17" t="s">
        <v>55</v>
      </c>
    </row>
    <row r="65" spans="1:29" s="21" customFormat="1" ht="13.5" customHeight="1" x14ac:dyDescent="0.2">
      <c r="A65" s="9">
        <v>3</v>
      </c>
      <c r="B65" s="9">
        <v>8</v>
      </c>
      <c r="C65" s="10">
        <v>3026</v>
      </c>
      <c r="D65" s="9">
        <v>33180547</v>
      </c>
      <c r="E65" s="34" t="s">
        <v>486</v>
      </c>
      <c r="F65" s="10" t="s">
        <v>710</v>
      </c>
      <c r="G65" s="11" t="s">
        <v>193</v>
      </c>
      <c r="H65" s="12" t="s">
        <v>1027</v>
      </c>
      <c r="I65" s="12" t="s">
        <v>1262</v>
      </c>
      <c r="J65" s="12" t="s">
        <v>1413</v>
      </c>
      <c r="K65" s="37" t="s">
        <v>1692</v>
      </c>
      <c r="L65" s="13">
        <v>243</v>
      </c>
      <c r="M65" s="13" t="s">
        <v>1765</v>
      </c>
      <c r="N65" s="14">
        <v>20</v>
      </c>
      <c r="O65" s="14">
        <v>0</v>
      </c>
      <c r="P65" s="14">
        <v>79</v>
      </c>
      <c r="Q65" s="14">
        <v>2</v>
      </c>
      <c r="R65" s="14">
        <v>79</v>
      </c>
      <c r="S65" s="14">
        <v>3</v>
      </c>
      <c r="T65" s="14">
        <v>60</v>
      </c>
      <c r="U65" s="14">
        <v>0</v>
      </c>
      <c r="V65" s="15">
        <f t="shared" si="5"/>
        <v>238</v>
      </c>
      <c r="W65" s="14">
        <f t="shared" si="5"/>
        <v>5</v>
      </c>
      <c r="X65" s="14">
        <f t="shared" si="1"/>
        <v>2</v>
      </c>
      <c r="Y65" s="14">
        <f t="shared" si="2"/>
        <v>2</v>
      </c>
      <c r="Z65" s="16">
        <f t="shared" si="3"/>
        <v>1</v>
      </c>
      <c r="AA65" s="14">
        <f t="shared" si="4"/>
        <v>0</v>
      </c>
      <c r="AB65" s="17"/>
      <c r="AC65" s="17"/>
    </row>
    <row r="66" spans="1:29" s="21" customFormat="1" ht="13.5" customHeight="1" x14ac:dyDescent="0.2">
      <c r="A66" s="9">
        <v>3</v>
      </c>
      <c r="B66" s="9">
        <v>9</v>
      </c>
      <c r="C66" s="10">
        <v>3005</v>
      </c>
      <c r="D66" s="9">
        <v>33111634</v>
      </c>
      <c r="E66" s="34" t="s">
        <v>487</v>
      </c>
      <c r="F66" s="10" t="s">
        <v>711</v>
      </c>
      <c r="G66" s="11" t="s">
        <v>194</v>
      </c>
      <c r="H66" s="12" t="s">
        <v>1028</v>
      </c>
      <c r="I66" s="12" t="s">
        <v>1263</v>
      </c>
      <c r="J66" s="12" t="s">
        <v>1414</v>
      </c>
      <c r="K66" s="37" t="s">
        <v>1693</v>
      </c>
      <c r="L66" s="13">
        <v>150</v>
      </c>
      <c r="M66" s="13" t="s">
        <v>1763</v>
      </c>
      <c r="N66" s="14">
        <v>0</v>
      </c>
      <c r="O66" s="14">
        <v>0</v>
      </c>
      <c r="P66" s="14">
        <v>0</v>
      </c>
      <c r="Q66" s="14">
        <v>0</v>
      </c>
      <c r="R66" s="14">
        <v>76</v>
      </c>
      <c r="S66" s="14">
        <v>2</v>
      </c>
      <c r="T66" s="14">
        <v>74</v>
      </c>
      <c r="U66" s="14">
        <v>1</v>
      </c>
      <c r="V66" s="15">
        <f t="shared" si="5"/>
        <v>150</v>
      </c>
      <c r="W66" s="14">
        <f t="shared" si="5"/>
        <v>3</v>
      </c>
      <c r="X66" s="14">
        <f t="shared" si="1"/>
        <v>0</v>
      </c>
      <c r="Y66" s="14">
        <f t="shared" si="2"/>
        <v>2</v>
      </c>
      <c r="Z66" s="16">
        <f t="shared" si="3"/>
        <v>0</v>
      </c>
      <c r="AA66" s="14">
        <f t="shared" si="4"/>
        <v>-2</v>
      </c>
      <c r="AB66" s="17"/>
      <c r="AC66" s="17"/>
    </row>
    <row r="67" spans="1:29" s="21" customFormat="1" ht="13.5" customHeight="1" x14ac:dyDescent="0.2">
      <c r="A67" s="9">
        <v>3</v>
      </c>
      <c r="B67" s="9">
        <v>10</v>
      </c>
      <c r="C67" s="10">
        <v>3027</v>
      </c>
      <c r="D67" s="9">
        <v>33188173</v>
      </c>
      <c r="E67" s="34" t="s">
        <v>484</v>
      </c>
      <c r="F67" s="10" t="s">
        <v>712</v>
      </c>
      <c r="G67" s="11" t="s">
        <v>195</v>
      </c>
      <c r="H67" s="12" t="s">
        <v>1029</v>
      </c>
      <c r="I67" s="12" t="s">
        <v>1264</v>
      </c>
      <c r="J67" s="12" t="s">
        <v>1415</v>
      </c>
      <c r="K67" s="37" t="s">
        <v>1693</v>
      </c>
      <c r="L67" s="13">
        <v>269</v>
      </c>
      <c r="M67" s="13" t="s">
        <v>1764</v>
      </c>
      <c r="N67" s="14">
        <v>0</v>
      </c>
      <c r="O67" s="14">
        <v>0</v>
      </c>
      <c r="P67" s="14">
        <v>78</v>
      </c>
      <c r="Q67" s="14">
        <v>0</v>
      </c>
      <c r="R67" s="14">
        <v>106</v>
      </c>
      <c r="S67" s="14">
        <v>0</v>
      </c>
      <c r="T67" s="14">
        <v>77</v>
      </c>
      <c r="U67" s="14">
        <v>0</v>
      </c>
      <c r="V67" s="15">
        <f t="shared" si="5"/>
        <v>261</v>
      </c>
      <c r="W67" s="14">
        <f t="shared" si="5"/>
        <v>0</v>
      </c>
      <c r="X67" s="14">
        <f t="shared" ref="X67:X130" si="6">IF((O67+Q67)&gt;=1,2,0)</f>
        <v>0</v>
      </c>
      <c r="Y67" s="14">
        <f t="shared" ref="Y67:Y130" si="7">IF((S67+U67)&gt;=1,2,0)</f>
        <v>0</v>
      </c>
      <c r="Z67" s="16">
        <f t="shared" ref="Z67:Z130" si="8">IF(SUM(L67-V67-(X67+Y67))&lt;=0,0,SUM(L67-V67-(X67+Y67)))</f>
        <v>8</v>
      </c>
      <c r="AA67" s="14">
        <f t="shared" ref="AA67:AA130" si="9">IF(SUM(L67-V67-(X67+Y67))&lt;0,SUM(L67-V67-(X67+Y67)),0)</f>
        <v>0</v>
      </c>
      <c r="AB67" s="17"/>
      <c r="AC67" s="17"/>
    </row>
    <row r="68" spans="1:29" s="21" customFormat="1" ht="13.5" customHeight="1" x14ac:dyDescent="0.2">
      <c r="A68" s="9">
        <v>3</v>
      </c>
      <c r="B68" s="9">
        <v>11</v>
      </c>
      <c r="C68" s="10">
        <v>3029</v>
      </c>
      <c r="D68" s="9">
        <v>33191980</v>
      </c>
      <c r="E68" s="34" t="s">
        <v>488</v>
      </c>
      <c r="F68" s="10" t="s">
        <v>713</v>
      </c>
      <c r="G68" s="11" t="s">
        <v>196</v>
      </c>
      <c r="H68" s="12" t="s">
        <v>1030</v>
      </c>
      <c r="I68" s="12" t="s">
        <v>1265</v>
      </c>
      <c r="J68" s="12" t="s">
        <v>1416</v>
      </c>
      <c r="K68" s="37" t="s">
        <v>1687</v>
      </c>
      <c r="L68" s="13">
        <v>90</v>
      </c>
      <c r="M68" s="13" t="s">
        <v>1764</v>
      </c>
      <c r="N68" s="14">
        <v>0</v>
      </c>
      <c r="O68" s="14">
        <v>0</v>
      </c>
      <c r="P68" s="14">
        <v>28</v>
      </c>
      <c r="Q68" s="14">
        <v>0</v>
      </c>
      <c r="R68" s="14">
        <v>32</v>
      </c>
      <c r="S68" s="14">
        <v>0</v>
      </c>
      <c r="T68" s="14">
        <v>31</v>
      </c>
      <c r="U68" s="14">
        <v>2</v>
      </c>
      <c r="V68" s="15">
        <f t="shared" si="5"/>
        <v>91</v>
      </c>
      <c r="W68" s="14">
        <f t="shared" si="5"/>
        <v>2</v>
      </c>
      <c r="X68" s="14">
        <f t="shared" si="6"/>
        <v>0</v>
      </c>
      <c r="Y68" s="14">
        <f t="shared" si="7"/>
        <v>2</v>
      </c>
      <c r="Z68" s="16">
        <f t="shared" si="8"/>
        <v>0</v>
      </c>
      <c r="AA68" s="14">
        <f t="shared" si="9"/>
        <v>-3</v>
      </c>
      <c r="AB68" s="17"/>
      <c r="AC68" s="17" t="s">
        <v>48</v>
      </c>
    </row>
    <row r="69" spans="1:29" s="21" customFormat="1" ht="13.5" customHeight="1" x14ac:dyDescent="0.2">
      <c r="A69" s="9">
        <v>3</v>
      </c>
      <c r="B69" s="9">
        <v>12</v>
      </c>
      <c r="C69" s="10">
        <v>3006</v>
      </c>
      <c r="D69" s="9">
        <v>33183201</v>
      </c>
      <c r="E69" s="34" t="s">
        <v>489</v>
      </c>
      <c r="F69" s="10" t="s">
        <v>714</v>
      </c>
      <c r="G69" s="11" t="s">
        <v>197</v>
      </c>
      <c r="H69" s="12" t="s">
        <v>1031</v>
      </c>
      <c r="I69" s="12" t="s">
        <v>1266</v>
      </c>
      <c r="J69" s="12" t="s">
        <v>1417</v>
      </c>
      <c r="K69" s="37" t="s">
        <v>1687</v>
      </c>
      <c r="L69" s="13">
        <v>85</v>
      </c>
      <c r="M69" s="13" t="s">
        <v>1764</v>
      </c>
      <c r="N69" s="14">
        <v>0</v>
      </c>
      <c r="O69" s="14">
        <v>0</v>
      </c>
      <c r="P69" s="14">
        <v>15</v>
      </c>
      <c r="Q69" s="14">
        <v>0</v>
      </c>
      <c r="R69" s="14">
        <v>32</v>
      </c>
      <c r="S69" s="14">
        <v>0</v>
      </c>
      <c r="T69" s="14">
        <v>38</v>
      </c>
      <c r="U69" s="14">
        <v>0</v>
      </c>
      <c r="V69" s="15">
        <f t="shared" si="5"/>
        <v>85</v>
      </c>
      <c r="W69" s="14">
        <f t="shared" si="5"/>
        <v>0</v>
      </c>
      <c r="X69" s="14">
        <f t="shared" si="6"/>
        <v>0</v>
      </c>
      <c r="Y69" s="14">
        <f t="shared" si="7"/>
        <v>0</v>
      </c>
      <c r="Z69" s="16">
        <f t="shared" si="8"/>
        <v>0</v>
      </c>
      <c r="AA69" s="14">
        <f t="shared" si="9"/>
        <v>0</v>
      </c>
      <c r="AB69" s="17"/>
      <c r="AC69" s="17"/>
    </row>
    <row r="70" spans="1:29" s="21" customFormat="1" ht="13.5" customHeight="1" x14ac:dyDescent="0.2">
      <c r="A70" s="9">
        <v>3</v>
      </c>
      <c r="B70" s="9">
        <v>13</v>
      </c>
      <c r="C70" s="10">
        <v>3007</v>
      </c>
      <c r="D70" s="9">
        <v>33109184</v>
      </c>
      <c r="E70" s="34" t="s">
        <v>490</v>
      </c>
      <c r="F70" s="10" t="s">
        <v>715</v>
      </c>
      <c r="G70" s="11" t="s">
        <v>198</v>
      </c>
      <c r="H70" s="12" t="s">
        <v>1032</v>
      </c>
      <c r="I70" s="12" t="s">
        <v>1267</v>
      </c>
      <c r="J70" s="12" t="s">
        <v>1418</v>
      </c>
      <c r="K70" s="37" t="s">
        <v>1694</v>
      </c>
      <c r="L70" s="13">
        <v>65</v>
      </c>
      <c r="M70" s="13" t="s">
        <v>1764</v>
      </c>
      <c r="N70" s="14">
        <v>0</v>
      </c>
      <c r="O70" s="14">
        <v>0</v>
      </c>
      <c r="P70" s="14">
        <v>18</v>
      </c>
      <c r="Q70" s="14">
        <v>0</v>
      </c>
      <c r="R70" s="14">
        <v>30</v>
      </c>
      <c r="S70" s="14">
        <v>0</v>
      </c>
      <c r="T70" s="14">
        <v>18</v>
      </c>
      <c r="U70" s="14">
        <v>0</v>
      </c>
      <c r="V70" s="15">
        <f t="shared" si="5"/>
        <v>66</v>
      </c>
      <c r="W70" s="14">
        <f t="shared" si="5"/>
        <v>0</v>
      </c>
      <c r="X70" s="14">
        <f t="shared" si="6"/>
        <v>0</v>
      </c>
      <c r="Y70" s="14">
        <f t="shared" si="7"/>
        <v>0</v>
      </c>
      <c r="Z70" s="16">
        <f t="shared" si="8"/>
        <v>0</v>
      </c>
      <c r="AA70" s="14">
        <f t="shared" si="9"/>
        <v>-1</v>
      </c>
      <c r="AB70" s="17"/>
      <c r="AC70" s="17"/>
    </row>
    <row r="71" spans="1:29" s="21" customFormat="1" ht="13.5" customHeight="1" x14ac:dyDescent="0.2">
      <c r="A71" s="9">
        <v>3</v>
      </c>
      <c r="B71" s="9">
        <v>14</v>
      </c>
      <c r="C71" s="10">
        <v>3008</v>
      </c>
      <c r="D71" s="9">
        <v>33068712</v>
      </c>
      <c r="E71" s="34" t="s">
        <v>491</v>
      </c>
      <c r="F71" s="10" t="s">
        <v>716</v>
      </c>
      <c r="G71" s="11" t="s">
        <v>199</v>
      </c>
      <c r="H71" s="12" t="s">
        <v>1033</v>
      </c>
      <c r="I71" s="12" t="s">
        <v>1268</v>
      </c>
      <c r="J71" s="12" t="s">
        <v>1419</v>
      </c>
      <c r="K71" s="37" t="s">
        <v>1695</v>
      </c>
      <c r="L71" s="13">
        <v>104</v>
      </c>
      <c r="M71" s="13" t="s">
        <v>1763</v>
      </c>
      <c r="N71" s="14">
        <v>0</v>
      </c>
      <c r="O71" s="14">
        <v>0</v>
      </c>
      <c r="P71" s="14">
        <v>0</v>
      </c>
      <c r="Q71" s="14">
        <v>0</v>
      </c>
      <c r="R71" s="14">
        <v>36</v>
      </c>
      <c r="S71" s="14">
        <v>0</v>
      </c>
      <c r="T71" s="14">
        <v>49</v>
      </c>
      <c r="U71" s="14">
        <v>0</v>
      </c>
      <c r="V71" s="15">
        <f t="shared" si="5"/>
        <v>85</v>
      </c>
      <c r="W71" s="14">
        <f t="shared" si="5"/>
        <v>0</v>
      </c>
      <c r="X71" s="14">
        <f t="shared" si="6"/>
        <v>0</v>
      </c>
      <c r="Y71" s="14">
        <f t="shared" si="7"/>
        <v>0</v>
      </c>
      <c r="Z71" s="16">
        <f t="shared" si="8"/>
        <v>19</v>
      </c>
      <c r="AA71" s="14">
        <f t="shared" si="9"/>
        <v>0</v>
      </c>
      <c r="AB71" s="17"/>
      <c r="AC71" s="17"/>
    </row>
    <row r="72" spans="1:29" s="21" customFormat="1" ht="13.5" customHeight="1" x14ac:dyDescent="0.2">
      <c r="A72" s="9">
        <v>3</v>
      </c>
      <c r="B72" s="9">
        <v>15</v>
      </c>
      <c r="C72" s="10">
        <v>3009</v>
      </c>
      <c r="D72" s="9">
        <v>33109036</v>
      </c>
      <c r="E72" s="34" t="s">
        <v>492</v>
      </c>
      <c r="F72" s="10" t="s">
        <v>717</v>
      </c>
      <c r="G72" s="11" t="s">
        <v>200</v>
      </c>
      <c r="H72" s="12" t="s">
        <v>1034</v>
      </c>
      <c r="I72" s="12" t="s">
        <v>1269</v>
      </c>
      <c r="J72" s="12" t="s">
        <v>1420</v>
      </c>
      <c r="K72" s="37" t="s">
        <v>1695</v>
      </c>
      <c r="L72" s="13">
        <v>80</v>
      </c>
      <c r="M72" s="13" t="s">
        <v>1763</v>
      </c>
      <c r="N72" s="14">
        <v>0</v>
      </c>
      <c r="O72" s="14">
        <v>0</v>
      </c>
      <c r="P72" s="14">
        <v>0</v>
      </c>
      <c r="Q72" s="14">
        <v>0</v>
      </c>
      <c r="R72" s="14">
        <v>39</v>
      </c>
      <c r="S72" s="14">
        <v>1</v>
      </c>
      <c r="T72" s="14">
        <v>32</v>
      </c>
      <c r="U72" s="14">
        <v>0</v>
      </c>
      <c r="V72" s="15">
        <f t="shared" si="5"/>
        <v>71</v>
      </c>
      <c r="W72" s="14">
        <f t="shared" si="5"/>
        <v>1</v>
      </c>
      <c r="X72" s="14">
        <f t="shared" si="6"/>
        <v>0</v>
      </c>
      <c r="Y72" s="14">
        <f t="shared" si="7"/>
        <v>2</v>
      </c>
      <c r="Z72" s="16">
        <f t="shared" si="8"/>
        <v>7</v>
      </c>
      <c r="AA72" s="14">
        <f t="shared" si="9"/>
        <v>0</v>
      </c>
      <c r="AB72" s="17"/>
      <c r="AC72" s="17"/>
    </row>
    <row r="73" spans="1:29" s="21" customFormat="1" ht="13.5" customHeight="1" x14ac:dyDescent="0.2">
      <c r="A73" s="9">
        <v>3</v>
      </c>
      <c r="B73" s="9">
        <v>16</v>
      </c>
      <c r="C73" s="10">
        <v>3021</v>
      </c>
      <c r="D73" s="9">
        <v>33161399</v>
      </c>
      <c r="E73" s="34" t="s">
        <v>488</v>
      </c>
      <c r="F73" s="10" t="s">
        <v>718</v>
      </c>
      <c r="G73" s="11" t="s">
        <v>201</v>
      </c>
      <c r="H73" s="12" t="s">
        <v>1035</v>
      </c>
      <c r="I73" s="12" t="s">
        <v>1270</v>
      </c>
      <c r="J73" s="12" t="s">
        <v>1421</v>
      </c>
      <c r="K73" s="37" t="s">
        <v>1696</v>
      </c>
      <c r="L73" s="13">
        <v>180</v>
      </c>
      <c r="M73" s="13" t="s">
        <v>1764</v>
      </c>
      <c r="N73" s="14">
        <v>0</v>
      </c>
      <c r="O73" s="14">
        <v>0</v>
      </c>
      <c r="P73" s="14">
        <v>51</v>
      </c>
      <c r="Q73" s="14">
        <v>0</v>
      </c>
      <c r="R73" s="14">
        <v>67</v>
      </c>
      <c r="S73" s="14">
        <v>0</v>
      </c>
      <c r="T73" s="14">
        <v>62</v>
      </c>
      <c r="U73" s="14">
        <v>0</v>
      </c>
      <c r="V73" s="15">
        <f t="shared" si="5"/>
        <v>180</v>
      </c>
      <c r="W73" s="14">
        <f t="shared" si="5"/>
        <v>0</v>
      </c>
      <c r="X73" s="14">
        <f t="shared" si="6"/>
        <v>0</v>
      </c>
      <c r="Y73" s="14">
        <f t="shared" si="7"/>
        <v>0</v>
      </c>
      <c r="Z73" s="16">
        <f t="shared" si="8"/>
        <v>0</v>
      </c>
      <c r="AA73" s="14">
        <f t="shared" si="9"/>
        <v>0</v>
      </c>
      <c r="AB73" s="17"/>
      <c r="AC73" s="17"/>
    </row>
    <row r="74" spans="1:29" s="21" customFormat="1" ht="13.5" customHeight="1" x14ac:dyDescent="0.2">
      <c r="A74" s="9">
        <v>3</v>
      </c>
      <c r="B74" s="9">
        <v>17</v>
      </c>
      <c r="C74" s="10">
        <v>3011</v>
      </c>
      <c r="D74" s="9">
        <v>33144613</v>
      </c>
      <c r="E74" s="34" t="s">
        <v>493</v>
      </c>
      <c r="F74" s="10" t="s">
        <v>719</v>
      </c>
      <c r="G74" s="11" t="s">
        <v>202</v>
      </c>
      <c r="H74" s="12" t="s">
        <v>1036</v>
      </c>
      <c r="I74" s="12" t="s">
        <v>1242</v>
      </c>
      <c r="J74" s="12" t="s">
        <v>1422</v>
      </c>
      <c r="K74" s="37" t="s">
        <v>1695</v>
      </c>
      <c r="L74" s="13">
        <v>60</v>
      </c>
      <c r="M74" s="13" t="s">
        <v>1763</v>
      </c>
      <c r="N74" s="14">
        <v>0</v>
      </c>
      <c r="O74" s="14">
        <v>0</v>
      </c>
      <c r="P74" s="14">
        <v>0</v>
      </c>
      <c r="Q74" s="14">
        <v>0</v>
      </c>
      <c r="R74" s="14">
        <v>24</v>
      </c>
      <c r="S74" s="14">
        <v>0</v>
      </c>
      <c r="T74" s="14">
        <v>30</v>
      </c>
      <c r="U74" s="14">
        <v>0</v>
      </c>
      <c r="V74" s="15">
        <f t="shared" si="5"/>
        <v>54</v>
      </c>
      <c r="W74" s="14">
        <f t="shared" si="5"/>
        <v>0</v>
      </c>
      <c r="X74" s="14">
        <f t="shared" si="6"/>
        <v>0</v>
      </c>
      <c r="Y74" s="14">
        <f t="shared" si="7"/>
        <v>0</v>
      </c>
      <c r="Z74" s="16">
        <f t="shared" si="8"/>
        <v>6</v>
      </c>
      <c r="AA74" s="14">
        <f t="shared" si="9"/>
        <v>0</v>
      </c>
      <c r="AB74" s="17"/>
      <c r="AC74" s="17"/>
    </row>
    <row r="75" spans="1:29" s="21" customFormat="1" ht="13.5" customHeight="1" x14ac:dyDescent="0.2">
      <c r="A75" s="9">
        <v>3</v>
      </c>
      <c r="B75" s="9">
        <v>18</v>
      </c>
      <c r="C75" s="10">
        <v>3013</v>
      </c>
      <c r="D75" s="9">
        <v>33172021</v>
      </c>
      <c r="E75" s="34" t="s">
        <v>432</v>
      </c>
      <c r="F75" s="10" t="s">
        <v>720</v>
      </c>
      <c r="G75" s="11" t="s">
        <v>203</v>
      </c>
      <c r="H75" s="12" t="s">
        <v>1037</v>
      </c>
      <c r="I75" s="12" t="s">
        <v>1271</v>
      </c>
      <c r="J75" s="12" t="s">
        <v>1423</v>
      </c>
      <c r="K75" s="37" t="s">
        <v>1689</v>
      </c>
      <c r="L75" s="13">
        <v>231</v>
      </c>
      <c r="M75" s="13" t="s">
        <v>1764</v>
      </c>
      <c r="N75" s="14">
        <v>0</v>
      </c>
      <c r="O75" s="14">
        <v>0</v>
      </c>
      <c r="P75" s="14">
        <v>72</v>
      </c>
      <c r="Q75" s="14">
        <v>0</v>
      </c>
      <c r="R75" s="14">
        <v>78</v>
      </c>
      <c r="S75" s="14">
        <v>0</v>
      </c>
      <c r="T75" s="14">
        <v>81</v>
      </c>
      <c r="U75" s="14">
        <v>0</v>
      </c>
      <c r="V75" s="15">
        <f t="shared" si="5"/>
        <v>231</v>
      </c>
      <c r="W75" s="14">
        <f t="shared" si="5"/>
        <v>0</v>
      </c>
      <c r="X75" s="14">
        <f t="shared" si="6"/>
        <v>0</v>
      </c>
      <c r="Y75" s="14">
        <f t="shared" si="7"/>
        <v>0</v>
      </c>
      <c r="Z75" s="16">
        <f t="shared" si="8"/>
        <v>0</v>
      </c>
      <c r="AA75" s="14">
        <f t="shared" si="9"/>
        <v>0</v>
      </c>
      <c r="AB75" s="17"/>
      <c r="AC75" s="17"/>
    </row>
    <row r="76" spans="1:29" s="21" customFormat="1" ht="13.5" customHeight="1" x14ac:dyDescent="0.2">
      <c r="A76" s="9">
        <v>3</v>
      </c>
      <c r="B76" s="9">
        <v>19</v>
      </c>
      <c r="C76" s="10">
        <v>3010</v>
      </c>
      <c r="D76" s="9">
        <v>33556210</v>
      </c>
      <c r="E76" s="34" t="s">
        <v>494</v>
      </c>
      <c r="F76" s="10" t="s">
        <v>721</v>
      </c>
      <c r="G76" s="11" t="s">
        <v>204</v>
      </c>
      <c r="H76" s="12" t="s">
        <v>1038</v>
      </c>
      <c r="I76" s="12" t="s">
        <v>1038</v>
      </c>
      <c r="J76" s="12" t="s">
        <v>1424</v>
      </c>
      <c r="K76" s="37" t="s">
        <v>1691</v>
      </c>
      <c r="L76" s="13">
        <v>76</v>
      </c>
      <c r="M76" s="13" t="s">
        <v>1763</v>
      </c>
      <c r="N76" s="14">
        <v>0</v>
      </c>
      <c r="O76" s="14">
        <v>0</v>
      </c>
      <c r="P76" s="14">
        <v>0</v>
      </c>
      <c r="Q76" s="14">
        <v>0</v>
      </c>
      <c r="R76" s="14">
        <v>27</v>
      </c>
      <c r="S76" s="14">
        <v>0</v>
      </c>
      <c r="T76" s="14">
        <v>49</v>
      </c>
      <c r="U76" s="14">
        <v>0</v>
      </c>
      <c r="V76" s="15">
        <f t="shared" si="5"/>
        <v>76</v>
      </c>
      <c r="W76" s="14">
        <f t="shared" si="5"/>
        <v>0</v>
      </c>
      <c r="X76" s="14">
        <f t="shared" si="6"/>
        <v>0</v>
      </c>
      <c r="Y76" s="14">
        <f t="shared" si="7"/>
        <v>0</v>
      </c>
      <c r="Z76" s="16">
        <f t="shared" si="8"/>
        <v>0</v>
      </c>
      <c r="AA76" s="14">
        <f t="shared" si="9"/>
        <v>0</v>
      </c>
      <c r="AB76" s="17"/>
      <c r="AC76" s="17"/>
    </row>
    <row r="77" spans="1:29" s="21" customFormat="1" ht="13.5" customHeight="1" x14ac:dyDescent="0.2">
      <c r="A77" s="9">
        <v>3</v>
      </c>
      <c r="B77" s="9">
        <v>20</v>
      </c>
      <c r="C77" s="10">
        <v>3012</v>
      </c>
      <c r="D77" s="9">
        <v>33129240</v>
      </c>
      <c r="E77" s="34" t="s">
        <v>495</v>
      </c>
      <c r="F77" s="10" t="s">
        <v>722</v>
      </c>
      <c r="G77" s="11" t="s">
        <v>205</v>
      </c>
      <c r="H77" s="12" t="s">
        <v>1039</v>
      </c>
      <c r="I77" s="12" t="s">
        <v>1242</v>
      </c>
      <c r="J77" s="12" t="s">
        <v>1425</v>
      </c>
      <c r="K77" s="37" t="s">
        <v>1697</v>
      </c>
      <c r="L77" s="13">
        <v>255</v>
      </c>
      <c r="M77" s="13" t="s">
        <v>1765</v>
      </c>
      <c r="N77" s="14">
        <v>0</v>
      </c>
      <c r="O77" s="14">
        <v>0</v>
      </c>
      <c r="P77" s="14">
        <v>0</v>
      </c>
      <c r="Q77" s="14">
        <v>0</v>
      </c>
      <c r="R77" s="14">
        <v>105</v>
      </c>
      <c r="S77" s="14">
        <v>1</v>
      </c>
      <c r="T77" s="14">
        <v>143</v>
      </c>
      <c r="U77" s="14">
        <v>4</v>
      </c>
      <c r="V77" s="15">
        <f t="shared" si="5"/>
        <v>248</v>
      </c>
      <c r="W77" s="14">
        <f t="shared" si="5"/>
        <v>5</v>
      </c>
      <c r="X77" s="14">
        <f t="shared" si="6"/>
        <v>0</v>
      </c>
      <c r="Y77" s="14">
        <f t="shared" si="7"/>
        <v>2</v>
      </c>
      <c r="Z77" s="16">
        <f t="shared" si="8"/>
        <v>5</v>
      </c>
      <c r="AA77" s="14">
        <f t="shared" si="9"/>
        <v>0</v>
      </c>
      <c r="AB77" s="17"/>
      <c r="AC77" s="17"/>
    </row>
    <row r="78" spans="1:29" s="21" customFormat="1" ht="13.5" customHeight="1" x14ac:dyDescent="0.2">
      <c r="A78" s="9">
        <v>3</v>
      </c>
      <c r="B78" s="9">
        <v>21</v>
      </c>
      <c r="C78" s="10">
        <v>3015</v>
      </c>
      <c r="D78" s="9">
        <v>33124728</v>
      </c>
      <c r="E78" s="34" t="s">
        <v>496</v>
      </c>
      <c r="F78" s="10" t="s">
        <v>723</v>
      </c>
      <c r="G78" s="11" t="s">
        <v>206</v>
      </c>
      <c r="H78" s="12" t="s">
        <v>1040</v>
      </c>
      <c r="I78" s="12" t="s">
        <v>1272</v>
      </c>
      <c r="J78" s="12" t="s">
        <v>1426</v>
      </c>
      <c r="K78" s="37" t="s">
        <v>1686</v>
      </c>
      <c r="L78" s="13">
        <v>75</v>
      </c>
      <c r="M78" s="13" t="s">
        <v>1764</v>
      </c>
      <c r="N78" s="14">
        <v>0</v>
      </c>
      <c r="O78" s="14">
        <v>0</v>
      </c>
      <c r="P78" s="14">
        <v>16</v>
      </c>
      <c r="Q78" s="14">
        <v>0</v>
      </c>
      <c r="R78" s="14">
        <v>21</v>
      </c>
      <c r="S78" s="14">
        <v>0</v>
      </c>
      <c r="T78" s="14">
        <v>24</v>
      </c>
      <c r="U78" s="14">
        <v>0</v>
      </c>
      <c r="V78" s="15">
        <f t="shared" si="5"/>
        <v>61</v>
      </c>
      <c r="W78" s="14">
        <f t="shared" si="5"/>
        <v>0</v>
      </c>
      <c r="X78" s="14">
        <f t="shared" si="6"/>
        <v>0</v>
      </c>
      <c r="Y78" s="14">
        <f t="shared" si="7"/>
        <v>0</v>
      </c>
      <c r="Z78" s="16">
        <f t="shared" si="8"/>
        <v>14</v>
      </c>
      <c r="AA78" s="14">
        <f t="shared" si="9"/>
        <v>0</v>
      </c>
      <c r="AB78" s="17"/>
      <c r="AC78" s="17"/>
    </row>
    <row r="79" spans="1:29" s="21" customFormat="1" ht="13.5" customHeight="1" x14ac:dyDescent="0.2">
      <c r="A79" s="9">
        <v>3</v>
      </c>
      <c r="B79" s="9">
        <v>22</v>
      </c>
      <c r="C79" s="10">
        <v>3014</v>
      </c>
      <c r="D79" s="9">
        <v>33114528</v>
      </c>
      <c r="E79" s="34" t="s">
        <v>481</v>
      </c>
      <c r="F79" s="10" t="s">
        <v>724</v>
      </c>
      <c r="G79" s="11" t="s">
        <v>207</v>
      </c>
      <c r="H79" s="12" t="s">
        <v>1041</v>
      </c>
      <c r="I79" s="12" t="s">
        <v>1259</v>
      </c>
      <c r="J79" s="12" t="s">
        <v>1427</v>
      </c>
      <c r="K79" s="37" t="s">
        <v>1698</v>
      </c>
      <c r="L79" s="13">
        <v>180</v>
      </c>
      <c r="M79" s="13" t="s">
        <v>1764</v>
      </c>
      <c r="N79" s="14">
        <v>0</v>
      </c>
      <c r="O79" s="14">
        <v>0</v>
      </c>
      <c r="P79" s="14">
        <v>31</v>
      </c>
      <c r="Q79" s="14">
        <v>3</v>
      </c>
      <c r="R79" s="14">
        <v>66</v>
      </c>
      <c r="S79" s="14">
        <v>6</v>
      </c>
      <c r="T79" s="14">
        <v>66</v>
      </c>
      <c r="U79" s="14">
        <v>7</v>
      </c>
      <c r="V79" s="15">
        <f t="shared" si="5"/>
        <v>163</v>
      </c>
      <c r="W79" s="14">
        <f t="shared" si="5"/>
        <v>16</v>
      </c>
      <c r="X79" s="14">
        <f t="shared" si="6"/>
        <v>2</v>
      </c>
      <c r="Y79" s="14">
        <f t="shared" si="7"/>
        <v>2</v>
      </c>
      <c r="Z79" s="16">
        <f t="shared" si="8"/>
        <v>13</v>
      </c>
      <c r="AA79" s="14">
        <f t="shared" si="9"/>
        <v>0</v>
      </c>
      <c r="AB79" s="17"/>
      <c r="AC79" s="17"/>
    </row>
    <row r="80" spans="1:29" s="21" customFormat="1" ht="13.5" customHeight="1" x14ac:dyDescent="0.2">
      <c r="A80" s="9">
        <v>3</v>
      </c>
      <c r="B80" s="9">
        <v>23</v>
      </c>
      <c r="C80" s="10">
        <v>3034</v>
      </c>
      <c r="D80" s="9">
        <v>33369208</v>
      </c>
      <c r="E80" s="34" t="s">
        <v>497</v>
      </c>
      <c r="F80" s="10" t="s">
        <v>725</v>
      </c>
      <c r="G80" s="11" t="s">
        <v>208</v>
      </c>
      <c r="H80" s="12" t="s">
        <v>1042</v>
      </c>
      <c r="I80" s="12" t="s">
        <v>1273</v>
      </c>
      <c r="J80" s="12" t="s">
        <v>1428</v>
      </c>
      <c r="K80" s="37" t="s">
        <v>1699</v>
      </c>
      <c r="L80" s="13">
        <v>70</v>
      </c>
      <c r="M80" s="13" t="s">
        <v>1763</v>
      </c>
      <c r="N80" s="14">
        <v>0</v>
      </c>
      <c r="O80" s="14">
        <v>0</v>
      </c>
      <c r="P80" s="14">
        <v>0</v>
      </c>
      <c r="Q80" s="14">
        <v>0</v>
      </c>
      <c r="R80" s="14">
        <v>35</v>
      </c>
      <c r="S80" s="14">
        <v>0</v>
      </c>
      <c r="T80" s="14">
        <v>35</v>
      </c>
      <c r="U80" s="14">
        <v>0</v>
      </c>
      <c r="V80" s="15">
        <f t="shared" si="5"/>
        <v>70</v>
      </c>
      <c r="W80" s="14">
        <f t="shared" si="5"/>
        <v>0</v>
      </c>
      <c r="X80" s="14">
        <f t="shared" si="6"/>
        <v>0</v>
      </c>
      <c r="Y80" s="14">
        <f t="shared" si="7"/>
        <v>0</v>
      </c>
      <c r="Z80" s="16">
        <f t="shared" si="8"/>
        <v>0</v>
      </c>
      <c r="AA80" s="14">
        <f t="shared" si="9"/>
        <v>0</v>
      </c>
      <c r="AB80" s="17"/>
      <c r="AC80" s="17" t="s">
        <v>55</v>
      </c>
    </row>
    <row r="81" spans="1:29" s="21" customFormat="1" ht="13.5" customHeight="1" x14ac:dyDescent="0.2">
      <c r="A81" s="9">
        <v>3</v>
      </c>
      <c r="B81" s="9">
        <v>24</v>
      </c>
      <c r="C81" s="10">
        <v>3016</v>
      </c>
      <c r="D81" s="9">
        <v>33095264</v>
      </c>
      <c r="E81" s="34" t="s">
        <v>498</v>
      </c>
      <c r="F81" s="10" t="s">
        <v>726</v>
      </c>
      <c r="G81" s="11" t="s">
        <v>209</v>
      </c>
      <c r="H81" s="12" t="s">
        <v>1043</v>
      </c>
      <c r="I81" s="12" t="s">
        <v>1274</v>
      </c>
      <c r="J81" s="12" t="s">
        <v>1429</v>
      </c>
      <c r="K81" s="37" t="s">
        <v>1695</v>
      </c>
      <c r="L81" s="13">
        <v>100</v>
      </c>
      <c r="M81" s="13" t="s">
        <v>1763</v>
      </c>
      <c r="N81" s="14">
        <v>0</v>
      </c>
      <c r="O81" s="14">
        <v>0</v>
      </c>
      <c r="P81" s="14">
        <v>24</v>
      </c>
      <c r="Q81" s="14">
        <v>0</v>
      </c>
      <c r="R81" s="14">
        <v>29</v>
      </c>
      <c r="S81" s="14">
        <v>0</v>
      </c>
      <c r="T81" s="14">
        <v>45</v>
      </c>
      <c r="U81" s="14">
        <v>2</v>
      </c>
      <c r="V81" s="15">
        <f t="shared" si="5"/>
        <v>98</v>
      </c>
      <c r="W81" s="14">
        <f t="shared" si="5"/>
        <v>2</v>
      </c>
      <c r="X81" s="14">
        <f t="shared" si="6"/>
        <v>0</v>
      </c>
      <c r="Y81" s="14">
        <f t="shared" si="7"/>
        <v>2</v>
      </c>
      <c r="Z81" s="16">
        <f t="shared" si="8"/>
        <v>0</v>
      </c>
      <c r="AA81" s="14">
        <f t="shared" si="9"/>
        <v>0</v>
      </c>
      <c r="AB81" s="17"/>
      <c r="AC81" s="17"/>
    </row>
    <row r="82" spans="1:29" s="21" customFormat="1" ht="13.5" customHeight="1" x14ac:dyDescent="0.2">
      <c r="A82" s="9">
        <v>3</v>
      </c>
      <c r="B82" s="9">
        <v>25</v>
      </c>
      <c r="C82" s="10">
        <v>3017</v>
      </c>
      <c r="D82" s="9">
        <v>33127786</v>
      </c>
      <c r="E82" s="34" t="s">
        <v>490</v>
      </c>
      <c r="F82" s="10" t="s">
        <v>727</v>
      </c>
      <c r="G82" s="11" t="s">
        <v>210</v>
      </c>
      <c r="H82" s="12" t="s">
        <v>1044</v>
      </c>
      <c r="I82" s="12" t="s">
        <v>1267</v>
      </c>
      <c r="J82" s="12" t="s">
        <v>1430</v>
      </c>
      <c r="K82" s="37" t="s">
        <v>1694</v>
      </c>
      <c r="L82" s="13">
        <v>45</v>
      </c>
      <c r="M82" s="13" t="s">
        <v>1763</v>
      </c>
      <c r="N82" s="14">
        <v>0</v>
      </c>
      <c r="O82" s="14">
        <v>0</v>
      </c>
      <c r="P82" s="14">
        <v>0</v>
      </c>
      <c r="Q82" s="14">
        <v>0</v>
      </c>
      <c r="R82" s="14">
        <v>23</v>
      </c>
      <c r="S82" s="14">
        <v>0</v>
      </c>
      <c r="T82" s="14">
        <v>18</v>
      </c>
      <c r="U82" s="14">
        <v>0</v>
      </c>
      <c r="V82" s="15">
        <f t="shared" si="5"/>
        <v>41</v>
      </c>
      <c r="W82" s="14">
        <f t="shared" si="5"/>
        <v>0</v>
      </c>
      <c r="X82" s="14">
        <f t="shared" si="6"/>
        <v>0</v>
      </c>
      <c r="Y82" s="14">
        <f t="shared" si="7"/>
        <v>0</v>
      </c>
      <c r="Z82" s="16">
        <f t="shared" si="8"/>
        <v>4</v>
      </c>
      <c r="AA82" s="14">
        <f t="shared" si="9"/>
        <v>0</v>
      </c>
      <c r="AB82" s="17"/>
      <c r="AC82" s="17"/>
    </row>
    <row r="83" spans="1:29" s="21" customFormat="1" ht="13.5" customHeight="1" x14ac:dyDescent="0.2">
      <c r="A83" s="9">
        <v>3</v>
      </c>
      <c r="B83" s="9">
        <v>26</v>
      </c>
      <c r="C83" s="10">
        <v>3030</v>
      </c>
      <c r="D83" s="9">
        <v>33192669</v>
      </c>
      <c r="E83" s="34" t="s">
        <v>488</v>
      </c>
      <c r="F83" s="10" t="s">
        <v>728</v>
      </c>
      <c r="G83" s="11" t="s">
        <v>211</v>
      </c>
      <c r="H83" s="12" t="s">
        <v>1045</v>
      </c>
      <c r="I83" s="12" t="s">
        <v>1265</v>
      </c>
      <c r="J83" s="12" t="s">
        <v>1431</v>
      </c>
      <c r="K83" s="37" t="s">
        <v>1700</v>
      </c>
      <c r="L83" s="13">
        <v>80</v>
      </c>
      <c r="M83" s="13" t="s">
        <v>1764</v>
      </c>
      <c r="N83" s="14">
        <v>0</v>
      </c>
      <c r="O83" s="14">
        <v>0</v>
      </c>
      <c r="P83" s="14">
        <v>22</v>
      </c>
      <c r="Q83" s="14">
        <v>0</v>
      </c>
      <c r="R83" s="14">
        <v>33</v>
      </c>
      <c r="S83" s="14">
        <v>0</v>
      </c>
      <c r="T83" s="14">
        <v>25</v>
      </c>
      <c r="U83" s="14">
        <v>0</v>
      </c>
      <c r="V83" s="15">
        <f t="shared" ref="V83:W146" si="10">SUM(N83,P83,R83,T83)</f>
        <v>80</v>
      </c>
      <c r="W83" s="14">
        <f t="shared" si="10"/>
        <v>0</v>
      </c>
      <c r="X83" s="14">
        <f t="shared" si="6"/>
        <v>0</v>
      </c>
      <c r="Y83" s="14">
        <f t="shared" si="7"/>
        <v>0</v>
      </c>
      <c r="Z83" s="16">
        <f t="shared" si="8"/>
        <v>0</v>
      </c>
      <c r="AA83" s="14">
        <f t="shared" si="9"/>
        <v>0</v>
      </c>
      <c r="AB83" s="17"/>
      <c r="AC83" s="17" t="s">
        <v>48</v>
      </c>
    </row>
    <row r="84" spans="1:29" s="21" customFormat="1" ht="13.5" customHeight="1" x14ac:dyDescent="0.2">
      <c r="A84" s="9">
        <v>3</v>
      </c>
      <c r="B84" s="9">
        <v>27</v>
      </c>
      <c r="C84" s="10">
        <v>3031</v>
      </c>
      <c r="D84" s="9">
        <v>33192715</v>
      </c>
      <c r="E84" s="34" t="s">
        <v>499</v>
      </c>
      <c r="F84" s="10" t="s">
        <v>729</v>
      </c>
      <c r="G84" s="11" t="s">
        <v>212</v>
      </c>
      <c r="H84" s="12" t="s">
        <v>1046</v>
      </c>
      <c r="I84" s="12" t="s">
        <v>1275</v>
      </c>
      <c r="J84" s="12" t="s">
        <v>1432</v>
      </c>
      <c r="K84" s="37" t="s">
        <v>1694</v>
      </c>
      <c r="L84" s="13">
        <v>88</v>
      </c>
      <c r="M84" s="13" t="s">
        <v>1763</v>
      </c>
      <c r="N84" s="14">
        <v>0</v>
      </c>
      <c r="O84" s="14">
        <v>0</v>
      </c>
      <c r="P84" s="14">
        <v>0</v>
      </c>
      <c r="Q84" s="14">
        <v>0</v>
      </c>
      <c r="R84" s="14">
        <v>39</v>
      </c>
      <c r="S84" s="14">
        <v>1</v>
      </c>
      <c r="T84" s="14">
        <v>47</v>
      </c>
      <c r="U84" s="14">
        <v>0</v>
      </c>
      <c r="V84" s="15">
        <f t="shared" si="10"/>
        <v>86</v>
      </c>
      <c r="W84" s="14">
        <f t="shared" si="10"/>
        <v>1</v>
      </c>
      <c r="X84" s="14">
        <f t="shared" si="6"/>
        <v>0</v>
      </c>
      <c r="Y84" s="14">
        <f t="shared" si="7"/>
        <v>2</v>
      </c>
      <c r="Z84" s="16">
        <f t="shared" si="8"/>
        <v>0</v>
      </c>
      <c r="AA84" s="14">
        <f t="shared" si="9"/>
        <v>0</v>
      </c>
      <c r="AB84" s="17"/>
      <c r="AC84" s="17" t="s">
        <v>48</v>
      </c>
    </row>
    <row r="85" spans="1:29" s="21" customFormat="1" ht="13.5" customHeight="1" x14ac:dyDescent="0.2">
      <c r="A85" s="9">
        <v>3</v>
      </c>
      <c r="B85" s="9">
        <v>28</v>
      </c>
      <c r="C85" s="10">
        <v>3028</v>
      </c>
      <c r="D85" s="9">
        <v>33191999</v>
      </c>
      <c r="E85" s="34" t="s">
        <v>500</v>
      </c>
      <c r="F85" s="10" t="s">
        <v>730</v>
      </c>
      <c r="G85" s="11" t="s">
        <v>213</v>
      </c>
      <c r="H85" s="12" t="s">
        <v>1047</v>
      </c>
      <c r="I85" s="12" t="s">
        <v>1276</v>
      </c>
      <c r="J85" s="12" t="s">
        <v>1433</v>
      </c>
      <c r="K85" s="37" t="s">
        <v>1697</v>
      </c>
      <c r="L85" s="13">
        <v>100</v>
      </c>
      <c r="M85" s="13" t="s">
        <v>1763</v>
      </c>
      <c r="N85" s="14">
        <v>0</v>
      </c>
      <c r="O85" s="14">
        <v>0</v>
      </c>
      <c r="P85" s="14">
        <v>0</v>
      </c>
      <c r="Q85" s="14">
        <v>0</v>
      </c>
      <c r="R85" s="14">
        <v>49</v>
      </c>
      <c r="S85" s="14">
        <v>2</v>
      </c>
      <c r="T85" s="14">
        <v>50</v>
      </c>
      <c r="U85" s="14">
        <v>0</v>
      </c>
      <c r="V85" s="15">
        <f t="shared" si="10"/>
        <v>99</v>
      </c>
      <c r="W85" s="14">
        <f t="shared" si="10"/>
        <v>2</v>
      </c>
      <c r="X85" s="14">
        <f t="shared" si="6"/>
        <v>0</v>
      </c>
      <c r="Y85" s="14">
        <f t="shared" si="7"/>
        <v>2</v>
      </c>
      <c r="Z85" s="16">
        <f t="shared" si="8"/>
        <v>0</v>
      </c>
      <c r="AA85" s="14">
        <f t="shared" si="9"/>
        <v>-1</v>
      </c>
      <c r="AB85" s="17"/>
      <c r="AC85" s="17" t="s">
        <v>48</v>
      </c>
    </row>
    <row r="86" spans="1:29" s="21" customFormat="1" ht="13.5" customHeight="1" x14ac:dyDescent="0.2">
      <c r="A86" s="9">
        <v>3</v>
      </c>
      <c r="B86" s="9">
        <v>29</v>
      </c>
      <c r="C86" s="10">
        <v>3018</v>
      </c>
      <c r="D86" s="9">
        <v>33123217</v>
      </c>
      <c r="E86" s="34" t="s">
        <v>501</v>
      </c>
      <c r="F86" s="10" t="s">
        <v>731</v>
      </c>
      <c r="G86" s="11" t="s">
        <v>214</v>
      </c>
      <c r="H86" s="12" t="s">
        <v>1048</v>
      </c>
      <c r="I86" s="12" t="s">
        <v>1048</v>
      </c>
      <c r="J86" s="12" t="s">
        <v>1434</v>
      </c>
      <c r="K86" s="37" t="s">
        <v>1701</v>
      </c>
      <c r="L86" s="13">
        <v>47</v>
      </c>
      <c r="M86" s="13" t="s">
        <v>1763</v>
      </c>
      <c r="N86" s="14">
        <v>0</v>
      </c>
      <c r="O86" s="14">
        <v>0</v>
      </c>
      <c r="P86" s="14">
        <v>0</v>
      </c>
      <c r="Q86" s="14">
        <v>0</v>
      </c>
      <c r="R86" s="14">
        <v>21</v>
      </c>
      <c r="S86" s="14">
        <v>1</v>
      </c>
      <c r="T86" s="14">
        <v>22</v>
      </c>
      <c r="U86" s="14">
        <v>3</v>
      </c>
      <c r="V86" s="15">
        <f t="shared" si="10"/>
        <v>43</v>
      </c>
      <c r="W86" s="14">
        <f t="shared" si="10"/>
        <v>4</v>
      </c>
      <c r="X86" s="14">
        <f t="shared" si="6"/>
        <v>0</v>
      </c>
      <c r="Y86" s="14">
        <f t="shared" si="7"/>
        <v>2</v>
      </c>
      <c r="Z86" s="16">
        <f t="shared" si="8"/>
        <v>2</v>
      </c>
      <c r="AA86" s="14">
        <f t="shared" si="9"/>
        <v>0</v>
      </c>
      <c r="AB86" s="17"/>
      <c r="AC86" s="17"/>
    </row>
    <row r="87" spans="1:29" s="21" customFormat="1" ht="13.5" customHeight="1" x14ac:dyDescent="0.2">
      <c r="A87" s="9">
        <v>3</v>
      </c>
      <c r="B87" s="9">
        <v>30</v>
      </c>
      <c r="C87" s="10">
        <v>3022</v>
      </c>
      <c r="D87" s="9">
        <v>33181853</v>
      </c>
      <c r="E87" s="34" t="s">
        <v>502</v>
      </c>
      <c r="F87" s="10" t="s">
        <v>732</v>
      </c>
      <c r="G87" s="11" t="s">
        <v>215</v>
      </c>
      <c r="H87" s="12" t="s">
        <v>1049</v>
      </c>
      <c r="I87" s="12" t="s">
        <v>1049</v>
      </c>
      <c r="J87" s="12" t="s">
        <v>1435</v>
      </c>
      <c r="K87" s="37" t="s">
        <v>1699</v>
      </c>
      <c r="L87" s="13">
        <v>122</v>
      </c>
      <c r="M87" s="13" t="s">
        <v>1765</v>
      </c>
      <c r="N87" s="14">
        <v>18</v>
      </c>
      <c r="O87" s="14">
        <v>0</v>
      </c>
      <c r="P87" s="14">
        <v>48</v>
      </c>
      <c r="Q87" s="14">
        <v>0</v>
      </c>
      <c r="R87" s="14">
        <v>28</v>
      </c>
      <c r="S87" s="14">
        <v>0</v>
      </c>
      <c r="T87" s="14">
        <v>28</v>
      </c>
      <c r="U87" s="14">
        <v>0</v>
      </c>
      <c r="V87" s="15">
        <f t="shared" si="10"/>
        <v>122</v>
      </c>
      <c r="W87" s="14">
        <f t="shared" si="10"/>
        <v>0</v>
      </c>
      <c r="X87" s="14">
        <f t="shared" si="6"/>
        <v>0</v>
      </c>
      <c r="Y87" s="14">
        <f t="shared" si="7"/>
        <v>0</v>
      </c>
      <c r="Z87" s="16">
        <f t="shared" si="8"/>
        <v>0</v>
      </c>
      <c r="AA87" s="14">
        <f t="shared" si="9"/>
        <v>0</v>
      </c>
      <c r="AB87" s="17"/>
      <c r="AC87" s="17"/>
    </row>
    <row r="88" spans="1:29" s="21" customFormat="1" ht="13.5" customHeight="1" x14ac:dyDescent="0.2">
      <c r="A88" s="9">
        <v>3</v>
      </c>
      <c r="B88" s="9">
        <v>31</v>
      </c>
      <c r="C88" s="10">
        <v>3019</v>
      </c>
      <c r="D88" s="9">
        <v>33168768</v>
      </c>
      <c r="E88" s="34" t="s">
        <v>503</v>
      </c>
      <c r="F88" s="10" t="s">
        <v>733</v>
      </c>
      <c r="G88" s="11" t="s">
        <v>216</v>
      </c>
      <c r="H88" s="12" t="s">
        <v>1050</v>
      </c>
      <c r="I88" s="12" t="s">
        <v>1277</v>
      </c>
      <c r="J88" s="12" t="s">
        <v>1436</v>
      </c>
      <c r="K88" s="37" t="s">
        <v>1695</v>
      </c>
      <c r="L88" s="13">
        <v>85</v>
      </c>
      <c r="M88" s="13" t="s">
        <v>1764</v>
      </c>
      <c r="N88" s="14">
        <v>0</v>
      </c>
      <c r="O88" s="14">
        <v>0</v>
      </c>
      <c r="P88" s="14">
        <v>24</v>
      </c>
      <c r="Q88" s="14">
        <v>0</v>
      </c>
      <c r="R88" s="14">
        <v>24</v>
      </c>
      <c r="S88" s="14">
        <v>0</v>
      </c>
      <c r="T88" s="14">
        <v>36</v>
      </c>
      <c r="U88" s="14">
        <v>0</v>
      </c>
      <c r="V88" s="15">
        <f t="shared" si="10"/>
        <v>84</v>
      </c>
      <c r="W88" s="14">
        <f t="shared" si="10"/>
        <v>0</v>
      </c>
      <c r="X88" s="14">
        <f t="shared" si="6"/>
        <v>0</v>
      </c>
      <c r="Y88" s="14">
        <f t="shared" si="7"/>
        <v>0</v>
      </c>
      <c r="Z88" s="16">
        <f t="shared" si="8"/>
        <v>1</v>
      </c>
      <c r="AA88" s="14">
        <f t="shared" si="9"/>
        <v>0</v>
      </c>
      <c r="AB88" s="17"/>
      <c r="AC88" s="17"/>
    </row>
    <row r="89" spans="1:29" s="21" customFormat="1" ht="13.5" customHeight="1" x14ac:dyDescent="0.2">
      <c r="A89" s="9">
        <v>3</v>
      </c>
      <c r="B89" s="9">
        <v>32</v>
      </c>
      <c r="C89" s="10">
        <v>3033</v>
      </c>
      <c r="D89" s="9">
        <v>33191964</v>
      </c>
      <c r="E89" s="34" t="s">
        <v>504</v>
      </c>
      <c r="F89" s="10" t="s">
        <v>734</v>
      </c>
      <c r="G89" s="11" t="s">
        <v>217</v>
      </c>
      <c r="H89" s="12" t="s">
        <v>1051</v>
      </c>
      <c r="I89" s="12" t="s">
        <v>1278</v>
      </c>
      <c r="J89" s="12" t="s">
        <v>1437</v>
      </c>
      <c r="K89" s="37" t="s">
        <v>1694</v>
      </c>
      <c r="L89" s="13">
        <v>200</v>
      </c>
      <c r="M89" s="13" t="s">
        <v>1764</v>
      </c>
      <c r="N89" s="14">
        <v>0</v>
      </c>
      <c r="O89" s="14">
        <v>0</v>
      </c>
      <c r="P89" s="14">
        <v>65</v>
      </c>
      <c r="Q89" s="14">
        <v>0</v>
      </c>
      <c r="R89" s="14">
        <v>75</v>
      </c>
      <c r="S89" s="14">
        <v>0</v>
      </c>
      <c r="T89" s="14">
        <v>57</v>
      </c>
      <c r="U89" s="14">
        <v>2</v>
      </c>
      <c r="V89" s="15">
        <f t="shared" si="10"/>
        <v>197</v>
      </c>
      <c r="W89" s="14">
        <f t="shared" si="10"/>
        <v>2</v>
      </c>
      <c r="X89" s="14">
        <f t="shared" si="6"/>
        <v>0</v>
      </c>
      <c r="Y89" s="14">
        <f t="shared" si="7"/>
        <v>2</v>
      </c>
      <c r="Z89" s="16">
        <f t="shared" si="8"/>
        <v>1</v>
      </c>
      <c r="AA89" s="14">
        <f t="shared" si="9"/>
        <v>0</v>
      </c>
      <c r="AB89" s="17"/>
      <c r="AC89" s="17" t="s">
        <v>48</v>
      </c>
    </row>
    <row r="90" spans="1:29" s="21" customFormat="1" ht="13.5" customHeight="1" x14ac:dyDescent="0.2">
      <c r="A90" s="9">
        <v>3</v>
      </c>
      <c r="B90" s="9">
        <v>33</v>
      </c>
      <c r="C90" s="10">
        <v>3020</v>
      </c>
      <c r="D90" s="9">
        <v>33123098</v>
      </c>
      <c r="E90" s="34" t="s">
        <v>505</v>
      </c>
      <c r="F90" s="10" t="s">
        <v>735</v>
      </c>
      <c r="G90" s="11" t="s">
        <v>218</v>
      </c>
      <c r="H90" s="12" t="s">
        <v>1052</v>
      </c>
      <c r="I90" s="12" t="s">
        <v>1242</v>
      </c>
      <c r="J90" s="12" t="s">
        <v>1438</v>
      </c>
      <c r="K90" s="37" t="s">
        <v>1691</v>
      </c>
      <c r="L90" s="13">
        <v>125</v>
      </c>
      <c r="M90" s="13" t="s">
        <v>1763</v>
      </c>
      <c r="N90" s="14">
        <v>0</v>
      </c>
      <c r="O90" s="14">
        <v>0</v>
      </c>
      <c r="P90" s="14">
        <v>0</v>
      </c>
      <c r="Q90" s="14">
        <v>0</v>
      </c>
      <c r="R90" s="14">
        <v>47</v>
      </c>
      <c r="S90" s="14">
        <v>0</v>
      </c>
      <c r="T90" s="14">
        <v>73</v>
      </c>
      <c r="U90" s="14">
        <v>1</v>
      </c>
      <c r="V90" s="15">
        <f t="shared" si="10"/>
        <v>120</v>
      </c>
      <c r="W90" s="14">
        <f t="shared" si="10"/>
        <v>1</v>
      </c>
      <c r="X90" s="14">
        <f t="shared" si="6"/>
        <v>0</v>
      </c>
      <c r="Y90" s="14">
        <f t="shared" si="7"/>
        <v>2</v>
      </c>
      <c r="Z90" s="16">
        <f t="shared" si="8"/>
        <v>3</v>
      </c>
      <c r="AA90" s="14">
        <f t="shared" si="9"/>
        <v>0</v>
      </c>
      <c r="AB90" s="17"/>
      <c r="AC90" s="17"/>
    </row>
    <row r="91" spans="1:29" s="21" customFormat="1" ht="13.5" customHeight="1" x14ac:dyDescent="0.2">
      <c r="A91" s="9">
        <v>3</v>
      </c>
      <c r="B91" s="9">
        <v>34</v>
      </c>
      <c r="C91" s="10">
        <v>3023</v>
      </c>
      <c r="D91" s="9">
        <v>33183236</v>
      </c>
      <c r="E91" s="34" t="s">
        <v>506</v>
      </c>
      <c r="F91" s="10" t="s">
        <v>736</v>
      </c>
      <c r="G91" s="11" t="s">
        <v>219</v>
      </c>
      <c r="H91" s="12" t="s">
        <v>1053</v>
      </c>
      <c r="I91" s="12" t="s">
        <v>1053</v>
      </c>
      <c r="J91" s="12" t="s">
        <v>1439</v>
      </c>
      <c r="K91" s="37" t="s">
        <v>1686</v>
      </c>
      <c r="L91" s="13">
        <v>92</v>
      </c>
      <c r="M91" s="13" t="s">
        <v>1763</v>
      </c>
      <c r="N91" s="14">
        <v>0</v>
      </c>
      <c r="O91" s="14">
        <v>0</v>
      </c>
      <c r="P91" s="14">
        <v>0</v>
      </c>
      <c r="Q91" s="14">
        <v>0</v>
      </c>
      <c r="R91" s="14">
        <v>28</v>
      </c>
      <c r="S91" s="14">
        <v>1</v>
      </c>
      <c r="T91" s="14">
        <v>44</v>
      </c>
      <c r="U91" s="14">
        <v>1</v>
      </c>
      <c r="V91" s="15">
        <f t="shared" si="10"/>
        <v>72</v>
      </c>
      <c r="W91" s="14">
        <f t="shared" si="10"/>
        <v>2</v>
      </c>
      <c r="X91" s="14">
        <f t="shared" si="6"/>
        <v>0</v>
      </c>
      <c r="Y91" s="14">
        <f t="shared" si="7"/>
        <v>2</v>
      </c>
      <c r="Z91" s="16">
        <f t="shared" si="8"/>
        <v>18</v>
      </c>
      <c r="AA91" s="14">
        <f t="shared" si="9"/>
        <v>0</v>
      </c>
      <c r="AB91" s="17"/>
      <c r="AC91" s="17"/>
    </row>
    <row r="92" spans="1:29" s="21" customFormat="1" ht="13.5" customHeight="1" x14ac:dyDescent="0.2">
      <c r="A92" s="9">
        <v>3</v>
      </c>
      <c r="B92" s="9">
        <v>35</v>
      </c>
      <c r="C92" s="10">
        <v>3032</v>
      </c>
      <c r="D92" s="9">
        <v>33191948</v>
      </c>
      <c r="E92" s="34" t="s">
        <v>507</v>
      </c>
      <c r="F92" s="10" t="s">
        <v>737</v>
      </c>
      <c r="G92" s="11" t="s">
        <v>220</v>
      </c>
      <c r="H92" s="12" t="s">
        <v>1054</v>
      </c>
      <c r="I92" s="12" t="s">
        <v>1279</v>
      </c>
      <c r="J92" s="12" t="s">
        <v>1440</v>
      </c>
      <c r="K92" s="37" t="s">
        <v>1699</v>
      </c>
      <c r="L92" s="13">
        <v>34</v>
      </c>
      <c r="M92" s="13" t="s">
        <v>1763</v>
      </c>
      <c r="N92" s="14">
        <v>0</v>
      </c>
      <c r="O92" s="14">
        <v>0</v>
      </c>
      <c r="P92" s="14">
        <v>0</v>
      </c>
      <c r="Q92" s="14">
        <v>0</v>
      </c>
      <c r="R92" s="14">
        <v>15</v>
      </c>
      <c r="S92" s="14">
        <v>0</v>
      </c>
      <c r="T92" s="14">
        <v>19</v>
      </c>
      <c r="U92" s="14">
        <v>0</v>
      </c>
      <c r="V92" s="15">
        <f t="shared" si="10"/>
        <v>34</v>
      </c>
      <c r="W92" s="14">
        <f t="shared" si="10"/>
        <v>0</v>
      </c>
      <c r="X92" s="14">
        <f t="shared" si="6"/>
        <v>0</v>
      </c>
      <c r="Y92" s="14">
        <f t="shared" si="7"/>
        <v>0</v>
      </c>
      <c r="Z92" s="16">
        <f t="shared" si="8"/>
        <v>0</v>
      </c>
      <c r="AA92" s="14">
        <f t="shared" si="9"/>
        <v>0</v>
      </c>
      <c r="AB92" s="17"/>
      <c r="AC92" s="17" t="s">
        <v>48</v>
      </c>
    </row>
    <row r="93" spans="1:29" s="21" customFormat="1" ht="13.5" customHeight="1" x14ac:dyDescent="0.2">
      <c r="A93" s="9">
        <v>3</v>
      </c>
      <c r="B93" s="9">
        <v>36</v>
      </c>
      <c r="C93" s="10">
        <v>3036</v>
      </c>
      <c r="D93" s="9">
        <v>33195226</v>
      </c>
      <c r="E93" s="34" t="s">
        <v>508</v>
      </c>
      <c r="F93" s="10" t="s">
        <v>738</v>
      </c>
      <c r="G93" s="11" t="s">
        <v>221</v>
      </c>
      <c r="H93" s="12" t="s">
        <v>56</v>
      </c>
      <c r="I93" s="12" t="s">
        <v>56</v>
      </c>
      <c r="J93" s="12" t="s">
        <v>1441</v>
      </c>
      <c r="K93" s="37" t="s">
        <v>1702</v>
      </c>
      <c r="L93" s="13">
        <v>147</v>
      </c>
      <c r="M93" s="13" t="s">
        <v>1764</v>
      </c>
      <c r="N93" s="14">
        <v>0</v>
      </c>
      <c r="O93" s="14">
        <v>0</v>
      </c>
      <c r="P93" s="14">
        <v>41</v>
      </c>
      <c r="Q93" s="14">
        <v>0</v>
      </c>
      <c r="R93" s="14">
        <v>71</v>
      </c>
      <c r="S93" s="14">
        <v>1</v>
      </c>
      <c r="T93" s="14">
        <v>32</v>
      </c>
      <c r="U93" s="14">
        <v>2</v>
      </c>
      <c r="V93" s="15">
        <f t="shared" si="10"/>
        <v>144</v>
      </c>
      <c r="W93" s="14">
        <f t="shared" si="10"/>
        <v>3</v>
      </c>
      <c r="X93" s="14">
        <f t="shared" si="6"/>
        <v>0</v>
      </c>
      <c r="Y93" s="14">
        <f t="shared" si="7"/>
        <v>2</v>
      </c>
      <c r="Z93" s="16">
        <f t="shared" si="8"/>
        <v>1</v>
      </c>
      <c r="AA93" s="14">
        <f t="shared" si="9"/>
        <v>0</v>
      </c>
      <c r="AB93" s="17"/>
      <c r="AC93" s="17" t="s">
        <v>54</v>
      </c>
    </row>
    <row r="94" spans="1:29" s="21" customFormat="1" ht="13.5" customHeight="1" x14ac:dyDescent="0.2">
      <c r="A94" s="9">
        <v>3</v>
      </c>
      <c r="B94" s="9">
        <v>37</v>
      </c>
      <c r="C94" s="10">
        <v>3037</v>
      </c>
      <c r="D94" s="9">
        <v>33194777</v>
      </c>
      <c r="E94" s="34" t="s">
        <v>509</v>
      </c>
      <c r="F94" s="10" t="s">
        <v>739</v>
      </c>
      <c r="G94" s="11" t="s">
        <v>222</v>
      </c>
      <c r="H94" s="12" t="s">
        <v>57</v>
      </c>
      <c r="I94" s="12" t="s">
        <v>1280</v>
      </c>
      <c r="J94" s="12" t="s">
        <v>1442</v>
      </c>
      <c r="K94" s="37" t="s">
        <v>1691</v>
      </c>
      <c r="L94" s="13">
        <v>180</v>
      </c>
      <c r="M94" s="13" t="s">
        <v>1764</v>
      </c>
      <c r="N94" s="14">
        <v>0</v>
      </c>
      <c r="O94" s="14">
        <v>0</v>
      </c>
      <c r="P94" s="14">
        <v>17</v>
      </c>
      <c r="Q94" s="14">
        <v>0</v>
      </c>
      <c r="R94" s="14">
        <v>99</v>
      </c>
      <c r="S94" s="14">
        <v>2</v>
      </c>
      <c r="T94" s="14">
        <v>60</v>
      </c>
      <c r="U94" s="14">
        <v>1</v>
      </c>
      <c r="V94" s="15">
        <f t="shared" si="10"/>
        <v>176</v>
      </c>
      <c r="W94" s="14">
        <f t="shared" si="10"/>
        <v>3</v>
      </c>
      <c r="X94" s="14">
        <f t="shared" si="6"/>
        <v>0</v>
      </c>
      <c r="Y94" s="14">
        <f t="shared" si="7"/>
        <v>2</v>
      </c>
      <c r="Z94" s="16">
        <f t="shared" si="8"/>
        <v>2</v>
      </c>
      <c r="AA94" s="14">
        <f t="shared" si="9"/>
        <v>0</v>
      </c>
      <c r="AB94" s="17"/>
      <c r="AC94" s="17" t="s">
        <v>54</v>
      </c>
    </row>
    <row r="95" spans="1:29" s="21" customFormat="1" ht="13.5" customHeight="1" x14ac:dyDescent="0.2">
      <c r="A95" s="9">
        <v>3</v>
      </c>
      <c r="B95" s="9">
        <v>38</v>
      </c>
      <c r="C95" s="10">
        <v>3038</v>
      </c>
      <c r="D95" s="9">
        <v>33194769</v>
      </c>
      <c r="E95" s="34" t="s">
        <v>509</v>
      </c>
      <c r="F95" s="10" t="s">
        <v>740</v>
      </c>
      <c r="G95" s="11" t="s">
        <v>223</v>
      </c>
      <c r="H95" s="12" t="s">
        <v>58</v>
      </c>
      <c r="I95" s="12" t="s">
        <v>1280</v>
      </c>
      <c r="J95" s="12" t="s">
        <v>1443</v>
      </c>
      <c r="K95" s="37" t="s">
        <v>1703</v>
      </c>
      <c r="L95" s="13">
        <v>83</v>
      </c>
      <c r="M95" s="13" t="s">
        <v>1764</v>
      </c>
      <c r="N95" s="14">
        <v>0</v>
      </c>
      <c r="O95" s="14">
        <v>0</v>
      </c>
      <c r="P95" s="14">
        <v>0</v>
      </c>
      <c r="Q95" s="14">
        <v>0</v>
      </c>
      <c r="R95" s="14">
        <v>16</v>
      </c>
      <c r="S95" s="14">
        <v>0</v>
      </c>
      <c r="T95" s="14">
        <v>66</v>
      </c>
      <c r="U95" s="14">
        <v>1</v>
      </c>
      <c r="V95" s="15">
        <f t="shared" si="10"/>
        <v>82</v>
      </c>
      <c r="W95" s="14">
        <f t="shared" si="10"/>
        <v>1</v>
      </c>
      <c r="X95" s="14">
        <f t="shared" si="6"/>
        <v>0</v>
      </c>
      <c r="Y95" s="14">
        <f t="shared" si="7"/>
        <v>2</v>
      </c>
      <c r="Z95" s="16">
        <f t="shared" si="8"/>
        <v>0</v>
      </c>
      <c r="AA95" s="14">
        <f t="shared" si="9"/>
        <v>-1</v>
      </c>
      <c r="AB95" s="17"/>
      <c r="AC95" s="17" t="s">
        <v>54</v>
      </c>
    </row>
    <row r="96" spans="1:29" s="21" customFormat="1" ht="13.5" customHeight="1" x14ac:dyDescent="0.2">
      <c r="A96" s="9">
        <v>4</v>
      </c>
      <c r="B96" s="9">
        <v>1</v>
      </c>
      <c r="C96" s="10">
        <v>4017</v>
      </c>
      <c r="D96" s="9">
        <v>33134995</v>
      </c>
      <c r="E96" s="34" t="s">
        <v>510</v>
      </c>
      <c r="F96" s="10" t="s">
        <v>741</v>
      </c>
      <c r="G96" s="11" t="s">
        <v>224</v>
      </c>
      <c r="H96" s="12" t="s">
        <v>1055</v>
      </c>
      <c r="I96" s="12" t="s">
        <v>1281</v>
      </c>
      <c r="J96" s="12" t="s">
        <v>1444</v>
      </c>
      <c r="K96" s="37" t="s">
        <v>1704</v>
      </c>
      <c r="L96" s="13">
        <v>202</v>
      </c>
      <c r="M96" s="13" t="s">
        <v>1764</v>
      </c>
      <c r="N96" s="14">
        <v>0</v>
      </c>
      <c r="O96" s="14">
        <v>0</v>
      </c>
      <c r="P96" s="14">
        <v>44</v>
      </c>
      <c r="Q96" s="14">
        <v>1</v>
      </c>
      <c r="R96" s="14">
        <v>62</v>
      </c>
      <c r="S96" s="14">
        <v>0</v>
      </c>
      <c r="T96" s="14">
        <v>90</v>
      </c>
      <c r="U96" s="14">
        <v>1</v>
      </c>
      <c r="V96" s="15">
        <f t="shared" si="10"/>
        <v>196</v>
      </c>
      <c r="W96" s="14">
        <f t="shared" si="10"/>
        <v>2</v>
      </c>
      <c r="X96" s="14">
        <f t="shared" si="6"/>
        <v>2</v>
      </c>
      <c r="Y96" s="14">
        <f t="shared" si="7"/>
        <v>2</v>
      </c>
      <c r="Z96" s="16">
        <f t="shared" si="8"/>
        <v>2</v>
      </c>
      <c r="AA96" s="14">
        <f t="shared" si="9"/>
        <v>0</v>
      </c>
      <c r="AB96" s="17"/>
      <c r="AC96" s="17"/>
    </row>
    <row r="97" spans="1:29" s="21" customFormat="1" ht="13.5" customHeight="1" x14ac:dyDescent="0.2">
      <c r="A97" s="9">
        <v>4</v>
      </c>
      <c r="B97" s="9">
        <v>2</v>
      </c>
      <c r="C97" s="10">
        <v>4021</v>
      </c>
      <c r="D97" s="9">
        <v>33188033</v>
      </c>
      <c r="E97" s="34" t="s">
        <v>510</v>
      </c>
      <c r="F97" s="10" t="s">
        <v>742</v>
      </c>
      <c r="G97" s="11" t="s">
        <v>225</v>
      </c>
      <c r="H97" s="12" t="s">
        <v>1056</v>
      </c>
      <c r="I97" s="12" t="s">
        <v>1281</v>
      </c>
      <c r="J97" s="12" t="s">
        <v>1445</v>
      </c>
      <c r="K97" s="37" t="s">
        <v>1705</v>
      </c>
      <c r="L97" s="13">
        <v>215</v>
      </c>
      <c r="M97" s="13" t="s">
        <v>1764</v>
      </c>
      <c r="N97" s="14">
        <v>0</v>
      </c>
      <c r="O97" s="14">
        <v>0</v>
      </c>
      <c r="P97" s="14">
        <v>51</v>
      </c>
      <c r="Q97" s="14">
        <v>0</v>
      </c>
      <c r="R97" s="14">
        <v>100</v>
      </c>
      <c r="S97" s="14">
        <v>1</v>
      </c>
      <c r="T97" s="14">
        <v>56</v>
      </c>
      <c r="U97" s="14">
        <v>1</v>
      </c>
      <c r="V97" s="15">
        <f t="shared" si="10"/>
        <v>207</v>
      </c>
      <c r="W97" s="14">
        <f t="shared" si="10"/>
        <v>2</v>
      </c>
      <c r="X97" s="14">
        <f t="shared" si="6"/>
        <v>0</v>
      </c>
      <c r="Y97" s="14">
        <f t="shared" si="7"/>
        <v>2</v>
      </c>
      <c r="Z97" s="16">
        <f t="shared" si="8"/>
        <v>6</v>
      </c>
      <c r="AA97" s="14">
        <f t="shared" si="9"/>
        <v>0</v>
      </c>
      <c r="AB97" s="17"/>
      <c r="AC97" s="17"/>
    </row>
    <row r="98" spans="1:29" s="21" customFormat="1" ht="13.5" customHeight="1" x14ac:dyDescent="0.2">
      <c r="A98" s="9">
        <v>4</v>
      </c>
      <c r="B98" s="9">
        <v>3</v>
      </c>
      <c r="C98" s="10">
        <v>4027</v>
      </c>
      <c r="D98" s="9">
        <v>33188041</v>
      </c>
      <c r="E98" s="34" t="s">
        <v>510</v>
      </c>
      <c r="F98" s="10" t="s">
        <v>743</v>
      </c>
      <c r="G98" s="11" t="s">
        <v>226</v>
      </c>
      <c r="H98" s="12" t="s">
        <v>1057</v>
      </c>
      <c r="I98" s="12" t="s">
        <v>1281</v>
      </c>
      <c r="J98" s="12" t="s">
        <v>1446</v>
      </c>
      <c r="K98" s="37" t="s">
        <v>1706</v>
      </c>
      <c r="L98" s="13">
        <v>200</v>
      </c>
      <c r="M98" s="13" t="s">
        <v>1764</v>
      </c>
      <c r="N98" s="14">
        <v>0</v>
      </c>
      <c r="O98" s="14">
        <v>0</v>
      </c>
      <c r="P98" s="14">
        <v>40</v>
      </c>
      <c r="Q98" s="14">
        <v>0</v>
      </c>
      <c r="R98" s="14">
        <v>80</v>
      </c>
      <c r="S98" s="14">
        <v>0</v>
      </c>
      <c r="T98" s="14">
        <v>79</v>
      </c>
      <c r="U98" s="14">
        <v>0</v>
      </c>
      <c r="V98" s="15">
        <f t="shared" si="10"/>
        <v>199</v>
      </c>
      <c r="W98" s="14">
        <f t="shared" si="10"/>
        <v>0</v>
      </c>
      <c r="X98" s="14">
        <f t="shared" si="6"/>
        <v>0</v>
      </c>
      <c r="Y98" s="14">
        <f t="shared" si="7"/>
        <v>0</v>
      </c>
      <c r="Z98" s="16">
        <f t="shared" si="8"/>
        <v>1</v>
      </c>
      <c r="AA98" s="14">
        <f t="shared" si="9"/>
        <v>0</v>
      </c>
      <c r="AB98" s="17"/>
      <c r="AC98" s="17"/>
    </row>
    <row r="99" spans="1:29" s="21" customFormat="1" ht="13.5" customHeight="1" x14ac:dyDescent="0.2">
      <c r="A99" s="9">
        <v>4</v>
      </c>
      <c r="B99" s="9">
        <v>4</v>
      </c>
      <c r="C99" s="10">
        <v>4032</v>
      </c>
      <c r="D99" s="9">
        <v>33192200</v>
      </c>
      <c r="E99" s="34" t="s">
        <v>510</v>
      </c>
      <c r="F99" s="10" t="s">
        <v>744</v>
      </c>
      <c r="G99" s="11" t="s">
        <v>227</v>
      </c>
      <c r="H99" s="12" t="s">
        <v>1058</v>
      </c>
      <c r="I99" s="12" t="s">
        <v>1281</v>
      </c>
      <c r="J99" s="12" t="s">
        <v>1447</v>
      </c>
      <c r="K99" s="37" t="s">
        <v>1707</v>
      </c>
      <c r="L99" s="13">
        <v>110</v>
      </c>
      <c r="M99" s="13" t="s">
        <v>1764</v>
      </c>
      <c r="N99" s="14">
        <v>0</v>
      </c>
      <c r="O99" s="14">
        <v>0</v>
      </c>
      <c r="P99" s="14">
        <v>32</v>
      </c>
      <c r="Q99" s="14">
        <v>0</v>
      </c>
      <c r="R99" s="14">
        <v>42</v>
      </c>
      <c r="S99" s="14">
        <v>0</v>
      </c>
      <c r="T99" s="14">
        <v>34</v>
      </c>
      <c r="U99" s="14">
        <v>0</v>
      </c>
      <c r="V99" s="15">
        <f t="shared" si="10"/>
        <v>108</v>
      </c>
      <c r="W99" s="14">
        <f t="shared" si="10"/>
        <v>0</v>
      </c>
      <c r="X99" s="14">
        <f t="shared" si="6"/>
        <v>0</v>
      </c>
      <c r="Y99" s="14">
        <f t="shared" si="7"/>
        <v>0</v>
      </c>
      <c r="Z99" s="16">
        <f t="shared" si="8"/>
        <v>2</v>
      </c>
      <c r="AA99" s="14">
        <f t="shared" si="9"/>
        <v>0</v>
      </c>
      <c r="AB99" s="17"/>
      <c r="AC99" s="17" t="s">
        <v>48</v>
      </c>
    </row>
    <row r="100" spans="1:29" s="21" customFormat="1" ht="13.5" customHeight="1" x14ac:dyDescent="0.2">
      <c r="A100" s="9">
        <v>4</v>
      </c>
      <c r="B100" s="9">
        <v>5</v>
      </c>
      <c r="C100" s="10">
        <v>4003</v>
      </c>
      <c r="D100" s="9">
        <v>33239215</v>
      </c>
      <c r="E100" s="34" t="s">
        <v>511</v>
      </c>
      <c r="F100" s="10" t="s">
        <v>745</v>
      </c>
      <c r="G100" s="11" t="s">
        <v>228</v>
      </c>
      <c r="H100" s="12" t="s">
        <v>1059</v>
      </c>
      <c r="I100" s="12" t="s">
        <v>1059</v>
      </c>
      <c r="J100" s="12" t="s">
        <v>1448</v>
      </c>
      <c r="K100" s="37" t="s">
        <v>1708</v>
      </c>
      <c r="L100" s="13">
        <v>142</v>
      </c>
      <c r="M100" s="13" t="s">
        <v>1764</v>
      </c>
      <c r="N100" s="14">
        <v>0</v>
      </c>
      <c r="O100" s="14">
        <v>0</v>
      </c>
      <c r="P100" s="14">
        <v>44</v>
      </c>
      <c r="Q100" s="14">
        <v>0</v>
      </c>
      <c r="R100" s="14">
        <v>48</v>
      </c>
      <c r="S100" s="14">
        <v>0</v>
      </c>
      <c r="T100" s="14">
        <v>50</v>
      </c>
      <c r="U100" s="14">
        <v>0</v>
      </c>
      <c r="V100" s="15">
        <f t="shared" si="10"/>
        <v>142</v>
      </c>
      <c r="W100" s="14">
        <f t="shared" si="10"/>
        <v>0</v>
      </c>
      <c r="X100" s="14">
        <f t="shared" si="6"/>
        <v>0</v>
      </c>
      <c r="Y100" s="14">
        <f t="shared" si="7"/>
        <v>0</v>
      </c>
      <c r="Z100" s="16">
        <f t="shared" si="8"/>
        <v>0</v>
      </c>
      <c r="AA100" s="14">
        <f t="shared" si="9"/>
        <v>0</v>
      </c>
      <c r="AB100" s="17"/>
      <c r="AC100" s="17"/>
    </row>
    <row r="101" spans="1:29" s="21" customFormat="1" ht="13.5" customHeight="1" x14ac:dyDescent="0.2">
      <c r="A101" s="9">
        <v>4</v>
      </c>
      <c r="B101" s="9">
        <v>6</v>
      </c>
      <c r="C101" s="10">
        <v>4005</v>
      </c>
      <c r="D101" s="9">
        <v>33150109</v>
      </c>
      <c r="E101" s="34" t="s">
        <v>512</v>
      </c>
      <c r="F101" s="10" t="s">
        <v>746</v>
      </c>
      <c r="G101" s="11" t="s">
        <v>229</v>
      </c>
      <c r="H101" s="12" t="s">
        <v>1060</v>
      </c>
      <c r="I101" s="12" t="s">
        <v>1282</v>
      </c>
      <c r="J101" s="12" t="s">
        <v>1449</v>
      </c>
      <c r="K101" s="37" t="s">
        <v>1709</v>
      </c>
      <c r="L101" s="13">
        <v>251</v>
      </c>
      <c r="M101" s="13" t="s">
        <v>1764</v>
      </c>
      <c r="N101" s="14">
        <v>0</v>
      </c>
      <c r="O101" s="14">
        <v>0</v>
      </c>
      <c r="P101" s="14">
        <v>80</v>
      </c>
      <c r="Q101" s="14">
        <v>0</v>
      </c>
      <c r="R101" s="14">
        <v>92</v>
      </c>
      <c r="S101" s="14">
        <v>0</v>
      </c>
      <c r="T101" s="14">
        <v>78</v>
      </c>
      <c r="U101" s="14">
        <v>1</v>
      </c>
      <c r="V101" s="15">
        <f t="shared" si="10"/>
        <v>250</v>
      </c>
      <c r="W101" s="14">
        <f t="shared" si="10"/>
        <v>1</v>
      </c>
      <c r="X101" s="14">
        <f t="shared" si="6"/>
        <v>0</v>
      </c>
      <c r="Y101" s="14">
        <f t="shared" si="7"/>
        <v>2</v>
      </c>
      <c r="Z101" s="16">
        <f t="shared" si="8"/>
        <v>0</v>
      </c>
      <c r="AA101" s="14">
        <f t="shared" si="9"/>
        <v>-1</v>
      </c>
      <c r="AB101" s="17"/>
      <c r="AC101" s="17"/>
    </row>
    <row r="102" spans="1:29" s="21" customFormat="1" ht="13.5" customHeight="1" x14ac:dyDescent="0.2">
      <c r="A102" s="9">
        <v>4</v>
      </c>
      <c r="B102" s="9">
        <v>7</v>
      </c>
      <c r="C102" s="10">
        <v>4034</v>
      </c>
      <c r="D102" s="9">
        <v>33191913</v>
      </c>
      <c r="E102" s="34" t="s">
        <v>512</v>
      </c>
      <c r="F102" s="10" t="s">
        <v>747</v>
      </c>
      <c r="G102" s="11" t="s">
        <v>230</v>
      </c>
      <c r="H102" s="12" t="s">
        <v>1061</v>
      </c>
      <c r="I102" s="12" t="s">
        <v>1283</v>
      </c>
      <c r="J102" s="12" t="s">
        <v>1450</v>
      </c>
      <c r="K102" s="37" t="s">
        <v>1707</v>
      </c>
      <c r="L102" s="13">
        <v>57</v>
      </c>
      <c r="M102" s="13" t="s">
        <v>1764</v>
      </c>
      <c r="N102" s="14">
        <v>0</v>
      </c>
      <c r="O102" s="14">
        <v>0</v>
      </c>
      <c r="P102" s="14">
        <v>17</v>
      </c>
      <c r="Q102" s="14">
        <v>0</v>
      </c>
      <c r="R102" s="14">
        <v>17</v>
      </c>
      <c r="S102" s="14">
        <v>1</v>
      </c>
      <c r="T102" s="14">
        <v>23</v>
      </c>
      <c r="U102" s="14">
        <v>3</v>
      </c>
      <c r="V102" s="15">
        <f t="shared" si="10"/>
        <v>57</v>
      </c>
      <c r="W102" s="14">
        <f t="shared" si="10"/>
        <v>4</v>
      </c>
      <c r="X102" s="14">
        <f t="shared" si="6"/>
        <v>0</v>
      </c>
      <c r="Y102" s="14">
        <f t="shared" si="7"/>
        <v>2</v>
      </c>
      <c r="Z102" s="16">
        <f t="shared" si="8"/>
        <v>0</v>
      </c>
      <c r="AA102" s="14">
        <f t="shared" si="9"/>
        <v>-2</v>
      </c>
      <c r="AB102" s="17"/>
      <c r="AC102" s="17" t="s">
        <v>55</v>
      </c>
    </row>
    <row r="103" spans="1:29" s="21" customFormat="1" ht="13.5" customHeight="1" x14ac:dyDescent="0.2">
      <c r="A103" s="9">
        <v>4</v>
      </c>
      <c r="B103" s="9">
        <v>8</v>
      </c>
      <c r="C103" s="10">
        <v>4020</v>
      </c>
      <c r="D103" s="9">
        <v>33184887</v>
      </c>
      <c r="E103" s="34" t="s">
        <v>484</v>
      </c>
      <c r="F103" s="10" t="s">
        <v>748</v>
      </c>
      <c r="G103" s="11" t="s">
        <v>231</v>
      </c>
      <c r="H103" s="12" t="s">
        <v>1062</v>
      </c>
      <c r="I103" s="12" t="s">
        <v>1260</v>
      </c>
      <c r="J103" s="12" t="s">
        <v>1451</v>
      </c>
      <c r="K103" s="37" t="s">
        <v>1695</v>
      </c>
      <c r="L103" s="13">
        <v>215</v>
      </c>
      <c r="M103" s="13" t="s">
        <v>1764</v>
      </c>
      <c r="N103" s="14">
        <v>0</v>
      </c>
      <c r="O103" s="14">
        <v>0</v>
      </c>
      <c r="P103" s="14">
        <v>47</v>
      </c>
      <c r="Q103" s="14">
        <v>0</v>
      </c>
      <c r="R103" s="14">
        <v>58</v>
      </c>
      <c r="S103" s="14">
        <v>0</v>
      </c>
      <c r="T103" s="14">
        <v>95</v>
      </c>
      <c r="U103" s="14">
        <v>3</v>
      </c>
      <c r="V103" s="15">
        <f t="shared" si="10"/>
        <v>200</v>
      </c>
      <c r="W103" s="14">
        <f t="shared" si="10"/>
        <v>3</v>
      </c>
      <c r="X103" s="14">
        <f t="shared" si="6"/>
        <v>0</v>
      </c>
      <c r="Y103" s="14">
        <f t="shared" si="7"/>
        <v>2</v>
      </c>
      <c r="Z103" s="16">
        <f t="shared" si="8"/>
        <v>13</v>
      </c>
      <c r="AA103" s="14">
        <f t="shared" si="9"/>
        <v>0</v>
      </c>
      <c r="AB103" s="17"/>
      <c r="AC103" s="17"/>
    </row>
    <row r="104" spans="1:29" s="21" customFormat="1" ht="13.5" customHeight="1" x14ac:dyDescent="0.2">
      <c r="A104" s="9">
        <v>4</v>
      </c>
      <c r="B104" s="9">
        <v>9</v>
      </c>
      <c r="C104" s="10">
        <v>4023</v>
      </c>
      <c r="D104" s="9">
        <v>33188025</v>
      </c>
      <c r="E104" s="34" t="s">
        <v>484</v>
      </c>
      <c r="F104" s="10" t="s">
        <v>749</v>
      </c>
      <c r="G104" s="11" t="s">
        <v>59</v>
      </c>
      <c r="H104" s="12" t="s">
        <v>1063</v>
      </c>
      <c r="I104" s="12" t="s">
        <v>1260</v>
      </c>
      <c r="J104" s="12" t="s">
        <v>1452</v>
      </c>
      <c r="K104" s="37" t="s">
        <v>1702</v>
      </c>
      <c r="L104" s="13">
        <v>145</v>
      </c>
      <c r="M104" s="13" t="s">
        <v>1764</v>
      </c>
      <c r="N104" s="14">
        <v>0</v>
      </c>
      <c r="O104" s="14">
        <v>0</v>
      </c>
      <c r="P104" s="14">
        <v>54</v>
      </c>
      <c r="Q104" s="14">
        <v>0</v>
      </c>
      <c r="R104" s="14">
        <v>61</v>
      </c>
      <c r="S104" s="14">
        <v>0</v>
      </c>
      <c r="T104" s="14">
        <v>30</v>
      </c>
      <c r="U104" s="14">
        <v>0</v>
      </c>
      <c r="V104" s="15">
        <f t="shared" si="10"/>
        <v>145</v>
      </c>
      <c r="W104" s="14">
        <f t="shared" si="10"/>
        <v>0</v>
      </c>
      <c r="X104" s="14">
        <f t="shared" si="6"/>
        <v>0</v>
      </c>
      <c r="Y104" s="14">
        <f t="shared" si="7"/>
        <v>0</v>
      </c>
      <c r="Z104" s="16">
        <f t="shared" si="8"/>
        <v>0</v>
      </c>
      <c r="AA104" s="14">
        <f t="shared" si="9"/>
        <v>0</v>
      </c>
      <c r="AB104" s="17"/>
      <c r="AC104" s="17"/>
    </row>
    <row r="105" spans="1:29" s="21" customFormat="1" ht="13.5" customHeight="1" x14ac:dyDescent="0.2">
      <c r="A105" s="9">
        <v>4</v>
      </c>
      <c r="B105" s="9">
        <v>10</v>
      </c>
      <c r="C105" s="10">
        <v>4001</v>
      </c>
      <c r="D105" s="9">
        <v>33162131</v>
      </c>
      <c r="E105" s="34" t="s">
        <v>432</v>
      </c>
      <c r="F105" s="10" t="s">
        <v>750</v>
      </c>
      <c r="G105" s="11" t="s">
        <v>232</v>
      </c>
      <c r="H105" s="12" t="s">
        <v>1064</v>
      </c>
      <c r="I105" s="12" t="s">
        <v>1271</v>
      </c>
      <c r="J105" s="12" t="s">
        <v>1453</v>
      </c>
      <c r="K105" s="37" t="s">
        <v>1710</v>
      </c>
      <c r="L105" s="13">
        <v>200</v>
      </c>
      <c r="M105" s="13" t="s">
        <v>1764</v>
      </c>
      <c r="N105" s="14">
        <v>0</v>
      </c>
      <c r="O105" s="14">
        <v>0</v>
      </c>
      <c r="P105" s="14">
        <v>65</v>
      </c>
      <c r="Q105" s="14">
        <v>0</v>
      </c>
      <c r="R105" s="14">
        <v>68</v>
      </c>
      <c r="S105" s="14">
        <v>0</v>
      </c>
      <c r="T105" s="14">
        <v>67</v>
      </c>
      <c r="U105" s="14">
        <v>0</v>
      </c>
      <c r="V105" s="15">
        <f t="shared" si="10"/>
        <v>200</v>
      </c>
      <c r="W105" s="14">
        <f t="shared" si="10"/>
        <v>0</v>
      </c>
      <c r="X105" s="14">
        <f t="shared" si="6"/>
        <v>0</v>
      </c>
      <c r="Y105" s="14">
        <f t="shared" si="7"/>
        <v>0</v>
      </c>
      <c r="Z105" s="16">
        <f t="shared" si="8"/>
        <v>0</v>
      </c>
      <c r="AA105" s="14">
        <f t="shared" si="9"/>
        <v>0</v>
      </c>
      <c r="AB105" s="17"/>
      <c r="AC105" s="17"/>
    </row>
    <row r="106" spans="1:29" s="21" customFormat="1" ht="13.5" customHeight="1" x14ac:dyDescent="0.2">
      <c r="A106" s="9">
        <v>4</v>
      </c>
      <c r="B106" s="9">
        <v>11</v>
      </c>
      <c r="C106" s="10">
        <v>4006</v>
      </c>
      <c r="D106" s="9">
        <v>33156352</v>
      </c>
      <c r="E106" s="34" t="s">
        <v>513</v>
      </c>
      <c r="F106" s="10" t="s">
        <v>751</v>
      </c>
      <c r="G106" s="11" t="s">
        <v>233</v>
      </c>
      <c r="H106" s="12" t="s">
        <v>1065</v>
      </c>
      <c r="I106" s="12" t="s">
        <v>1284</v>
      </c>
      <c r="J106" s="12" t="s">
        <v>1454</v>
      </c>
      <c r="K106" s="37" t="s">
        <v>1710</v>
      </c>
      <c r="L106" s="13">
        <v>69</v>
      </c>
      <c r="M106" s="13" t="s">
        <v>1764</v>
      </c>
      <c r="N106" s="14">
        <v>0</v>
      </c>
      <c r="O106" s="14">
        <v>0</v>
      </c>
      <c r="P106" s="14">
        <v>9</v>
      </c>
      <c r="Q106" s="14">
        <v>0</v>
      </c>
      <c r="R106" s="14">
        <v>25</v>
      </c>
      <c r="S106" s="14">
        <v>0</v>
      </c>
      <c r="T106" s="14">
        <v>33</v>
      </c>
      <c r="U106" s="14">
        <v>4</v>
      </c>
      <c r="V106" s="15">
        <f t="shared" si="10"/>
        <v>67</v>
      </c>
      <c r="W106" s="14">
        <f t="shared" si="10"/>
        <v>4</v>
      </c>
      <c r="X106" s="14">
        <f t="shared" si="6"/>
        <v>0</v>
      </c>
      <c r="Y106" s="14">
        <f t="shared" si="7"/>
        <v>2</v>
      </c>
      <c r="Z106" s="16">
        <f t="shared" si="8"/>
        <v>0</v>
      </c>
      <c r="AA106" s="14">
        <f t="shared" si="9"/>
        <v>0</v>
      </c>
      <c r="AB106" s="17"/>
      <c r="AC106" s="17"/>
    </row>
    <row r="107" spans="1:29" s="21" customFormat="1" ht="13.5" customHeight="1" x14ac:dyDescent="0.2">
      <c r="A107" s="9">
        <v>4</v>
      </c>
      <c r="B107" s="9">
        <v>12</v>
      </c>
      <c r="C107" s="10">
        <v>4007</v>
      </c>
      <c r="D107" s="9">
        <v>33123047</v>
      </c>
      <c r="E107" s="34" t="s">
        <v>514</v>
      </c>
      <c r="F107" s="10" t="s">
        <v>752</v>
      </c>
      <c r="G107" s="11" t="s">
        <v>234</v>
      </c>
      <c r="H107" s="12" t="s">
        <v>1066</v>
      </c>
      <c r="I107" s="12" t="s">
        <v>1242</v>
      </c>
      <c r="J107" s="12" t="s">
        <v>1455</v>
      </c>
      <c r="K107" s="37" t="s">
        <v>1695</v>
      </c>
      <c r="L107" s="13">
        <v>84</v>
      </c>
      <c r="M107" s="13" t="s">
        <v>1763</v>
      </c>
      <c r="N107" s="14">
        <v>0</v>
      </c>
      <c r="O107" s="14">
        <v>0</v>
      </c>
      <c r="P107" s="14">
        <v>0</v>
      </c>
      <c r="Q107" s="14">
        <v>0</v>
      </c>
      <c r="R107" s="14">
        <v>48</v>
      </c>
      <c r="S107" s="14">
        <v>0</v>
      </c>
      <c r="T107" s="14">
        <v>35</v>
      </c>
      <c r="U107" s="14">
        <v>1</v>
      </c>
      <c r="V107" s="15">
        <f t="shared" si="10"/>
        <v>83</v>
      </c>
      <c r="W107" s="14">
        <f t="shared" si="10"/>
        <v>1</v>
      </c>
      <c r="X107" s="14">
        <f t="shared" si="6"/>
        <v>0</v>
      </c>
      <c r="Y107" s="14">
        <f t="shared" si="7"/>
        <v>2</v>
      </c>
      <c r="Z107" s="16">
        <f t="shared" si="8"/>
        <v>0</v>
      </c>
      <c r="AA107" s="14">
        <f t="shared" si="9"/>
        <v>-1</v>
      </c>
      <c r="AB107" s="17"/>
      <c r="AC107" s="17"/>
    </row>
    <row r="108" spans="1:29" s="21" customFormat="1" ht="13.5" customHeight="1" x14ac:dyDescent="0.2">
      <c r="A108" s="9">
        <v>4</v>
      </c>
      <c r="B108" s="9">
        <v>13</v>
      </c>
      <c r="C108" s="10">
        <v>4008</v>
      </c>
      <c r="D108" s="9">
        <v>33172935</v>
      </c>
      <c r="E108" s="34" t="s">
        <v>515</v>
      </c>
      <c r="F108" s="10" t="s">
        <v>753</v>
      </c>
      <c r="G108" s="11" t="s">
        <v>235</v>
      </c>
      <c r="H108" s="12" t="s">
        <v>1067</v>
      </c>
      <c r="I108" s="12" t="s">
        <v>1285</v>
      </c>
      <c r="J108" s="12" t="s">
        <v>1456</v>
      </c>
      <c r="K108" s="37" t="s">
        <v>1704</v>
      </c>
      <c r="L108" s="13">
        <v>100</v>
      </c>
      <c r="M108" s="13" t="s">
        <v>1763</v>
      </c>
      <c r="N108" s="14">
        <v>0</v>
      </c>
      <c r="O108" s="14">
        <v>0</v>
      </c>
      <c r="P108" s="14">
        <v>0</v>
      </c>
      <c r="Q108" s="14">
        <v>0</v>
      </c>
      <c r="R108" s="14">
        <v>49</v>
      </c>
      <c r="S108" s="14">
        <v>0</v>
      </c>
      <c r="T108" s="14">
        <v>51</v>
      </c>
      <c r="U108" s="14">
        <v>0</v>
      </c>
      <c r="V108" s="15">
        <f t="shared" si="10"/>
        <v>100</v>
      </c>
      <c r="W108" s="14">
        <f t="shared" si="10"/>
        <v>0</v>
      </c>
      <c r="X108" s="14">
        <f t="shared" si="6"/>
        <v>0</v>
      </c>
      <c r="Y108" s="14">
        <f t="shared" si="7"/>
        <v>0</v>
      </c>
      <c r="Z108" s="16">
        <f t="shared" si="8"/>
        <v>0</v>
      </c>
      <c r="AA108" s="14">
        <f t="shared" si="9"/>
        <v>0</v>
      </c>
      <c r="AB108" s="17"/>
      <c r="AC108" s="17"/>
    </row>
    <row r="109" spans="1:29" s="21" customFormat="1" ht="13.5" customHeight="1" x14ac:dyDescent="0.2">
      <c r="A109" s="9">
        <v>4</v>
      </c>
      <c r="B109" s="9">
        <v>14</v>
      </c>
      <c r="C109" s="10">
        <v>4009</v>
      </c>
      <c r="D109" s="9">
        <v>33095876</v>
      </c>
      <c r="E109" s="34" t="s">
        <v>516</v>
      </c>
      <c r="F109" s="10" t="s">
        <v>754</v>
      </c>
      <c r="G109" s="11" t="s">
        <v>236</v>
      </c>
      <c r="H109" s="12" t="s">
        <v>1068</v>
      </c>
      <c r="I109" s="12" t="s">
        <v>1286</v>
      </c>
      <c r="J109" s="12" t="s">
        <v>1457</v>
      </c>
      <c r="K109" s="37" t="s">
        <v>1711</v>
      </c>
      <c r="L109" s="13">
        <v>70</v>
      </c>
      <c r="M109" s="13" t="s">
        <v>1763</v>
      </c>
      <c r="N109" s="14">
        <v>0</v>
      </c>
      <c r="O109" s="14">
        <v>0</v>
      </c>
      <c r="P109" s="14">
        <v>0</v>
      </c>
      <c r="Q109" s="14">
        <v>0</v>
      </c>
      <c r="R109" s="14">
        <v>20</v>
      </c>
      <c r="S109" s="14">
        <v>0</v>
      </c>
      <c r="T109" s="14">
        <v>50</v>
      </c>
      <c r="U109" s="14">
        <v>0</v>
      </c>
      <c r="V109" s="15">
        <f t="shared" si="10"/>
        <v>70</v>
      </c>
      <c r="W109" s="14">
        <f t="shared" si="10"/>
        <v>0</v>
      </c>
      <c r="X109" s="14">
        <f t="shared" si="6"/>
        <v>0</v>
      </c>
      <c r="Y109" s="14">
        <f t="shared" si="7"/>
        <v>0</v>
      </c>
      <c r="Z109" s="16">
        <f t="shared" si="8"/>
        <v>0</v>
      </c>
      <c r="AA109" s="14">
        <f t="shared" si="9"/>
        <v>0</v>
      </c>
      <c r="AB109" s="17"/>
      <c r="AC109" s="17"/>
    </row>
    <row r="110" spans="1:29" s="21" customFormat="1" ht="13.5" customHeight="1" x14ac:dyDescent="0.2">
      <c r="A110" s="9">
        <v>4</v>
      </c>
      <c r="B110" s="9">
        <v>15</v>
      </c>
      <c r="C110" s="10">
        <v>4010</v>
      </c>
      <c r="D110" s="9">
        <v>33094578</v>
      </c>
      <c r="E110" s="34" t="s">
        <v>517</v>
      </c>
      <c r="F110" s="10" t="s">
        <v>755</v>
      </c>
      <c r="G110" s="11" t="s">
        <v>237</v>
      </c>
      <c r="H110" s="12" t="s">
        <v>1069</v>
      </c>
      <c r="I110" s="12" t="s">
        <v>1287</v>
      </c>
      <c r="J110" s="12" t="s">
        <v>1458</v>
      </c>
      <c r="K110" s="37" t="s">
        <v>1710</v>
      </c>
      <c r="L110" s="13">
        <v>125</v>
      </c>
      <c r="M110" s="13" t="s">
        <v>1763</v>
      </c>
      <c r="N110" s="14">
        <v>0</v>
      </c>
      <c r="O110" s="14">
        <v>0</v>
      </c>
      <c r="P110" s="14">
        <v>0</v>
      </c>
      <c r="Q110" s="14">
        <v>0</v>
      </c>
      <c r="R110" s="14">
        <v>67</v>
      </c>
      <c r="S110" s="14">
        <v>0</v>
      </c>
      <c r="T110" s="14">
        <v>58</v>
      </c>
      <c r="U110" s="14">
        <v>0</v>
      </c>
      <c r="V110" s="15">
        <f t="shared" si="10"/>
        <v>125</v>
      </c>
      <c r="W110" s="14">
        <f t="shared" si="10"/>
        <v>0</v>
      </c>
      <c r="X110" s="14">
        <f t="shared" si="6"/>
        <v>0</v>
      </c>
      <c r="Y110" s="14">
        <f t="shared" si="7"/>
        <v>0</v>
      </c>
      <c r="Z110" s="16">
        <f t="shared" si="8"/>
        <v>0</v>
      </c>
      <c r="AA110" s="14">
        <f t="shared" si="9"/>
        <v>0</v>
      </c>
      <c r="AB110" s="17"/>
      <c r="AC110" s="17"/>
    </row>
    <row r="111" spans="1:29" s="21" customFormat="1" ht="13.5" customHeight="1" x14ac:dyDescent="0.2">
      <c r="A111" s="9">
        <v>4</v>
      </c>
      <c r="B111" s="9">
        <v>16</v>
      </c>
      <c r="C111" s="10">
        <v>4004</v>
      </c>
      <c r="D111" s="9">
        <v>33137870</v>
      </c>
      <c r="E111" s="34" t="s">
        <v>518</v>
      </c>
      <c r="F111" s="10" t="s">
        <v>756</v>
      </c>
      <c r="G111" s="11" t="s">
        <v>238</v>
      </c>
      <c r="H111" s="12" t="s">
        <v>1070</v>
      </c>
      <c r="I111" s="12" t="s">
        <v>1288</v>
      </c>
      <c r="J111" s="12" t="s">
        <v>1459</v>
      </c>
      <c r="K111" s="37" t="s">
        <v>1704</v>
      </c>
      <c r="L111" s="13">
        <v>165</v>
      </c>
      <c r="M111" s="13" t="s">
        <v>1763</v>
      </c>
      <c r="N111" s="14">
        <v>0</v>
      </c>
      <c r="O111" s="14">
        <v>0</v>
      </c>
      <c r="P111" s="14">
        <v>0</v>
      </c>
      <c r="Q111" s="14">
        <v>0</v>
      </c>
      <c r="R111" s="14">
        <v>68</v>
      </c>
      <c r="S111" s="14">
        <v>0</v>
      </c>
      <c r="T111" s="14">
        <v>94</v>
      </c>
      <c r="U111" s="14">
        <v>3</v>
      </c>
      <c r="V111" s="15">
        <f t="shared" si="10"/>
        <v>162</v>
      </c>
      <c r="W111" s="14">
        <f t="shared" si="10"/>
        <v>3</v>
      </c>
      <c r="X111" s="14">
        <f t="shared" si="6"/>
        <v>0</v>
      </c>
      <c r="Y111" s="14">
        <f t="shared" si="7"/>
        <v>2</v>
      </c>
      <c r="Z111" s="16">
        <f t="shared" si="8"/>
        <v>1</v>
      </c>
      <c r="AA111" s="14">
        <f t="shared" si="9"/>
        <v>0</v>
      </c>
      <c r="AB111" s="17"/>
      <c r="AC111" s="17"/>
    </row>
    <row r="112" spans="1:29" s="21" customFormat="1" ht="13.5" customHeight="1" x14ac:dyDescent="0.2">
      <c r="A112" s="9">
        <v>4</v>
      </c>
      <c r="B112" s="9">
        <v>17</v>
      </c>
      <c r="C112" s="10">
        <v>4011</v>
      </c>
      <c r="D112" s="9">
        <v>33177945</v>
      </c>
      <c r="E112" s="34" t="s">
        <v>519</v>
      </c>
      <c r="F112" s="10" t="s">
        <v>757</v>
      </c>
      <c r="G112" s="11" t="s">
        <v>239</v>
      </c>
      <c r="H112" s="12" t="s">
        <v>1071</v>
      </c>
      <c r="I112" s="12" t="s">
        <v>1071</v>
      </c>
      <c r="J112" s="12" t="s">
        <v>1460</v>
      </c>
      <c r="K112" s="37" t="s">
        <v>1704</v>
      </c>
      <c r="L112" s="13">
        <v>140</v>
      </c>
      <c r="M112" s="13" t="s">
        <v>1764</v>
      </c>
      <c r="N112" s="14">
        <v>0</v>
      </c>
      <c r="O112" s="14">
        <v>0</v>
      </c>
      <c r="P112" s="14">
        <v>37</v>
      </c>
      <c r="Q112" s="14">
        <v>0</v>
      </c>
      <c r="R112" s="14">
        <v>35</v>
      </c>
      <c r="S112" s="14">
        <v>1</v>
      </c>
      <c r="T112" s="14">
        <v>58</v>
      </c>
      <c r="U112" s="14">
        <v>0</v>
      </c>
      <c r="V112" s="15">
        <f t="shared" si="10"/>
        <v>130</v>
      </c>
      <c r="W112" s="14">
        <f t="shared" si="10"/>
        <v>1</v>
      </c>
      <c r="X112" s="14">
        <f t="shared" si="6"/>
        <v>0</v>
      </c>
      <c r="Y112" s="14">
        <f t="shared" si="7"/>
        <v>2</v>
      </c>
      <c r="Z112" s="16">
        <f t="shared" si="8"/>
        <v>8</v>
      </c>
      <c r="AA112" s="14">
        <f t="shared" si="9"/>
        <v>0</v>
      </c>
      <c r="AB112" s="17"/>
      <c r="AC112" s="17"/>
    </row>
    <row r="113" spans="1:29" s="21" customFormat="1" ht="13.5" customHeight="1" x14ac:dyDescent="0.2">
      <c r="A113" s="9">
        <v>4</v>
      </c>
      <c r="B113" s="9">
        <v>18</v>
      </c>
      <c r="C113" s="10">
        <v>4025</v>
      </c>
      <c r="D113" s="9">
        <v>33187347</v>
      </c>
      <c r="E113" s="34" t="s">
        <v>519</v>
      </c>
      <c r="F113" s="10" t="s">
        <v>758</v>
      </c>
      <c r="G113" s="11" t="s">
        <v>240</v>
      </c>
      <c r="H113" s="12" t="s">
        <v>1072</v>
      </c>
      <c r="I113" s="12" t="s">
        <v>1071</v>
      </c>
      <c r="J113" s="12" t="s">
        <v>1461</v>
      </c>
      <c r="K113" s="37" t="s">
        <v>1709</v>
      </c>
      <c r="L113" s="13">
        <v>223</v>
      </c>
      <c r="M113" s="13" t="s">
        <v>1764</v>
      </c>
      <c r="N113" s="14">
        <v>0</v>
      </c>
      <c r="O113" s="14">
        <v>0</v>
      </c>
      <c r="P113" s="14">
        <v>66</v>
      </c>
      <c r="Q113" s="14">
        <v>0</v>
      </c>
      <c r="R113" s="14">
        <v>63</v>
      </c>
      <c r="S113" s="14">
        <v>0</v>
      </c>
      <c r="T113" s="14">
        <v>61</v>
      </c>
      <c r="U113" s="14">
        <v>0</v>
      </c>
      <c r="V113" s="15">
        <f t="shared" si="10"/>
        <v>190</v>
      </c>
      <c r="W113" s="14">
        <f t="shared" si="10"/>
        <v>0</v>
      </c>
      <c r="X113" s="14">
        <f t="shared" si="6"/>
        <v>0</v>
      </c>
      <c r="Y113" s="14">
        <f t="shared" si="7"/>
        <v>0</v>
      </c>
      <c r="Z113" s="16">
        <f t="shared" si="8"/>
        <v>33</v>
      </c>
      <c r="AA113" s="14">
        <f t="shared" si="9"/>
        <v>0</v>
      </c>
      <c r="AB113" s="17"/>
      <c r="AC113" s="17"/>
    </row>
    <row r="114" spans="1:29" s="21" customFormat="1" ht="13.5" customHeight="1" x14ac:dyDescent="0.2">
      <c r="A114" s="9">
        <v>4</v>
      </c>
      <c r="B114" s="9">
        <v>19</v>
      </c>
      <c r="C114" s="10">
        <v>4012</v>
      </c>
      <c r="D114" s="9">
        <v>33122857</v>
      </c>
      <c r="E114" s="34" t="s">
        <v>520</v>
      </c>
      <c r="F114" s="10" t="s">
        <v>759</v>
      </c>
      <c r="G114" s="11" t="s">
        <v>241</v>
      </c>
      <c r="H114" s="12" t="s">
        <v>1073</v>
      </c>
      <c r="I114" s="12" t="s">
        <v>1073</v>
      </c>
      <c r="J114" s="12" t="s">
        <v>1462</v>
      </c>
      <c r="K114" s="37" t="s">
        <v>1710</v>
      </c>
      <c r="L114" s="13">
        <v>125</v>
      </c>
      <c r="M114" s="13" t="s">
        <v>1764</v>
      </c>
      <c r="N114" s="14">
        <v>0</v>
      </c>
      <c r="O114" s="14">
        <v>0</v>
      </c>
      <c r="P114" s="14">
        <v>25</v>
      </c>
      <c r="Q114" s="14">
        <v>0</v>
      </c>
      <c r="R114" s="14">
        <v>50</v>
      </c>
      <c r="S114" s="14">
        <v>0</v>
      </c>
      <c r="T114" s="14">
        <v>50</v>
      </c>
      <c r="U114" s="14">
        <v>0</v>
      </c>
      <c r="V114" s="15">
        <f t="shared" si="10"/>
        <v>125</v>
      </c>
      <c r="W114" s="14">
        <f t="shared" si="10"/>
        <v>0</v>
      </c>
      <c r="X114" s="14">
        <f t="shared" si="6"/>
        <v>0</v>
      </c>
      <c r="Y114" s="14">
        <f t="shared" si="7"/>
        <v>0</v>
      </c>
      <c r="Z114" s="16">
        <f t="shared" si="8"/>
        <v>0</v>
      </c>
      <c r="AA114" s="14">
        <f t="shared" si="9"/>
        <v>0</v>
      </c>
      <c r="AB114" s="17"/>
      <c r="AC114" s="17"/>
    </row>
    <row r="115" spans="1:29" s="21" customFormat="1" ht="13.5" customHeight="1" x14ac:dyDescent="0.2">
      <c r="A115" s="9">
        <v>4</v>
      </c>
      <c r="B115" s="9">
        <v>20</v>
      </c>
      <c r="C115" s="10">
        <v>4037</v>
      </c>
      <c r="D115" s="9">
        <v>33193215</v>
      </c>
      <c r="E115" s="34" t="s">
        <v>520</v>
      </c>
      <c r="F115" s="10" t="s">
        <v>760</v>
      </c>
      <c r="G115" s="11" t="s">
        <v>242</v>
      </c>
      <c r="H115" s="12" t="s">
        <v>1074</v>
      </c>
      <c r="I115" s="12" t="s">
        <v>1073</v>
      </c>
      <c r="J115" s="12" t="s">
        <v>1463</v>
      </c>
      <c r="K115" s="37" t="s">
        <v>1695</v>
      </c>
      <c r="L115" s="13">
        <v>94</v>
      </c>
      <c r="M115" s="13" t="s">
        <v>1763</v>
      </c>
      <c r="N115" s="14">
        <v>0</v>
      </c>
      <c r="O115" s="14">
        <v>0</v>
      </c>
      <c r="P115" s="14">
        <v>0</v>
      </c>
      <c r="Q115" s="14">
        <v>0</v>
      </c>
      <c r="R115" s="14">
        <v>35</v>
      </c>
      <c r="S115" s="14">
        <v>0</v>
      </c>
      <c r="T115" s="14">
        <v>59</v>
      </c>
      <c r="U115" s="14">
        <v>1</v>
      </c>
      <c r="V115" s="15">
        <f t="shared" si="10"/>
        <v>94</v>
      </c>
      <c r="W115" s="14">
        <f t="shared" si="10"/>
        <v>1</v>
      </c>
      <c r="X115" s="14">
        <f t="shared" si="6"/>
        <v>0</v>
      </c>
      <c r="Y115" s="14">
        <f t="shared" si="7"/>
        <v>2</v>
      </c>
      <c r="Z115" s="16">
        <f t="shared" si="8"/>
        <v>0</v>
      </c>
      <c r="AA115" s="14">
        <f t="shared" si="9"/>
        <v>-2</v>
      </c>
      <c r="AB115" s="17"/>
      <c r="AC115" s="17" t="s">
        <v>55</v>
      </c>
    </row>
    <row r="116" spans="1:29" s="21" customFormat="1" ht="13.5" customHeight="1" x14ac:dyDescent="0.2">
      <c r="A116" s="9">
        <v>4</v>
      </c>
      <c r="B116" s="9">
        <v>21</v>
      </c>
      <c r="C116" s="10">
        <v>4026</v>
      </c>
      <c r="D116" s="9">
        <v>33188734</v>
      </c>
      <c r="E116" s="34" t="s">
        <v>521</v>
      </c>
      <c r="F116" s="10" t="s">
        <v>761</v>
      </c>
      <c r="G116" s="11" t="s">
        <v>243</v>
      </c>
      <c r="H116" s="12" t="s">
        <v>1075</v>
      </c>
      <c r="I116" s="12" t="s">
        <v>1289</v>
      </c>
      <c r="J116" s="12" t="s">
        <v>1464</v>
      </c>
      <c r="K116" s="37" t="s">
        <v>1708</v>
      </c>
      <c r="L116" s="13">
        <v>49</v>
      </c>
      <c r="M116" s="13" t="s">
        <v>1763</v>
      </c>
      <c r="N116" s="14">
        <v>0</v>
      </c>
      <c r="O116" s="14">
        <v>0</v>
      </c>
      <c r="P116" s="14">
        <v>0</v>
      </c>
      <c r="Q116" s="14">
        <v>0</v>
      </c>
      <c r="R116" s="14">
        <v>22</v>
      </c>
      <c r="S116" s="14">
        <v>0</v>
      </c>
      <c r="T116" s="14">
        <v>27</v>
      </c>
      <c r="U116" s="14">
        <v>0</v>
      </c>
      <c r="V116" s="15">
        <f t="shared" si="10"/>
        <v>49</v>
      </c>
      <c r="W116" s="14">
        <f t="shared" si="10"/>
        <v>0</v>
      </c>
      <c r="X116" s="14">
        <f t="shared" si="6"/>
        <v>0</v>
      </c>
      <c r="Y116" s="14">
        <f t="shared" si="7"/>
        <v>0</v>
      </c>
      <c r="Z116" s="16">
        <f t="shared" si="8"/>
        <v>0</v>
      </c>
      <c r="AA116" s="14">
        <f t="shared" si="9"/>
        <v>0</v>
      </c>
      <c r="AB116" s="17"/>
      <c r="AC116" s="17" t="s">
        <v>48</v>
      </c>
    </row>
    <row r="117" spans="1:29" s="21" customFormat="1" ht="13.5" customHeight="1" x14ac:dyDescent="0.2">
      <c r="A117" s="9">
        <v>4</v>
      </c>
      <c r="B117" s="9">
        <v>22</v>
      </c>
      <c r="C117" s="10">
        <v>4036</v>
      </c>
      <c r="D117" s="9">
        <v>33192065</v>
      </c>
      <c r="E117" s="34" t="s">
        <v>522</v>
      </c>
      <c r="F117" s="10" t="s">
        <v>762</v>
      </c>
      <c r="G117" s="11" t="s">
        <v>244</v>
      </c>
      <c r="H117" s="12" t="s">
        <v>1076</v>
      </c>
      <c r="I117" s="12" t="s">
        <v>1076</v>
      </c>
      <c r="J117" s="12" t="s">
        <v>1465</v>
      </c>
      <c r="K117" s="37" t="s">
        <v>1712</v>
      </c>
      <c r="L117" s="13">
        <v>58</v>
      </c>
      <c r="M117" s="13" t="s">
        <v>1764</v>
      </c>
      <c r="N117" s="14">
        <v>0</v>
      </c>
      <c r="O117" s="14">
        <v>0</v>
      </c>
      <c r="P117" s="14">
        <v>18</v>
      </c>
      <c r="Q117" s="14">
        <v>0</v>
      </c>
      <c r="R117" s="14">
        <v>18</v>
      </c>
      <c r="S117" s="14">
        <v>0</v>
      </c>
      <c r="T117" s="14">
        <v>21</v>
      </c>
      <c r="U117" s="14">
        <v>1</v>
      </c>
      <c r="V117" s="15">
        <f t="shared" si="10"/>
        <v>57</v>
      </c>
      <c r="W117" s="14">
        <f t="shared" si="10"/>
        <v>1</v>
      </c>
      <c r="X117" s="14">
        <f t="shared" si="6"/>
        <v>0</v>
      </c>
      <c r="Y117" s="14">
        <f t="shared" si="7"/>
        <v>2</v>
      </c>
      <c r="Z117" s="16">
        <f t="shared" si="8"/>
        <v>0</v>
      </c>
      <c r="AA117" s="14">
        <f t="shared" si="9"/>
        <v>-1</v>
      </c>
      <c r="AB117" s="17"/>
      <c r="AC117" s="17" t="s">
        <v>55</v>
      </c>
    </row>
    <row r="118" spans="1:29" s="21" customFormat="1" ht="13.5" customHeight="1" x14ac:dyDescent="0.2">
      <c r="A118" s="9">
        <v>4</v>
      </c>
      <c r="B118" s="9">
        <v>23</v>
      </c>
      <c r="C118" s="10">
        <v>4016</v>
      </c>
      <c r="D118" s="9">
        <v>33095884</v>
      </c>
      <c r="E118" s="34" t="s">
        <v>523</v>
      </c>
      <c r="F118" s="10" t="s">
        <v>763</v>
      </c>
      <c r="G118" s="11" t="s">
        <v>245</v>
      </c>
      <c r="H118" s="12" t="s">
        <v>1077</v>
      </c>
      <c r="I118" s="12" t="s">
        <v>1290</v>
      </c>
      <c r="J118" s="12" t="s">
        <v>1466</v>
      </c>
      <c r="K118" s="37" t="s">
        <v>1711</v>
      </c>
      <c r="L118" s="13">
        <v>140</v>
      </c>
      <c r="M118" s="13" t="s">
        <v>1764</v>
      </c>
      <c r="N118" s="14">
        <v>0</v>
      </c>
      <c r="O118" s="14">
        <v>0</v>
      </c>
      <c r="P118" s="14">
        <v>43</v>
      </c>
      <c r="Q118" s="14">
        <v>1</v>
      </c>
      <c r="R118" s="14">
        <v>50</v>
      </c>
      <c r="S118" s="14">
        <v>0</v>
      </c>
      <c r="T118" s="14">
        <v>45</v>
      </c>
      <c r="U118" s="14">
        <v>1</v>
      </c>
      <c r="V118" s="15">
        <f t="shared" si="10"/>
        <v>138</v>
      </c>
      <c r="W118" s="14">
        <f t="shared" si="10"/>
        <v>2</v>
      </c>
      <c r="X118" s="14">
        <f t="shared" si="6"/>
        <v>2</v>
      </c>
      <c r="Y118" s="14">
        <f t="shared" si="7"/>
        <v>2</v>
      </c>
      <c r="Z118" s="16">
        <f t="shared" si="8"/>
        <v>0</v>
      </c>
      <c r="AA118" s="14">
        <f t="shared" si="9"/>
        <v>-2</v>
      </c>
      <c r="AB118" s="17"/>
      <c r="AC118" s="17"/>
    </row>
    <row r="119" spans="1:29" s="21" customFormat="1" ht="13.5" customHeight="1" x14ac:dyDescent="0.2">
      <c r="A119" s="9">
        <v>4</v>
      </c>
      <c r="B119" s="9">
        <v>24</v>
      </c>
      <c r="C119" s="10">
        <v>4014</v>
      </c>
      <c r="D119" s="9">
        <v>33122946</v>
      </c>
      <c r="E119" s="34" t="s">
        <v>524</v>
      </c>
      <c r="F119" s="10" t="s">
        <v>764</v>
      </c>
      <c r="G119" s="11" t="s">
        <v>246</v>
      </c>
      <c r="H119" s="12" t="s">
        <v>1078</v>
      </c>
      <c r="I119" s="12" t="s">
        <v>1242</v>
      </c>
      <c r="J119" s="12" t="s">
        <v>1467</v>
      </c>
      <c r="K119" s="37" t="s">
        <v>1712</v>
      </c>
      <c r="L119" s="13">
        <v>150</v>
      </c>
      <c r="M119" s="13" t="s">
        <v>1763</v>
      </c>
      <c r="N119" s="14">
        <v>0</v>
      </c>
      <c r="O119" s="14">
        <v>0</v>
      </c>
      <c r="P119" s="14">
        <v>0</v>
      </c>
      <c r="Q119" s="14">
        <v>0</v>
      </c>
      <c r="R119" s="14">
        <v>74</v>
      </c>
      <c r="S119" s="14">
        <v>1</v>
      </c>
      <c r="T119" s="14">
        <v>74</v>
      </c>
      <c r="U119" s="14">
        <v>1</v>
      </c>
      <c r="V119" s="15">
        <f t="shared" si="10"/>
        <v>148</v>
      </c>
      <c r="W119" s="14">
        <f t="shared" si="10"/>
        <v>2</v>
      </c>
      <c r="X119" s="14">
        <f t="shared" si="6"/>
        <v>0</v>
      </c>
      <c r="Y119" s="14">
        <f t="shared" si="7"/>
        <v>2</v>
      </c>
      <c r="Z119" s="16">
        <f t="shared" si="8"/>
        <v>0</v>
      </c>
      <c r="AA119" s="14">
        <f t="shared" si="9"/>
        <v>0</v>
      </c>
      <c r="AB119" s="17"/>
      <c r="AC119" s="17"/>
    </row>
    <row r="120" spans="1:29" s="21" customFormat="1" ht="13.5" customHeight="1" x14ac:dyDescent="0.2">
      <c r="A120" s="9">
        <v>4</v>
      </c>
      <c r="B120" s="9">
        <v>25</v>
      </c>
      <c r="C120" s="10">
        <v>4028</v>
      </c>
      <c r="D120" s="9">
        <v>33187320</v>
      </c>
      <c r="E120" s="34" t="s">
        <v>525</v>
      </c>
      <c r="F120" s="10" t="s">
        <v>765</v>
      </c>
      <c r="G120" s="11" t="s">
        <v>247</v>
      </c>
      <c r="H120" s="12" t="s">
        <v>1079</v>
      </c>
      <c r="I120" s="12" t="s">
        <v>70</v>
      </c>
      <c r="J120" s="12" t="s">
        <v>1468</v>
      </c>
      <c r="K120" s="37" t="s">
        <v>1695</v>
      </c>
      <c r="L120" s="13">
        <v>78</v>
      </c>
      <c r="M120" s="13" t="s">
        <v>1764</v>
      </c>
      <c r="N120" s="14">
        <v>0</v>
      </c>
      <c r="O120" s="14">
        <v>0</v>
      </c>
      <c r="P120" s="14">
        <v>20</v>
      </c>
      <c r="Q120" s="14">
        <v>0</v>
      </c>
      <c r="R120" s="14">
        <v>29</v>
      </c>
      <c r="S120" s="14">
        <v>0</v>
      </c>
      <c r="T120" s="14">
        <v>27</v>
      </c>
      <c r="U120" s="14">
        <v>2</v>
      </c>
      <c r="V120" s="15">
        <f t="shared" si="10"/>
        <v>76</v>
      </c>
      <c r="W120" s="14">
        <f t="shared" si="10"/>
        <v>2</v>
      </c>
      <c r="X120" s="14">
        <f t="shared" si="6"/>
        <v>0</v>
      </c>
      <c r="Y120" s="14">
        <f t="shared" si="7"/>
        <v>2</v>
      </c>
      <c r="Z120" s="16">
        <f t="shared" si="8"/>
        <v>0</v>
      </c>
      <c r="AA120" s="14">
        <f t="shared" si="9"/>
        <v>0</v>
      </c>
      <c r="AB120" s="17"/>
      <c r="AC120" s="17"/>
    </row>
    <row r="121" spans="1:29" s="21" customFormat="1" ht="13.5" customHeight="1" x14ac:dyDescent="0.2">
      <c r="A121" s="9">
        <v>4</v>
      </c>
      <c r="B121" s="9">
        <v>26</v>
      </c>
      <c r="C121" s="10">
        <v>4033</v>
      </c>
      <c r="D121" s="9">
        <v>33192626</v>
      </c>
      <c r="E121" s="34" t="s">
        <v>525</v>
      </c>
      <c r="F121" s="10" t="s">
        <v>766</v>
      </c>
      <c r="G121" s="11" t="s">
        <v>248</v>
      </c>
      <c r="H121" s="12" t="s">
        <v>1080</v>
      </c>
      <c r="I121" s="12" t="s">
        <v>70</v>
      </c>
      <c r="J121" s="12" t="s">
        <v>1469</v>
      </c>
      <c r="K121" s="37" t="s">
        <v>1704</v>
      </c>
      <c r="L121" s="13">
        <v>45</v>
      </c>
      <c r="M121" s="13" t="s">
        <v>1764</v>
      </c>
      <c r="N121" s="14">
        <v>0</v>
      </c>
      <c r="O121" s="14">
        <v>0</v>
      </c>
      <c r="P121" s="14">
        <v>16</v>
      </c>
      <c r="Q121" s="14">
        <v>0</v>
      </c>
      <c r="R121" s="14">
        <v>20</v>
      </c>
      <c r="S121" s="14">
        <v>1</v>
      </c>
      <c r="T121" s="14">
        <v>9</v>
      </c>
      <c r="U121" s="14">
        <v>0</v>
      </c>
      <c r="V121" s="15">
        <f t="shared" si="10"/>
        <v>45</v>
      </c>
      <c r="W121" s="14">
        <f t="shared" si="10"/>
        <v>1</v>
      </c>
      <c r="X121" s="14">
        <f t="shared" si="6"/>
        <v>0</v>
      </c>
      <c r="Y121" s="14">
        <f t="shared" si="7"/>
        <v>2</v>
      </c>
      <c r="Z121" s="16">
        <f t="shared" si="8"/>
        <v>0</v>
      </c>
      <c r="AA121" s="14">
        <f t="shared" si="9"/>
        <v>-2</v>
      </c>
      <c r="AB121" s="17"/>
      <c r="AC121" s="17" t="s">
        <v>55</v>
      </c>
    </row>
    <row r="122" spans="1:29" s="21" customFormat="1" ht="13.5" customHeight="1" x14ac:dyDescent="0.2">
      <c r="A122" s="9">
        <v>4</v>
      </c>
      <c r="B122" s="9">
        <v>27</v>
      </c>
      <c r="C122" s="10">
        <v>4024</v>
      </c>
      <c r="D122" s="9">
        <v>33187525</v>
      </c>
      <c r="E122" s="34" t="s">
        <v>526</v>
      </c>
      <c r="F122" s="10" t="s">
        <v>767</v>
      </c>
      <c r="G122" s="11" t="s">
        <v>249</v>
      </c>
      <c r="H122" s="12" t="s">
        <v>1081</v>
      </c>
      <c r="I122" s="12" t="s">
        <v>68</v>
      </c>
      <c r="J122" s="12" t="s">
        <v>1470</v>
      </c>
      <c r="K122" s="37" t="s">
        <v>1713</v>
      </c>
      <c r="L122" s="13">
        <v>269</v>
      </c>
      <c r="M122" s="13" t="s">
        <v>1764</v>
      </c>
      <c r="N122" s="14">
        <v>0</v>
      </c>
      <c r="O122" s="14">
        <v>0</v>
      </c>
      <c r="P122" s="14">
        <v>54</v>
      </c>
      <c r="Q122" s="14">
        <v>0</v>
      </c>
      <c r="R122" s="14">
        <v>102</v>
      </c>
      <c r="S122" s="14">
        <v>0</v>
      </c>
      <c r="T122" s="14">
        <v>111</v>
      </c>
      <c r="U122" s="14">
        <v>6</v>
      </c>
      <c r="V122" s="15">
        <f t="shared" si="10"/>
        <v>267</v>
      </c>
      <c r="W122" s="14">
        <f t="shared" si="10"/>
        <v>6</v>
      </c>
      <c r="X122" s="14">
        <f t="shared" si="6"/>
        <v>0</v>
      </c>
      <c r="Y122" s="14">
        <f t="shared" si="7"/>
        <v>2</v>
      </c>
      <c r="Z122" s="16">
        <f t="shared" si="8"/>
        <v>0</v>
      </c>
      <c r="AA122" s="14">
        <f t="shared" si="9"/>
        <v>0</v>
      </c>
      <c r="AB122" s="17"/>
      <c r="AC122" s="17"/>
    </row>
    <row r="123" spans="1:29" s="21" customFormat="1" ht="13.5" customHeight="1" x14ac:dyDescent="0.2">
      <c r="A123" s="9">
        <v>4</v>
      </c>
      <c r="B123" s="9">
        <v>28</v>
      </c>
      <c r="C123" s="10">
        <v>4030</v>
      </c>
      <c r="D123" s="9">
        <v>33192618</v>
      </c>
      <c r="E123" s="34" t="s">
        <v>526</v>
      </c>
      <c r="F123" s="10" t="s">
        <v>768</v>
      </c>
      <c r="G123" s="11" t="s">
        <v>250</v>
      </c>
      <c r="H123" s="12" t="s">
        <v>1082</v>
      </c>
      <c r="I123" s="12" t="s">
        <v>1291</v>
      </c>
      <c r="J123" s="12" t="s">
        <v>1471</v>
      </c>
      <c r="K123" s="37" t="s">
        <v>1695</v>
      </c>
      <c r="L123" s="13">
        <v>348</v>
      </c>
      <c r="M123" s="13" t="s">
        <v>1764</v>
      </c>
      <c r="N123" s="14">
        <v>0</v>
      </c>
      <c r="O123" s="14">
        <v>0</v>
      </c>
      <c r="P123" s="14">
        <v>77</v>
      </c>
      <c r="Q123" s="14">
        <v>0</v>
      </c>
      <c r="R123" s="14">
        <v>149</v>
      </c>
      <c r="S123" s="14">
        <v>0</v>
      </c>
      <c r="T123" s="14">
        <v>121</v>
      </c>
      <c r="U123" s="14">
        <v>1</v>
      </c>
      <c r="V123" s="15">
        <f t="shared" si="10"/>
        <v>347</v>
      </c>
      <c r="W123" s="14">
        <f t="shared" si="10"/>
        <v>1</v>
      </c>
      <c r="X123" s="14">
        <f t="shared" si="6"/>
        <v>0</v>
      </c>
      <c r="Y123" s="14">
        <f t="shared" si="7"/>
        <v>2</v>
      </c>
      <c r="Z123" s="16">
        <f t="shared" si="8"/>
        <v>0</v>
      </c>
      <c r="AA123" s="14">
        <f t="shared" si="9"/>
        <v>-1</v>
      </c>
      <c r="AB123" s="17"/>
      <c r="AC123" s="17" t="s">
        <v>48</v>
      </c>
    </row>
    <row r="124" spans="1:29" s="21" customFormat="1" ht="13.5" customHeight="1" x14ac:dyDescent="0.2">
      <c r="A124" s="9">
        <v>4</v>
      </c>
      <c r="B124" s="9">
        <v>29</v>
      </c>
      <c r="C124" s="10">
        <v>4022</v>
      </c>
      <c r="D124" s="9">
        <v>33191840</v>
      </c>
      <c r="E124" s="34" t="s">
        <v>526</v>
      </c>
      <c r="F124" s="10" t="s">
        <v>769</v>
      </c>
      <c r="G124" s="11" t="s">
        <v>60</v>
      </c>
      <c r="H124" s="12" t="s">
        <v>1083</v>
      </c>
      <c r="I124" s="12" t="s">
        <v>68</v>
      </c>
      <c r="J124" s="12" t="s">
        <v>1472</v>
      </c>
      <c r="K124" s="37" t="s">
        <v>1704</v>
      </c>
      <c r="L124" s="13">
        <v>273</v>
      </c>
      <c r="M124" s="13" t="s">
        <v>1764</v>
      </c>
      <c r="N124" s="14">
        <v>0</v>
      </c>
      <c r="O124" s="14">
        <v>0</v>
      </c>
      <c r="P124" s="14">
        <v>67</v>
      </c>
      <c r="Q124" s="14">
        <v>0</v>
      </c>
      <c r="R124" s="14">
        <v>120</v>
      </c>
      <c r="S124" s="14">
        <v>0</v>
      </c>
      <c r="T124" s="14">
        <v>86</v>
      </c>
      <c r="U124" s="14">
        <v>0</v>
      </c>
      <c r="V124" s="15">
        <f t="shared" si="10"/>
        <v>273</v>
      </c>
      <c r="W124" s="14">
        <f t="shared" si="10"/>
        <v>0</v>
      </c>
      <c r="X124" s="14">
        <f t="shared" si="6"/>
        <v>0</v>
      </c>
      <c r="Y124" s="14">
        <f t="shared" si="7"/>
        <v>0</v>
      </c>
      <c r="Z124" s="16">
        <f t="shared" si="8"/>
        <v>0</v>
      </c>
      <c r="AA124" s="14">
        <f t="shared" si="9"/>
        <v>0</v>
      </c>
      <c r="AB124" s="17"/>
      <c r="AC124" s="17"/>
    </row>
    <row r="125" spans="1:29" s="21" customFormat="1" ht="13.5" customHeight="1" x14ac:dyDescent="0.2">
      <c r="A125" s="9">
        <v>4</v>
      </c>
      <c r="B125" s="9">
        <v>30</v>
      </c>
      <c r="C125" s="10">
        <v>4015</v>
      </c>
      <c r="D125" s="9">
        <v>33162107</v>
      </c>
      <c r="E125" s="34" t="s">
        <v>527</v>
      </c>
      <c r="F125" s="10" t="s">
        <v>770</v>
      </c>
      <c r="G125" s="11" t="s">
        <v>251</v>
      </c>
      <c r="H125" s="12" t="s">
        <v>1084</v>
      </c>
      <c r="I125" s="12" t="s">
        <v>1292</v>
      </c>
      <c r="J125" s="12" t="s">
        <v>1473</v>
      </c>
      <c r="K125" s="37" t="s">
        <v>1711</v>
      </c>
      <c r="L125" s="13">
        <v>217</v>
      </c>
      <c r="M125" s="13" t="s">
        <v>1765</v>
      </c>
      <c r="N125" s="14">
        <v>16</v>
      </c>
      <c r="O125" s="14">
        <v>0</v>
      </c>
      <c r="P125" s="14">
        <v>67</v>
      </c>
      <c r="Q125" s="14">
        <v>0</v>
      </c>
      <c r="R125" s="14">
        <v>67</v>
      </c>
      <c r="S125" s="14">
        <v>0</v>
      </c>
      <c r="T125" s="14">
        <v>65</v>
      </c>
      <c r="U125" s="14">
        <v>2</v>
      </c>
      <c r="V125" s="15">
        <f t="shared" si="10"/>
        <v>215</v>
      </c>
      <c r="W125" s="14">
        <f t="shared" si="10"/>
        <v>2</v>
      </c>
      <c r="X125" s="14">
        <f t="shared" si="6"/>
        <v>0</v>
      </c>
      <c r="Y125" s="14">
        <f t="shared" si="7"/>
        <v>2</v>
      </c>
      <c r="Z125" s="16">
        <f t="shared" si="8"/>
        <v>0</v>
      </c>
      <c r="AA125" s="14">
        <f t="shared" si="9"/>
        <v>0</v>
      </c>
      <c r="AB125" s="17"/>
      <c r="AC125" s="17"/>
    </row>
    <row r="126" spans="1:29" s="21" customFormat="1" ht="13.5" customHeight="1" x14ac:dyDescent="0.2">
      <c r="A126" s="9">
        <v>4</v>
      </c>
      <c r="B126" s="9">
        <v>31</v>
      </c>
      <c r="C126" s="10">
        <v>4035</v>
      </c>
      <c r="D126" s="9" t="s">
        <v>123</v>
      </c>
      <c r="E126" s="34" t="s">
        <v>528</v>
      </c>
      <c r="F126" s="10" t="s">
        <v>771</v>
      </c>
      <c r="G126" s="11" t="s">
        <v>252</v>
      </c>
      <c r="H126" s="12" t="s">
        <v>1085</v>
      </c>
      <c r="I126" s="12" t="s">
        <v>73</v>
      </c>
      <c r="J126" s="12" t="s">
        <v>1474</v>
      </c>
      <c r="K126" s="37" t="s">
        <v>1710</v>
      </c>
      <c r="L126" s="13">
        <v>143</v>
      </c>
      <c r="M126" s="13" t="s">
        <v>1764</v>
      </c>
      <c r="N126" s="14">
        <v>0</v>
      </c>
      <c r="O126" s="14">
        <v>0</v>
      </c>
      <c r="P126" s="14">
        <v>14</v>
      </c>
      <c r="Q126" s="14">
        <v>0</v>
      </c>
      <c r="R126" s="14">
        <v>52</v>
      </c>
      <c r="S126" s="14">
        <v>0</v>
      </c>
      <c r="T126" s="14">
        <v>77</v>
      </c>
      <c r="U126" s="14">
        <v>0</v>
      </c>
      <c r="V126" s="15">
        <f t="shared" si="10"/>
        <v>143</v>
      </c>
      <c r="W126" s="14">
        <f t="shared" si="10"/>
        <v>0</v>
      </c>
      <c r="X126" s="14">
        <f t="shared" si="6"/>
        <v>0</v>
      </c>
      <c r="Y126" s="14">
        <f t="shared" si="7"/>
        <v>0</v>
      </c>
      <c r="Z126" s="16">
        <f t="shared" si="8"/>
        <v>0</v>
      </c>
      <c r="AA126" s="14">
        <f t="shared" si="9"/>
        <v>0</v>
      </c>
      <c r="AB126" s="17"/>
      <c r="AC126" s="17" t="s">
        <v>55</v>
      </c>
    </row>
    <row r="127" spans="1:29" s="21" customFormat="1" ht="13.5" customHeight="1" x14ac:dyDescent="0.2">
      <c r="A127" s="9">
        <v>4</v>
      </c>
      <c r="B127" s="9">
        <v>32</v>
      </c>
      <c r="C127" s="10">
        <v>4002</v>
      </c>
      <c r="D127" s="9">
        <v>33169896</v>
      </c>
      <c r="E127" s="34" t="s">
        <v>529</v>
      </c>
      <c r="F127" s="10" t="s">
        <v>772</v>
      </c>
      <c r="G127" s="11" t="s">
        <v>253</v>
      </c>
      <c r="H127" s="12" t="s">
        <v>1086</v>
      </c>
      <c r="I127" s="12" t="s">
        <v>1293</v>
      </c>
      <c r="J127" s="12" t="s">
        <v>1475</v>
      </c>
      <c r="K127" s="37" t="s">
        <v>1707</v>
      </c>
      <c r="L127" s="13">
        <v>100</v>
      </c>
      <c r="M127" s="13" t="s">
        <v>1764</v>
      </c>
      <c r="N127" s="14">
        <v>0</v>
      </c>
      <c r="O127" s="14">
        <v>0</v>
      </c>
      <c r="P127" s="14">
        <v>24</v>
      </c>
      <c r="Q127" s="14">
        <v>0</v>
      </c>
      <c r="R127" s="14">
        <v>26</v>
      </c>
      <c r="S127" s="14">
        <v>0</v>
      </c>
      <c r="T127" s="14">
        <v>48</v>
      </c>
      <c r="U127" s="14">
        <v>2</v>
      </c>
      <c r="V127" s="15">
        <f t="shared" si="10"/>
        <v>98</v>
      </c>
      <c r="W127" s="14">
        <f t="shared" si="10"/>
        <v>2</v>
      </c>
      <c r="X127" s="14">
        <f t="shared" si="6"/>
        <v>0</v>
      </c>
      <c r="Y127" s="14">
        <f t="shared" si="7"/>
        <v>2</v>
      </c>
      <c r="Z127" s="16">
        <f t="shared" si="8"/>
        <v>0</v>
      </c>
      <c r="AA127" s="14">
        <f t="shared" si="9"/>
        <v>0</v>
      </c>
      <c r="AB127" s="17"/>
      <c r="AC127" s="17"/>
    </row>
    <row r="128" spans="1:29" s="21" customFormat="1" ht="13.5" customHeight="1" x14ac:dyDescent="0.2">
      <c r="A128" s="9">
        <v>4</v>
      </c>
      <c r="B128" s="9">
        <v>34</v>
      </c>
      <c r="C128" s="10">
        <v>4013</v>
      </c>
      <c r="D128" s="9">
        <v>33069743</v>
      </c>
      <c r="E128" s="34" t="s">
        <v>530</v>
      </c>
      <c r="F128" s="10" t="s">
        <v>773</v>
      </c>
      <c r="G128" s="11" t="s">
        <v>254</v>
      </c>
      <c r="H128" s="12" t="s">
        <v>1087</v>
      </c>
      <c r="I128" s="12" t="s">
        <v>1294</v>
      </c>
      <c r="J128" s="12" t="s">
        <v>1476</v>
      </c>
      <c r="K128" s="37" t="s">
        <v>1695</v>
      </c>
      <c r="L128" s="13">
        <v>80</v>
      </c>
      <c r="M128" s="13" t="s">
        <v>1763</v>
      </c>
      <c r="N128" s="14">
        <v>0</v>
      </c>
      <c r="O128" s="14">
        <v>0</v>
      </c>
      <c r="P128" s="14">
        <v>0</v>
      </c>
      <c r="Q128" s="14">
        <v>0</v>
      </c>
      <c r="R128" s="14">
        <v>38</v>
      </c>
      <c r="S128" s="14">
        <v>2</v>
      </c>
      <c r="T128" s="14">
        <v>40</v>
      </c>
      <c r="U128" s="14">
        <v>0</v>
      </c>
      <c r="V128" s="15">
        <f t="shared" si="10"/>
        <v>78</v>
      </c>
      <c r="W128" s="14">
        <f t="shared" si="10"/>
        <v>2</v>
      </c>
      <c r="X128" s="14">
        <f t="shared" si="6"/>
        <v>0</v>
      </c>
      <c r="Y128" s="14">
        <f t="shared" si="7"/>
        <v>2</v>
      </c>
      <c r="Z128" s="16">
        <f t="shared" si="8"/>
        <v>0</v>
      </c>
      <c r="AA128" s="14">
        <f t="shared" si="9"/>
        <v>0</v>
      </c>
      <c r="AB128" s="17"/>
      <c r="AC128" s="17"/>
    </row>
    <row r="129" spans="1:29" s="21" customFormat="1" ht="13.5" customHeight="1" x14ac:dyDescent="0.2">
      <c r="A129" s="9">
        <v>4</v>
      </c>
      <c r="B129" s="9">
        <v>35</v>
      </c>
      <c r="C129" s="10">
        <v>4018</v>
      </c>
      <c r="D129" s="9">
        <v>33123055</v>
      </c>
      <c r="E129" s="34" t="s">
        <v>531</v>
      </c>
      <c r="F129" s="10" t="s">
        <v>774</v>
      </c>
      <c r="G129" s="11" t="s">
        <v>255</v>
      </c>
      <c r="H129" s="12" t="s">
        <v>1088</v>
      </c>
      <c r="I129" s="12" t="s">
        <v>1088</v>
      </c>
      <c r="J129" s="12" t="s">
        <v>1477</v>
      </c>
      <c r="K129" s="37" t="s">
        <v>1710</v>
      </c>
      <c r="L129" s="13">
        <v>210</v>
      </c>
      <c r="M129" s="13" t="s">
        <v>1764</v>
      </c>
      <c r="N129" s="14">
        <v>0</v>
      </c>
      <c r="O129" s="14">
        <v>0</v>
      </c>
      <c r="P129" s="14">
        <v>47</v>
      </c>
      <c r="Q129" s="14">
        <v>0</v>
      </c>
      <c r="R129" s="14">
        <v>98</v>
      </c>
      <c r="S129" s="14">
        <v>0</v>
      </c>
      <c r="T129" s="14">
        <v>64</v>
      </c>
      <c r="U129" s="14">
        <v>5</v>
      </c>
      <c r="V129" s="15">
        <f t="shared" si="10"/>
        <v>209</v>
      </c>
      <c r="W129" s="14">
        <f t="shared" si="10"/>
        <v>5</v>
      </c>
      <c r="X129" s="14">
        <f t="shared" si="6"/>
        <v>0</v>
      </c>
      <c r="Y129" s="14">
        <f t="shared" si="7"/>
        <v>2</v>
      </c>
      <c r="Z129" s="16">
        <f t="shared" si="8"/>
        <v>0</v>
      </c>
      <c r="AA129" s="14">
        <f t="shared" si="9"/>
        <v>-1</v>
      </c>
      <c r="AB129" s="17"/>
      <c r="AC129" s="17"/>
    </row>
    <row r="130" spans="1:29" s="21" customFormat="1" ht="13.5" customHeight="1" x14ac:dyDescent="0.2">
      <c r="A130" s="9">
        <v>4</v>
      </c>
      <c r="B130" s="9">
        <v>36</v>
      </c>
      <c r="C130" s="10">
        <v>4029</v>
      </c>
      <c r="D130" s="9">
        <v>33187541</v>
      </c>
      <c r="E130" s="34" t="s">
        <v>526</v>
      </c>
      <c r="F130" s="10" t="s">
        <v>775</v>
      </c>
      <c r="G130" s="11" t="s">
        <v>256</v>
      </c>
      <c r="H130" s="12" t="s">
        <v>1089</v>
      </c>
      <c r="I130" s="12" t="s">
        <v>68</v>
      </c>
      <c r="J130" s="12" t="s">
        <v>1478</v>
      </c>
      <c r="K130" s="37" t="s">
        <v>1713</v>
      </c>
      <c r="L130" s="13">
        <v>188</v>
      </c>
      <c r="M130" s="13" t="s">
        <v>1764</v>
      </c>
      <c r="N130" s="14">
        <v>0</v>
      </c>
      <c r="O130" s="14">
        <v>0</v>
      </c>
      <c r="P130" s="14">
        <v>43</v>
      </c>
      <c r="Q130" s="14">
        <v>0</v>
      </c>
      <c r="R130" s="14">
        <v>73</v>
      </c>
      <c r="S130" s="14">
        <v>0</v>
      </c>
      <c r="T130" s="14">
        <v>71</v>
      </c>
      <c r="U130" s="14">
        <v>1</v>
      </c>
      <c r="V130" s="15">
        <f t="shared" si="10"/>
        <v>187</v>
      </c>
      <c r="W130" s="14">
        <f t="shared" si="10"/>
        <v>1</v>
      </c>
      <c r="X130" s="14">
        <f t="shared" si="6"/>
        <v>0</v>
      </c>
      <c r="Y130" s="14">
        <f t="shared" si="7"/>
        <v>2</v>
      </c>
      <c r="Z130" s="16">
        <f t="shared" si="8"/>
        <v>0</v>
      </c>
      <c r="AA130" s="14">
        <f t="shared" si="9"/>
        <v>-1</v>
      </c>
      <c r="AB130" s="17"/>
      <c r="AC130" s="17"/>
    </row>
    <row r="131" spans="1:29" s="21" customFormat="1" ht="13.5" customHeight="1" x14ac:dyDescent="0.2">
      <c r="A131" s="9">
        <v>4</v>
      </c>
      <c r="B131" s="9">
        <v>37</v>
      </c>
      <c r="C131" s="10">
        <v>4040</v>
      </c>
      <c r="D131" s="9">
        <v>33192570</v>
      </c>
      <c r="E131" s="34" t="s">
        <v>510</v>
      </c>
      <c r="F131" s="10" t="s">
        <v>776</v>
      </c>
      <c r="G131" s="11" t="s">
        <v>257</v>
      </c>
      <c r="H131" s="12" t="s">
        <v>1090</v>
      </c>
      <c r="I131" s="12" t="s">
        <v>1281</v>
      </c>
      <c r="J131" s="12" t="s">
        <v>1479</v>
      </c>
      <c r="K131" s="37" t="s">
        <v>1714</v>
      </c>
      <c r="L131" s="13">
        <v>228</v>
      </c>
      <c r="M131" s="13" t="s">
        <v>1763</v>
      </c>
      <c r="N131" s="14">
        <v>0</v>
      </c>
      <c r="O131" s="14">
        <v>0</v>
      </c>
      <c r="P131" s="14">
        <v>0</v>
      </c>
      <c r="Q131" s="14">
        <v>0</v>
      </c>
      <c r="R131" s="14">
        <v>97</v>
      </c>
      <c r="S131" s="14">
        <v>1</v>
      </c>
      <c r="T131" s="14">
        <v>124</v>
      </c>
      <c r="U131" s="14">
        <v>1</v>
      </c>
      <c r="V131" s="15">
        <f t="shared" si="10"/>
        <v>221</v>
      </c>
      <c r="W131" s="14">
        <f t="shared" si="10"/>
        <v>2</v>
      </c>
      <c r="X131" s="14">
        <f t="shared" ref="X131:X194" si="11">IF((O131+Q131)&gt;=1,2,0)</f>
        <v>0</v>
      </c>
      <c r="Y131" s="14">
        <f t="shared" ref="Y131:Y194" si="12">IF((S131+U131)&gt;=1,2,0)</f>
        <v>2</v>
      </c>
      <c r="Z131" s="16">
        <f t="shared" ref="Z131:Z194" si="13">IF(SUM(L131-V131-(X131+Y131))&lt;=0,0,SUM(L131-V131-(X131+Y131)))</f>
        <v>5</v>
      </c>
      <c r="AA131" s="14">
        <f t="shared" ref="AA131:AA194" si="14">IF(SUM(L131-V131-(X131+Y131))&lt;0,SUM(L131-V131-(X131+Y131)),0)</f>
        <v>0</v>
      </c>
      <c r="AB131" s="17"/>
      <c r="AC131" s="17" t="s">
        <v>61</v>
      </c>
    </row>
    <row r="132" spans="1:29" s="21" customFormat="1" ht="13.5" customHeight="1" x14ac:dyDescent="0.2">
      <c r="A132" s="9">
        <v>4</v>
      </c>
      <c r="B132" s="9">
        <v>38</v>
      </c>
      <c r="C132" s="10">
        <v>4038</v>
      </c>
      <c r="D132" s="9">
        <v>33192600</v>
      </c>
      <c r="E132" s="34" t="s">
        <v>510</v>
      </c>
      <c r="F132" s="10" t="s">
        <v>777</v>
      </c>
      <c r="G132" s="11" t="s">
        <v>258</v>
      </c>
      <c r="H132" s="12" t="s">
        <v>1091</v>
      </c>
      <c r="I132" s="12" t="s">
        <v>1281</v>
      </c>
      <c r="J132" s="12" t="s">
        <v>1480</v>
      </c>
      <c r="K132" s="37" t="s">
        <v>1709</v>
      </c>
      <c r="L132" s="13">
        <v>412</v>
      </c>
      <c r="M132" s="13" t="s">
        <v>1763</v>
      </c>
      <c r="N132" s="14">
        <v>0</v>
      </c>
      <c r="O132" s="14">
        <v>0</v>
      </c>
      <c r="P132" s="14">
        <v>71</v>
      </c>
      <c r="Q132" s="14">
        <v>0</v>
      </c>
      <c r="R132" s="14">
        <v>102</v>
      </c>
      <c r="S132" s="14">
        <v>1</v>
      </c>
      <c r="T132" s="14">
        <v>75</v>
      </c>
      <c r="U132" s="14">
        <v>1</v>
      </c>
      <c r="V132" s="15">
        <f t="shared" si="10"/>
        <v>248</v>
      </c>
      <c r="W132" s="14">
        <f t="shared" si="10"/>
        <v>2</v>
      </c>
      <c r="X132" s="14">
        <f t="shared" si="11"/>
        <v>0</v>
      </c>
      <c r="Y132" s="14">
        <f t="shared" si="12"/>
        <v>2</v>
      </c>
      <c r="Z132" s="16">
        <f t="shared" si="13"/>
        <v>162</v>
      </c>
      <c r="AA132" s="14">
        <f t="shared" si="14"/>
        <v>0</v>
      </c>
      <c r="AB132" s="17"/>
      <c r="AC132" s="17" t="s">
        <v>61</v>
      </c>
    </row>
    <row r="133" spans="1:29" s="21" customFormat="1" ht="13.5" customHeight="1" x14ac:dyDescent="0.2">
      <c r="A133" s="9">
        <v>4</v>
      </c>
      <c r="B133" s="9">
        <v>39</v>
      </c>
      <c r="C133" s="10">
        <v>4039</v>
      </c>
      <c r="D133" s="9">
        <v>33192596</v>
      </c>
      <c r="E133" s="34" t="s">
        <v>510</v>
      </c>
      <c r="F133" s="10" t="s">
        <v>778</v>
      </c>
      <c r="G133" s="11" t="s">
        <v>259</v>
      </c>
      <c r="H133" s="12" t="s">
        <v>1092</v>
      </c>
      <c r="I133" s="12" t="s">
        <v>1281</v>
      </c>
      <c r="J133" s="12" t="s">
        <v>1481</v>
      </c>
      <c r="K133" s="37" t="s">
        <v>1705</v>
      </c>
      <c r="L133" s="13">
        <v>132</v>
      </c>
      <c r="M133" s="13" t="s">
        <v>1763</v>
      </c>
      <c r="N133" s="14">
        <v>0</v>
      </c>
      <c r="O133" s="14">
        <v>0</v>
      </c>
      <c r="P133" s="14">
        <v>24</v>
      </c>
      <c r="Q133" s="14">
        <v>0</v>
      </c>
      <c r="R133" s="14">
        <v>54</v>
      </c>
      <c r="S133" s="14">
        <v>0</v>
      </c>
      <c r="T133" s="14">
        <v>50</v>
      </c>
      <c r="U133" s="14">
        <v>0</v>
      </c>
      <c r="V133" s="15">
        <f t="shared" si="10"/>
        <v>128</v>
      </c>
      <c r="W133" s="14">
        <f t="shared" si="10"/>
        <v>0</v>
      </c>
      <c r="X133" s="14">
        <f t="shared" si="11"/>
        <v>0</v>
      </c>
      <c r="Y133" s="14">
        <f t="shared" si="12"/>
        <v>0</v>
      </c>
      <c r="Z133" s="16">
        <f t="shared" si="13"/>
        <v>4</v>
      </c>
      <c r="AA133" s="14">
        <f t="shared" si="14"/>
        <v>0</v>
      </c>
      <c r="AB133" s="17"/>
      <c r="AC133" s="17" t="s">
        <v>61</v>
      </c>
    </row>
    <row r="134" spans="1:29" s="21" customFormat="1" ht="13.5" customHeight="1" x14ac:dyDescent="0.2">
      <c r="A134" s="9">
        <v>4</v>
      </c>
      <c r="B134" s="9">
        <v>40</v>
      </c>
      <c r="C134" s="10">
        <v>4041</v>
      </c>
      <c r="D134" s="9">
        <v>33192120</v>
      </c>
      <c r="E134" s="34" t="s">
        <v>532</v>
      </c>
      <c r="F134" s="10" t="s">
        <v>779</v>
      </c>
      <c r="G134" s="11" t="s">
        <v>260</v>
      </c>
      <c r="H134" s="12" t="s">
        <v>1093</v>
      </c>
      <c r="I134" s="12" t="s">
        <v>1295</v>
      </c>
      <c r="J134" s="12" t="s">
        <v>1482</v>
      </c>
      <c r="K134" s="37" t="s">
        <v>1710</v>
      </c>
      <c r="L134" s="13">
        <v>37</v>
      </c>
      <c r="M134" s="13" t="s">
        <v>1764</v>
      </c>
      <c r="N134" s="14">
        <v>0</v>
      </c>
      <c r="O134" s="14">
        <v>0</v>
      </c>
      <c r="P134" s="14">
        <v>12</v>
      </c>
      <c r="Q134" s="14">
        <v>0</v>
      </c>
      <c r="R134" s="14">
        <v>14</v>
      </c>
      <c r="S134" s="14">
        <v>0</v>
      </c>
      <c r="T134" s="14">
        <v>11</v>
      </c>
      <c r="U134" s="14">
        <v>0</v>
      </c>
      <c r="V134" s="15">
        <f t="shared" si="10"/>
        <v>37</v>
      </c>
      <c r="W134" s="14">
        <f t="shared" si="10"/>
        <v>0</v>
      </c>
      <c r="X134" s="14">
        <f t="shared" si="11"/>
        <v>0</v>
      </c>
      <c r="Y134" s="14">
        <f t="shared" si="12"/>
        <v>0</v>
      </c>
      <c r="Z134" s="16">
        <f t="shared" si="13"/>
        <v>0</v>
      </c>
      <c r="AA134" s="14">
        <f t="shared" si="14"/>
        <v>0</v>
      </c>
      <c r="AB134" s="17"/>
      <c r="AC134" s="17" t="s">
        <v>61</v>
      </c>
    </row>
    <row r="135" spans="1:29" s="21" customFormat="1" ht="13.5" customHeight="1" x14ac:dyDescent="0.2">
      <c r="A135" s="9">
        <v>4</v>
      </c>
      <c r="B135" s="9">
        <v>41</v>
      </c>
      <c r="C135" s="10">
        <v>4042</v>
      </c>
      <c r="D135" s="9">
        <v>33194874</v>
      </c>
      <c r="E135" s="34" t="s">
        <v>533</v>
      </c>
      <c r="F135" s="10" t="s">
        <v>780</v>
      </c>
      <c r="G135" s="11" t="s">
        <v>261</v>
      </c>
      <c r="H135" s="12" t="s">
        <v>62</v>
      </c>
      <c r="I135" s="12" t="s">
        <v>63</v>
      </c>
      <c r="J135" s="12" t="s">
        <v>1483</v>
      </c>
      <c r="K135" s="37" t="s">
        <v>1712</v>
      </c>
      <c r="L135" s="13">
        <v>188</v>
      </c>
      <c r="M135" s="13" t="s">
        <v>1764</v>
      </c>
      <c r="N135" s="14">
        <v>0</v>
      </c>
      <c r="O135" s="14">
        <v>0</v>
      </c>
      <c r="P135" s="14">
        <v>69</v>
      </c>
      <c r="Q135" s="14">
        <v>1</v>
      </c>
      <c r="R135" s="14">
        <v>76</v>
      </c>
      <c r="S135" s="14">
        <v>1</v>
      </c>
      <c r="T135" s="14">
        <v>38</v>
      </c>
      <c r="U135" s="14">
        <v>0</v>
      </c>
      <c r="V135" s="15">
        <f t="shared" si="10"/>
        <v>183</v>
      </c>
      <c r="W135" s="14">
        <f t="shared" si="10"/>
        <v>2</v>
      </c>
      <c r="X135" s="14">
        <f t="shared" si="11"/>
        <v>2</v>
      </c>
      <c r="Y135" s="14">
        <f t="shared" si="12"/>
        <v>2</v>
      </c>
      <c r="Z135" s="16">
        <f t="shared" si="13"/>
        <v>1</v>
      </c>
      <c r="AA135" s="14">
        <f t="shared" si="14"/>
        <v>0</v>
      </c>
      <c r="AB135" s="17"/>
      <c r="AC135" s="17" t="s">
        <v>52</v>
      </c>
    </row>
    <row r="136" spans="1:29" s="21" customFormat="1" ht="13.5" customHeight="1" x14ac:dyDescent="0.2">
      <c r="A136" s="9">
        <v>4</v>
      </c>
      <c r="B136" s="9">
        <v>42</v>
      </c>
      <c r="C136" s="10">
        <v>4043</v>
      </c>
      <c r="D136" s="9">
        <v>33194971</v>
      </c>
      <c r="E136" s="34" t="s">
        <v>534</v>
      </c>
      <c r="F136" s="10" t="s">
        <v>781</v>
      </c>
      <c r="G136" s="11" t="s">
        <v>262</v>
      </c>
      <c r="H136" s="12" t="s">
        <v>64</v>
      </c>
      <c r="I136" s="12" t="s">
        <v>64</v>
      </c>
      <c r="J136" s="12" t="s">
        <v>1484</v>
      </c>
      <c r="K136" s="37" t="s">
        <v>1713</v>
      </c>
      <c r="L136" s="13">
        <v>89</v>
      </c>
      <c r="M136" s="13" t="s">
        <v>1764</v>
      </c>
      <c r="N136" s="14">
        <v>0</v>
      </c>
      <c r="O136" s="14">
        <v>0</v>
      </c>
      <c r="P136" s="14">
        <v>18</v>
      </c>
      <c r="Q136" s="14">
        <v>0</v>
      </c>
      <c r="R136" s="14">
        <v>29</v>
      </c>
      <c r="S136" s="14">
        <v>0</v>
      </c>
      <c r="T136" s="14">
        <v>6</v>
      </c>
      <c r="U136" s="14">
        <v>2</v>
      </c>
      <c r="V136" s="15">
        <f t="shared" si="10"/>
        <v>53</v>
      </c>
      <c r="W136" s="14">
        <f t="shared" si="10"/>
        <v>2</v>
      </c>
      <c r="X136" s="14">
        <f t="shared" si="11"/>
        <v>0</v>
      </c>
      <c r="Y136" s="14">
        <f t="shared" si="12"/>
        <v>2</v>
      </c>
      <c r="Z136" s="16">
        <f t="shared" si="13"/>
        <v>34</v>
      </c>
      <c r="AA136" s="14">
        <f t="shared" si="14"/>
        <v>0</v>
      </c>
      <c r="AB136" s="17"/>
      <c r="AC136" s="17" t="s">
        <v>52</v>
      </c>
    </row>
    <row r="137" spans="1:29" s="21" customFormat="1" ht="13.5" customHeight="1" x14ac:dyDescent="0.2">
      <c r="A137" s="9">
        <v>4</v>
      </c>
      <c r="B137" s="9">
        <v>43</v>
      </c>
      <c r="C137" s="10">
        <v>4044</v>
      </c>
      <c r="D137" s="9">
        <v>33195218</v>
      </c>
      <c r="E137" s="34">
        <v>35857698000140</v>
      </c>
      <c r="F137" s="10" t="s">
        <v>121</v>
      </c>
      <c r="G137" s="11" t="s">
        <v>263</v>
      </c>
      <c r="H137" s="12" t="s">
        <v>65</v>
      </c>
      <c r="I137" s="12" t="s">
        <v>66</v>
      </c>
      <c r="J137" s="12" t="s">
        <v>1485</v>
      </c>
      <c r="K137" s="37" t="s">
        <v>1710</v>
      </c>
      <c r="L137" s="13">
        <v>217</v>
      </c>
      <c r="M137" s="13" t="s">
        <v>1764</v>
      </c>
      <c r="N137" s="14">
        <v>0</v>
      </c>
      <c r="O137" s="14">
        <v>0</v>
      </c>
      <c r="P137" s="14">
        <v>68</v>
      </c>
      <c r="Q137" s="14">
        <v>0</v>
      </c>
      <c r="R137" s="14">
        <v>67</v>
      </c>
      <c r="S137" s="14">
        <v>3</v>
      </c>
      <c r="T137" s="14">
        <v>32</v>
      </c>
      <c r="U137" s="14">
        <v>0</v>
      </c>
      <c r="V137" s="15">
        <f t="shared" si="10"/>
        <v>167</v>
      </c>
      <c r="W137" s="14">
        <f t="shared" si="10"/>
        <v>3</v>
      </c>
      <c r="X137" s="14">
        <f t="shared" si="11"/>
        <v>0</v>
      </c>
      <c r="Y137" s="14">
        <f t="shared" si="12"/>
        <v>2</v>
      </c>
      <c r="Z137" s="16">
        <f t="shared" si="13"/>
        <v>48</v>
      </c>
      <c r="AA137" s="14">
        <f t="shared" si="14"/>
        <v>0</v>
      </c>
      <c r="AB137" s="17"/>
      <c r="AC137" s="17" t="s">
        <v>52</v>
      </c>
    </row>
    <row r="138" spans="1:29" s="21" customFormat="1" ht="13.5" customHeight="1" x14ac:dyDescent="0.2">
      <c r="A138" s="9">
        <v>4</v>
      </c>
      <c r="B138" s="9">
        <v>44</v>
      </c>
      <c r="C138" s="10">
        <v>4045</v>
      </c>
      <c r="D138" s="9">
        <v>33196013</v>
      </c>
      <c r="E138" s="34" t="s">
        <v>526</v>
      </c>
      <c r="F138" s="10" t="s">
        <v>782</v>
      </c>
      <c r="G138" s="11" t="s">
        <v>264</v>
      </c>
      <c r="H138" s="12" t="s">
        <v>67</v>
      </c>
      <c r="I138" s="12" t="s">
        <v>68</v>
      </c>
      <c r="J138" s="12" t="s">
        <v>1486</v>
      </c>
      <c r="K138" s="37" t="s">
        <v>1708</v>
      </c>
      <c r="L138" s="13">
        <v>157</v>
      </c>
      <c r="M138" s="13" t="s">
        <v>1764</v>
      </c>
      <c r="N138" s="14">
        <v>0</v>
      </c>
      <c r="O138" s="14">
        <v>0</v>
      </c>
      <c r="P138" s="14">
        <v>59</v>
      </c>
      <c r="Q138" s="14">
        <v>0</v>
      </c>
      <c r="R138" s="14">
        <v>60</v>
      </c>
      <c r="S138" s="14">
        <v>1</v>
      </c>
      <c r="T138" s="14">
        <v>35</v>
      </c>
      <c r="U138" s="14">
        <v>1</v>
      </c>
      <c r="V138" s="15">
        <f t="shared" si="10"/>
        <v>154</v>
      </c>
      <c r="W138" s="14">
        <f t="shared" si="10"/>
        <v>2</v>
      </c>
      <c r="X138" s="14">
        <f t="shared" si="11"/>
        <v>0</v>
      </c>
      <c r="Y138" s="14">
        <f t="shared" si="12"/>
        <v>2</v>
      </c>
      <c r="Z138" s="16">
        <f t="shared" si="13"/>
        <v>1</v>
      </c>
      <c r="AA138" s="14">
        <f t="shared" si="14"/>
        <v>0</v>
      </c>
      <c r="AB138" s="17"/>
      <c r="AC138" s="17" t="s">
        <v>52</v>
      </c>
    </row>
    <row r="139" spans="1:29" s="21" customFormat="1" ht="13.5" customHeight="1" x14ac:dyDescent="0.2">
      <c r="A139" s="9">
        <v>4</v>
      </c>
      <c r="B139" s="9">
        <v>45</v>
      </c>
      <c r="C139" s="10">
        <v>4046</v>
      </c>
      <c r="D139" s="9">
        <v>33194904</v>
      </c>
      <c r="E139" s="34">
        <v>26544349000188</v>
      </c>
      <c r="F139" s="10" t="s">
        <v>121</v>
      </c>
      <c r="G139" s="11" t="s">
        <v>265</v>
      </c>
      <c r="H139" s="12" t="s">
        <v>69</v>
      </c>
      <c r="I139" s="12" t="s">
        <v>70</v>
      </c>
      <c r="J139" s="12" t="s">
        <v>1487</v>
      </c>
      <c r="K139" s="37" t="s">
        <v>1695</v>
      </c>
      <c r="L139" s="13">
        <v>74</v>
      </c>
      <c r="M139" s="13" t="s">
        <v>1764</v>
      </c>
      <c r="N139" s="14">
        <v>0</v>
      </c>
      <c r="O139" s="14">
        <v>0</v>
      </c>
      <c r="P139" s="14">
        <v>30</v>
      </c>
      <c r="Q139" s="14">
        <v>0</v>
      </c>
      <c r="R139" s="14">
        <v>29</v>
      </c>
      <c r="S139" s="14">
        <v>0</v>
      </c>
      <c r="T139" s="14">
        <v>14</v>
      </c>
      <c r="U139" s="14">
        <v>1</v>
      </c>
      <c r="V139" s="15">
        <f t="shared" si="10"/>
        <v>73</v>
      </c>
      <c r="W139" s="14">
        <f t="shared" si="10"/>
        <v>1</v>
      </c>
      <c r="X139" s="14">
        <f t="shared" si="11"/>
        <v>0</v>
      </c>
      <c r="Y139" s="14">
        <f t="shared" si="12"/>
        <v>2</v>
      </c>
      <c r="Z139" s="16">
        <f t="shared" si="13"/>
        <v>0</v>
      </c>
      <c r="AA139" s="14">
        <f t="shared" si="14"/>
        <v>-1</v>
      </c>
      <c r="AB139" s="17"/>
      <c r="AC139" s="17" t="s">
        <v>54</v>
      </c>
    </row>
    <row r="140" spans="1:29" s="21" customFormat="1" ht="13.5" customHeight="1" x14ac:dyDescent="0.2">
      <c r="A140" s="9">
        <v>4</v>
      </c>
      <c r="B140" s="9">
        <v>46</v>
      </c>
      <c r="C140" s="10">
        <v>4047</v>
      </c>
      <c r="D140" s="9">
        <v>33194831</v>
      </c>
      <c r="E140" s="34">
        <v>34704019000645</v>
      </c>
      <c r="F140" s="10" t="s">
        <v>121</v>
      </c>
      <c r="G140" s="11" t="s">
        <v>266</v>
      </c>
      <c r="H140" s="12" t="s">
        <v>71</v>
      </c>
      <c r="I140" s="12" t="s">
        <v>68</v>
      </c>
      <c r="J140" s="12" t="s">
        <v>1488</v>
      </c>
      <c r="K140" s="37" t="s">
        <v>1713</v>
      </c>
      <c r="L140" s="13">
        <v>281</v>
      </c>
      <c r="M140" s="13" t="s">
        <v>1764</v>
      </c>
      <c r="N140" s="14">
        <v>0</v>
      </c>
      <c r="O140" s="14">
        <v>0</v>
      </c>
      <c r="P140" s="14">
        <v>120</v>
      </c>
      <c r="Q140" s="14">
        <v>1</v>
      </c>
      <c r="R140" s="14">
        <v>75</v>
      </c>
      <c r="S140" s="14">
        <v>1</v>
      </c>
      <c r="T140" s="14">
        <v>47</v>
      </c>
      <c r="U140" s="14">
        <v>0</v>
      </c>
      <c r="V140" s="15">
        <f t="shared" si="10"/>
        <v>242</v>
      </c>
      <c r="W140" s="14">
        <f t="shared" si="10"/>
        <v>2</v>
      </c>
      <c r="X140" s="14">
        <f t="shared" si="11"/>
        <v>2</v>
      </c>
      <c r="Y140" s="14">
        <f t="shared" si="12"/>
        <v>2</v>
      </c>
      <c r="Z140" s="16">
        <f t="shared" si="13"/>
        <v>35</v>
      </c>
      <c r="AA140" s="14">
        <f t="shared" si="14"/>
        <v>0</v>
      </c>
      <c r="AB140" s="17"/>
      <c r="AC140" s="17" t="s">
        <v>54</v>
      </c>
    </row>
    <row r="141" spans="1:29" s="21" customFormat="1" ht="13.5" customHeight="1" x14ac:dyDescent="0.2">
      <c r="A141" s="9">
        <v>4</v>
      </c>
      <c r="B141" s="9">
        <v>47</v>
      </c>
      <c r="C141" s="10">
        <v>4048</v>
      </c>
      <c r="D141" s="9">
        <v>33194718</v>
      </c>
      <c r="E141" s="34" t="s">
        <v>528</v>
      </c>
      <c r="F141" s="10" t="s">
        <v>783</v>
      </c>
      <c r="G141" s="11" t="s">
        <v>267</v>
      </c>
      <c r="H141" s="12" t="s">
        <v>72</v>
      </c>
      <c r="I141" s="12" t="s">
        <v>73</v>
      </c>
      <c r="J141" s="12" t="s">
        <v>1489</v>
      </c>
      <c r="K141" s="37" t="s">
        <v>1695</v>
      </c>
      <c r="L141" s="13">
        <v>72</v>
      </c>
      <c r="M141" s="13" t="s">
        <v>1764</v>
      </c>
      <c r="N141" s="14">
        <v>0</v>
      </c>
      <c r="O141" s="14">
        <v>0</v>
      </c>
      <c r="P141" s="14">
        <v>13</v>
      </c>
      <c r="Q141" s="14">
        <v>0</v>
      </c>
      <c r="R141" s="14">
        <v>39</v>
      </c>
      <c r="S141" s="14">
        <v>0</v>
      </c>
      <c r="T141" s="14">
        <v>20</v>
      </c>
      <c r="U141" s="14">
        <v>0</v>
      </c>
      <c r="V141" s="15">
        <f t="shared" si="10"/>
        <v>72</v>
      </c>
      <c r="W141" s="14">
        <f t="shared" si="10"/>
        <v>0</v>
      </c>
      <c r="X141" s="14">
        <f t="shared" si="11"/>
        <v>0</v>
      </c>
      <c r="Y141" s="14">
        <f t="shared" si="12"/>
        <v>0</v>
      </c>
      <c r="Z141" s="16">
        <f t="shared" si="13"/>
        <v>0</v>
      </c>
      <c r="AA141" s="14">
        <f t="shared" si="14"/>
        <v>0</v>
      </c>
      <c r="AB141" s="17"/>
      <c r="AC141" s="17" t="s">
        <v>54</v>
      </c>
    </row>
    <row r="142" spans="1:29" s="21" customFormat="1" ht="13.5" customHeight="1" x14ac:dyDescent="0.2">
      <c r="A142" s="9">
        <v>5</v>
      </c>
      <c r="B142" s="9">
        <v>1</v>
      </c>
      <c r="C142" s="10">
        <v>5001</v>
      </c>
      <c r="D142" s="9">
        <v>33096244</v>
      </c>
      <c r="E142" s="34" t="s">
        <v>535</v>
      </c>
      <c r="F142" s="10" t="s">
        <v>784</v>
      </c>
      <c r="G142" s="11" t="s">
        <v>268</v>
      </c>
      <c r="H142" s="12" t="s">
        <v>1094</v>
      </c>
      <c r="I142" s="12" t="s">
        <v>1296</v>
      </c>
      <c r="J142" s="12" t="s">
        <v>1490</v>
      </c>
      <c r="K142" s="37" t="s">
        <v>1715</v>
      </c>
      <c r="L142" s="13">
        <v>115</v>
      </c>
      <c r="M142" s="13" t="s">
        <v>1765</v>
      </c>
      <c r="N142" s="14">
        <v>7</v>
      </c>
      <c r="O142" s="14">
        <v>0</v>
      </c>
      <c r="P142" s="14">
        <v>28</v>
      </c>
      <c r="Q142" s="14">
        <v>0</v>
      </c>
      <c r="R142" s="14">
        <v>40</v>
      </c>
      <c r="S142" s="14">
        <v>0</v>
      </c>
      <c r="T142" s="14">
        <v>38</v>
      </c>
      <c r="U142" s="14">
        <v>4</v>
      </c>
      <c r="V142" s="15">
        <f t="shared" si="10"/>
        <v>113</v>
      </c>
      <c r="W142" s="14">
        <f t="shared" si="10"/>
        <v>4</v>
      </c>
      <c r="X142" s="14">
        <f t="shared" si="11"/>
        <v>0</v>
      </c>
      <c r="Y142" s="14">
        <f t="shared" si="12"/>
        <v>2</v>
      </c>
      <c r="Z142" s="16">
        <f t="shared" si="13"/>
        <v>0</v>
      </c>
      <c r="AA142" s="14">
        <f t="shared" si="14"/>
        <v>0</v>
      </c>
      <c r="AB142" s="17"/>
      <c r="AC142" s="17"/>
    </row>
    <row r="143" spans="1:29" s="21" customFormat="1" ht="13.5" customHeight="1" x14ac:dyDescent="0.2">
      <c r="A143" s="9">
        <v>5</v>
      </c>
      <c r="B143" s="9">
        <v>2</v>
      </c>
      <c r="C143" s="10">
        <v>5010</v>
      </c>
      <c r="D143" s="9">
        <v>33192154</v>
      </c>
      <c r="E143" s="34" t="s">
        <v>510</v>
      </c>
      <c r="F143" s="10" t="s">
        <v>785</v>
      </c>
      <c r="G143" s="11" t="s">
        <v>269</v>
      </c>
      <c r="H143" s="12" t="s">
        <v>958</v>
      </c>
      <c r="I143" s="12" t="s">
        <v>1281</v>
      </c>
      <c r="J143" s="12" t="s">
        <v>1491</v>
      </c>
      <c r="K143" s="37" t="s">
        <v>1716</v>
      </c>
      <c r="L143" s="13">
        <v>484</v>
      </c>
      <c r="M143" s="13" t="s">
        <v>1763</v>
      </c>
      <c r="N143" s="14">
        <v>0</v>
      </c>
      <c r="O143" s="14">
        <v>0</v>
      </c>
      <c r="P143" s="14">
        <v>106</v>
      </c>
      <c r="Q143" s="14">
        <v>1</v>
      </c>
      <c r="R143" s="14">
        <v>190</v>
      </c>
      <c r="S143" s="14">
        <v>0</v>
      </c>
      <c r="T143" s="14">
        <v>175</v>
      </c>
      <c r="U143" s="14">
        <v>1</v>
      </c>
      <c r="V143" s="15">
        <f t="shared" si="10"/>
        <v>471</v>
      </c>
      <c r="W143" s="14">
        <f t="shared" si="10"/>
        <v>2</v>
      </c>
      <c r="X143" s="14">
        <f t="shared" si="11"/>
        <v>2</v>
      </c>
      <c r="Y143" s="14">
        <f t="shared" si="12"/>
        <v>2</v>
      </c>
      <c r="Z143" s="16">
        <f t="shared" si="13"/>
        <v>9</v>
      </c>
      <c r="AA143" s="14">
        <f t="shared" si="14"/>
        <v>0</v>
      </c>
      <c r="AB143" s="17"/>
      <c r="AC143" s="17" t="s">
        <v>74</v>
      </c>
    </row>
    <row r="144" spans="1:29" s="21" customFormat="1" ht="13.5" customHeight="1" x14ac:dyDescent="0.2">
      <c r="A144" s="9">
        <v>5</v>
      </c>
      <c r="B144" s="9">
        <v>3</v>
      </c>
      <c r="C144" s="10">
        <v>5009</v>
      </c>
      <c r="D144" s="9">
        <v>33191921</v>
      </c>
      <c r="E144" s="34" t="s">
        <v>536</v>
      </c>
      <c r="F144" s="10" t="s">
        <v>786</v>
      </c>
      <c r="G144" s="11" t="s">
        <v>270</v>
      </c>
      <c r="H144" s="12" t="s">
        <v>1095</v>
      </c>
      <c r="I144" s="12" t="s">
        <v>75</v>
      </c>
      <c r="J144" s="12" t="s">
        <v>1492</v>
      </c>
      <c r="K144" s="37" t="s">
        <v>1716</v>
      </c>
      <c r="L144" s="13">
        <v>229</v>
      </c>
      <c r="M144" s="13" t="s">
        <v>1764</v>
      </c>
      <c r="N144" s="14">
        <v>0</v>
      </c>
      <c r="O144" s="14">
        <v>0</v>
      </c>
      <c r="P144" s="14">
        <v>44</v>
      </c>
      <c r="Q144" s="14">
        <v>1</v>
      </c>
      <c r="R144" s="14">
        <v>81</v>
      </c>
      <c r="S144" s="14">
        <v>1</v>
      </c>
      <c r="T144" s="14">
        <v>98</v>
      </c>
      <c r="U144" s="14">
        <v>1</v>
      </c>
      <c r="V144" s="15">
        <f t="shared" si="10"/>
        <v>223</v>
      </c>
      <c r="W144" s="14">
        <f t="shared" si="10"/>
        <v>3</v>
      </c>
      <c r="X144" s="14">
        <f t="shared" si="11"/>
        <v>2</v>
      </c>
      <c r="Y144" s="14">
        <f t="shared" si="12"/>
        <v>2</v>
      </c>
      <c r="Z144" s="16">
        <f t="shared" si="13"/>
        <v>2</v>
      </c>
      <c r="AA144" s="14">
        <f t="shared" si="14"/>
        <v>0</v>
      </c>
      <c r="AB144" s="17"/>
      <c r="AC144" s="17" t="s">
        <v>55</v>
      </c>
    </row>
    <row r="145" spans="1:29" s="21" customFormat="1" ht="13.5" customHeight="1" x14ac:dyDescent="0.2">
      <c r="A145" s="9">
        <v>5</v>
      </c>
      <c r="B145" s="9">
        <v>4</v>
      </c>
      <c r="C145" s="10">
        <v>5008</v>
      </c>
      <c r="D145" s="9">
        <v>33190682</v>
      </c>
      <c r="E145" s="34" t="s">
        <v>537</v>
      </c>
      <c r="F145" s="10" t="s">
        <v>787</v>
      </c>
      <c r="G145" s="11" t="s">
        <v>271</v>
      </c>
      <c r="H145" s="12" t="s">
        <v>66</v>
      </c>
      <c r="I145" s="12" t="s">
        <v>66</v>
      </c>
      <c r="J145" s="12" t="s">
        <v>1493</v>
      </c>
      <c r="K145" s="37" t="s">
        <v>1717</v>
      </c>
      <c r="L145" s="13">
        <v>152</v>
      </c>
      <c r="M145" s="13" t="s">
        <v>1764</v>
      </c>
      <c r="N145" s="14">
        <v>0</v>
      </c>
      <c r="O145" s="14">
        <v>0</v>
      </c>
      <c r="P145" s="14">
        <v>19</v>
      </c>
      <c r="Q145" s="14">
        <v>0</v>
      </c>
      <c r="R145" s="14">
        <v>62</v>
      </c>
      <c r="S145" s="14">
        <v>1</v>
      </c>
      <c r="T145" s="14">
        <v>69</v>
      </c>
      <c r="U145" s="14">
        <v>0</v>
      </c>
      <c r="V145" s="15">
        <f t="shared" si="10"/>
        <v>150</v>
      </c>
      <c r="W145" s="14">
        <f t="shared" si="10"/>
        <v>1</v>
      </c>
      <c r="X145" s="14">
        <f t="shared" si="11"/>
        <v>0</v>
      </c>
      <c r="Y145" s="14">
        <f t="shared" si="12"/>
        <v>2</v>
      </c>
      <c r="Z145" s="16">
        <f t="shared" si="13"/>
        <v>0</v>
      </c>
      <c r="AA145" s="14">
        <f t="shared" si="14"/>
        <v>0</v>
      </c>
      <c r="AB145" s="17"/>
      <c r="AC145" s="17" t="s">
        <v>48</v>
      </c>
    </row>
    <row r="146" spans="1:29" s="21" customFormat="1" ht="13.5" customHeight="1" x14ac:dyDescent="0.2">
      <c r="A146" s="9">
        <v>5</v>
      </c>
      <c r="B146" s="9">
        <v>5</v>
      </c>
      <c r="C146" s="10">
        <v>5005</v>
      </c>
      <c r="D146" s="9">
        <v>33123039</v>
      </c>
      <c r="E146" s="34" t="s">
        <v>538</v>
      </c>
      <c r="F146" s="10" t="s">
        <v>788</v>
      </c>
      <c r="G146" s="11" t="s">
        <v>272</v>
      </c>
      <c r="H146" s="12" t="s">
        <v>1096</v>
      </c>
      <c r="I146" s="12" t="s">
        <v>1242</v>
      </c>
      <c r="J146" s="12" t="s">
        <v>1494</v>
      </c>
      <c r="K146" s="37" t="s">
        <v>1718</v>
      </c>
      <c r="L146" s="13">
        <v>100</v>
      </c>
      <c r="M146" s="13" t="s">
        <v>1763</v>
      </c>
      <c r="N146" s="14">
        <v>0</v>
      </c>
      <c r="O146" s="14">
        <v>0</v>
      </c>
      <c r="P146" s="14">
        <v>0</v>
      </c>
      <c r="Q146" s="14">
        <v>0</v>
      </c>
      <c r="R146" s="14">
        <v>40</v>
      </c>
      <c r="S146" s="14">
        <v>0</v>
      </c>
      <c r="T146" s="14">
        <v>58</v>
      </c>
      <c r="U146" s="14">
        <v>0</v>
      </c>
      <c r="V146" s="15">
        <f t="shared" si="10"/>
        <v>98</v>
      </c>
      <c r="W146" s="14">
        <f t="shared" si="10"/>
        <v>0</v>
      </c>
      <c r="X146" s="14">
        <f t="shared" si="11"/>
        <v>0</v>
      </c>
      <c r="Y146" s="14">
        <f t="shared" si="12"/>
        <v>0</v>
      </c>
      <c r="Z146" s="16">
        <f t="shared" si="13"/>
        <v>2</v>
      </c>
      <c r="AA146" s="14">
        <f t="shared" si="14"/>
        <v>0</v>
      </c>
      <c r="AB146" s="17"/>
      <c r="AC146" s="17"/>
    </row>
    <row r="147" spans="1:29" s="21" customFormat="1" ht="13.5" customHeight="1" x14ac:dyDescent="0.2">
      <c r="A147" s="9">
        <v>5</v>
      </c>
      <c r="B147" s="9">
        <v>6</v>
      </c>
      <c r="C147" s="10">
        <v>5006</v>
      </c>
      <c r="D147" s="9">
        <v>33123659</v>
      </c>
      <c r="E147" s="34" t="s">
        <v>539</v>
      </c>
      <c r="F147" s="10" t="s">
        <v>789</v>
      </c>
      <c r="G147" s="11" t="s">
        <v>273</v>
      </c>
      <c r="H147" s="12" t="s">
        <v>1097</v>
      </c>
      <c r="I147" s="12" t="s">
        <v>1297</v>
      </c>
      <c r="J147" s="12" t="s">
        <v>1495</v>
      </c>
      <c r="K147" s="37" t="s">
        <v>1719</v>
      </c>
      <c r="L147" s="13">
        <v>200</v>
      </c>
      <c r="M147" s="13" t="s">
        <v>1764</v>
      </c>
      <c r="N147" s="14">
        <v>0</v>
      </c>
      <c r="O147" s="14">
        <v>0</v>
      </c>
      <c r="P147" s="14">
        <v>35</v>
      </c>
      <c r="Q147" s="14">
        <v>0</v>
      </c>
      <c r="R147" s="14">
        <v>60</v>
      </c>
      <c r="S147" s="14">
        <v>0</v>
      </c>
      <c r="T147" s="14">
        <v>102</v>
      </c>
      <c r="U147" s="14">
        <v>0</v>
      </c>
      <c r="V147" s="15">
        <f t="shared" ref="V147:W195" si="15">SUM(N147,P147,R147,T147)</f>
        <v>197</v>
      </c>
      <c r="W147" s="14">
        <f t="shared" si="15"/>
        <v>0</v>
      </c>
      <c r="X147" s="14">
        <f t="shared" si="11"/>
        <v>0</v>
      </c>
      <c r="Y147" s="14">
        <f t="shared" si="12"/>
        <v>0</v>
      </c>
      <c r="Z147" s="16">
        <f t="shared" si="13"/>
        <v>3</v>
      </c>
      <c r="AA147" s="14">
        <f t="shared" si="14"/>
        <v>0</v>
      </c>
      <c r="AB147" s="17"/>
      <c r="AC147" s="17"/>
    </row>
    <row r="148" spans="1:29" s="21" customFormat="1" ht="13.5" customHeight="1" x14ac:dyDescent="0.2">
      <c r="A148" s="9">
        <v>5</v>
      </c>
      <c r="B148" s="9">
        <v>7</v>
      </c>
      <c r="C148" s="10">
        <v>5004</v>
      </c>
      <c r="D148" s="9">
        <v>33122989</v>
      </c>
      <c r="E148" s="34" t="s">
        <v>540</v>
      </c>
      <c r="F148" s="10" t="s">
        <v>790</v>
      </c>
      <c r="G148" s="11" t="s">
        <v>274</v>
      </c>
      <c r="H148" s="12" t="s">
        <v>1098</v>
      </c>
      <c r="I148" s="12" t="s">
        <v>1242</v>
      </c>
      <c r="J148" s="12" t="s">
        <v>1496</v>
      </c>
      <c r="K148" s="37" t="s">
        <v>1720</v>
      </c>
      <c r="L148" s="13">
        <v>65</v>
      </c>
      <c r="M148" s="13" t="s">
        <v>1763</v>
      </c>
      <c r="N148" s="14">
        <v>0</v>
      </c>
      <c r="O148" s="14">
        <v>0</v>
      </c>
      <c r="P148" s="14">
        <v>0</v>
      </c>
      <c r="Q148" s="14">
        <v>0</v>
      </c>
      <c r="R148" s="14">
        <v>21</v>
      </c>
      <c r="S148" s="14">
        <v>0</v>
      </c>
      <c r="T148" s="14">
        <v>36</v>
      </c>
      <c r="U148" s="14">
        <v>1</v>
      </c>
      <c r="V148" s="15">
        <f t="shared" si="15"/>
        <v>57</v>
      </c>
      <c r="W148" s="14">
        <f t="shared" si="15"/>
        <v>1</v>
      </c>
      <c r="X148" s="14">
        <f t="shared" si="11"/>
        <v>0</v>
      </c>
      <c r="Y148" s="14">
        <f t="shared" si="12"/>
        <v>2</v>
      </c>
      <c r="Z148" s="16">
        <f t="shared" si="13"/>
        <v>6</v>
      </c>
      <c r="AA148" s="14">
        <f t="shared" si="14"/>
        <v>0</v>
      </c>
      <c r="AB148" s="17"/>
      <c r="AC148" s="17"/>
    </row>
    <row r="149" spans="1:29" s="21" customFormat="1" ht="13.5" customHeight="1" x14ac:dyDescent="0.2">
      <c r="A149" s="9">
        <v>5</v>
      </c>
      <c r="B149" s="9">
        <v>8</v>
      </c>
      <c r="C149" s="10">
        <v>5007</v>
      </c>
      <c r="D149" s="9">
        <v>33191670</v>
      </c>
      <c r="E149" s="34" t="s">
        <v>541</v>
      </c>
      <c r="F149" s="10" t="s">
        <v>791</v>
      </c>
      <c r="G149" s="11" t="s">
        <v>275</v>
      </c>
      <c r="H149" s="12" t="s">
        <v>1099</v>
      </c>
      <c r="I149" s="12" t="s">
        <v>1099</v>
      </c>
      <c r="J149" s="12" t="s">
        <v>1497</v>
      </c>
      <c r="K149" s="37" t="s">
        <v>1721</v>
      </c>
      <c r="L149" s="13">
        <v>42</v>
      </c>
      <c r="M149" s="13" t="s">
        <v>1763</v>
      </c>
      <c r="N149" s="14">
        <v>0</v>
      </c>
      <c r="O149" s="14">
        <v>0</v>
      </c>
      <c r="P149" s="14">
        <v>0</v>
      </c>
      <c r="Q149" s="14">
        <v>0</v>
      </c>
      <c r="R149" s="14">
        <v>26</v>
      </c>
      <c r="S149" s="14">
        <v>0</v>
      </c>
      <c r="T149" s="14">
        <v>29</v>
      </c>
      <c r="U149" s="14">
        <v>0</v>
      </c>
      <c r="V149" s="15">
        <f t="shared" si="15"/>
        <v>55</v>
      </c>
      <c r="W149" s="14">
        <f t="shared" si="15"/>
        <v>0</v>
      </c>
      <c r="X149" s="14">
        <f t="shared" si="11"/>
        <v>0</v>
      </c>
      <c r="Y149" s="14">
        <f t="shared" si="12"/>
        <v>0</v>
      </c>
      <c r="Z149" s="16">
        <f t="shared" si="13"/>
        <v>0</v>
      </c>
      <c r="AA149" s="14">
        <f t="shared" si="14"/>
        <v>-13</v>
      </c>
      <c r="AB149" s="17"/>
      <c r="AC149" s="17" t="s">
        <v>48</v>
      </c>
    </row>
    <row r="150" spans="1:29" s="21" customFormat="1" ht="13.5" customHeight="1" x14ac:dyDescent="0.2">
      <c r="A150" s="9">
        <v>5</v>
      </c>
      <c r="B150" s="9">
        <v>9</v>
      </c>
      <c r="C150" s="10">
        <v>5002</v>
      </c>
      <c r="D150" s="9">
        <v>33122628</v>
      </c>
      <c r="E150" s="34" t="s">
        <v>542</v>
      </c>
      <c r="F150" s="10" t="s">
        <v>792</v>
      </c>
      <c r="G150" s="11" t="s">
        <v>276</v>
      </c>
      <c r="H150" s="12" t="s">
        <v>1100</v>
      </c>
      <c r="I150" s="12" t="s">
        <v>1298</v>
      </c>
      <c r="J150" s="12" t="s">
        <v>1498</v>
      </c>
      <c r="K150" s="37" t="s">
        <v>1716</v>
      </c>
      <c r="L150" s="13">
        <v>56</v>
      </c>
      <c r="M150" s="13" t="s">
        <v>1763</v>
      </c>
      <c r="N150" s="14">
        <v>0</v>
      </c>
      <c r="O150" s="14">
        <v>0</v>
      </c>
      <c r="P150" s="14">
        <v>0</v>
      </c>
      <c r="Q150" s="14">
        <v>0</v>
      </c>
      <c r="R150" s="14">
        <v>20</v>
      </c>
      <c r="S150" s="14">
        <v>0</v>
      </c>
      <c r="T150" s="14">
        <v>36</v>
      </c>
      <c r="U150" s="14">
        <v>0</v>
      </c>
      <c r="V150" s="15">
        <f t="shared" si="15"/>
        <v>56</v>
      </c>
      <c r="W150" s="14">
        <f t="shared" si="15"/>
        <v>0</v>
      </c>
      <c r="X150" s="14">
        <f t="shared" si="11"/>
        <v>0</v>
      </c>
      <c r="Y150" s="14">
        <f t="shared" si="12"/>
        <v>0</v>
      </c>
      <c r="Z150" s="16">
        <f t="shared" si="13"/>
        <v>0</v>
      </c>
      <c r="AA150" s="14">
        <f t="shared" si="14"/>
        <v>0</v>
      </c>
      <c r="AB150" s="17"/>
      <c r="AC150" s="17"/>
    </row>
    <row r="151" spans="1:29" s="21" customFormat="1" ht="13.5" customHeight="1" x14ac:dyDescent="0.2">
      <c r="A151" s="9">
        <v>5</v>
      </c>
      <c r="B151" s="9">
        <v>10</v>
      </c>
      <c r="C151" s="10">
        <v>5003</v>
      </c>
      <c r="D151" s="9">
        <v>33122750</v>
      </c>
      <c r="E151" s="34" t="s">
        <v>543</v>
      </c>
      <c r="F151" s="10" t="s">
        <v>793</v>
      </c>
      <c r="G151" s="11" t="s">
        <v>277</v>
      </c>
      <c r="H151" s="12" t="s">
        <v>1101</v>
      </c>
      <c r="I151" s="12" t="s">
        <v>1299</v>
      </c>
      <c r="J151" s="12" t="s">
        <v>1499</v>
      </c>
      <c r="K151" s="37" t="s">
        <v>1722</v>
      </c>
      <c r="L151" s="13">
        <v>47</v>
      </c>
      <c r="M151" s="13" t="s">
        <v>1764</v>
      </c>
      <c r="N151" s="14">
        <v>0</v>
      </c>
      <c r="O151" s="14">
        <v>0</v>
      </c>
      <c r="P151" s="14">
        <v>0</v>
      </c>
      <c r="Q151" s="14">
        <v>0</v>
      </c>
      <c r="R151" s="14">
        <v>23</v>
      </c>
      <c r="S151" s="14">
        <v>1</v>
      </c>
      <c r="T151" s="14">
        <v>23</v>
      </c>
      <c r="U151" s="14">
        <v>1</v>
      </c>
      <c r="V151" s="15">
        <f t="shared" si="15"/>
        <v>46</v>
      </c>
      <c r="W151" s="14">
        <f t="shared" si="15"/>
        <v>2</v>
      </c>
      <c r="X151" s="14">
        <f t="shared" si="11"/>
        <v>0</v>
      </c>
      <c r="Y151" s="14">
        <f t="shared" si="12"/>
        <v>2</v>
      </c>
      <c r="Z151" s="16">
        <f t="shared" si="13"/>
        <v>0</v>
      </c>
      <c r="AA151" s="14">
        <f t="shared" si="14"/>
        <v>-1</v>
      </c>
      <c r="AB151" s="17"/>
      <c r="AC151" s="17"/>
    </row>
    <row r="152" spans="1:29" s="21" customFormat="1" ht="13.5" customHeight="1" x14ac:dyDescent="0.2">
      <c r="A152" s="9">
        <v>5</v>
      </c>
      <c r="B152" s="9">
        <v>11</v>
      </c>
      <c r="C152" s="10">
        <v>5012</v>
      </c>
      <c r="D152" s="9">
        <v>33192138</v>
      </c>
      <c r="E152" s="34" t="s">
        <v>510</v>
      </c>
      <c r="F152" s="10" t="s">
        <v>794</v>
      </c>
      <c r="G152" s="11" t="s">
        <v>278</v>
      </c>
      <c r="H152" s="12" t="s">
        <v>1102</v>
      </c>
      <c r="I152" s="12" t="s">
        <v>1281</v>
      </c>
      <c r="J152" s="12" t="s">
        <v>1500</v>
      </c>
      <c r="K152" s="37" t="s">
        <v>1707</v>
      </c>
      <c r="L152" s="13">
        <v>269</v>
      </c>
      <c r="M152" s="13" t="s">
        <v>1763</v>
      </c>
      <c r="N152" s="14">
        <v>0</v>
      </c>
      <c r="O152" s="14">
        <v>0</v>
      </c>
      <c r="P152" s="14">
        <v>27</v>
      </c>
      <c r="Q152" s="14">
        <v>0</v>
      </c>
      <c r="R152" s="14">
        <v>126</v>
      </c>
      <c r="S152" s="14">
        <v>2</v>
      </c>
      <c r="T152" s="14">
        <v>108</v>
      </c>
      <c r="U152" s="14">
        <v>4</v>
      </c>
      <c r="V152" s="15">
        <f t="shared" si="15"/>
        <v>261</v>
      </c>
      <c r="W152" s="14">
        <f t="shared" si="15"/>
        <v>6</v>
      </c>
      <c r="X152" s="14">
        <f t="shared" si="11"/>
        <v>0</v>
      </c>
      <c r="Y152" s="14">
        <f t="shared" si="12"/>
        <v>2</v>
      </c>
      <c r="Z152" s="16">
        <f t="shared" si="13"/>
        <v>6</v>
      </c>
      <c r="AA152" s="14">
        <f t="shared" si="14"/>
        <v>0</v>
      </c>
      <c r="AB152" s="17"/>
      <c r="AC152" s="17" t="s">
        <v>61</v>
      </c>
    </row>
    <row r="153" spans="1:29" s="21" customFormat="1" ht="13.5" customHeight="1" x14ac:dyDescent="0.2">
      <c r="A153" s="9">
        <v>5</v>
      </c>
      <c r="B153" s="9">
        <v>12</v>
      </c>
      <c r="C153" s="10">
        <v>5013</v>
      </c>
      <c r="D153" s="9">
        <v>33194734</v>
      </c>
      <c r="E153" s="34" t="s">
        <v>544</v>
      </c>
      <c r="F153" s="10" t="s">
        <v>795</v>
      </c>
      <c r="G153" s="11" t="s">
        <v>279</v>
      </c>
      <c r="H153" s="12" t="s">
        <v>76</v>
      </c>
      <c r="I153" s="12" t="s">
        <v>77</v>
      </c>
      <c r="J153" s="12" t="s">
        <v>1501</v>
      </c>
      <c r="K153" s="37" t="s">
        <v>1723</v>
      </c>
      <c r="L153" s="13">
        <v>44</v>
      </c>
      <c r="M153" s="13" t="s">
        <v>1763</v>
      </c>
      <c r="N153" s="14">
        <v>0</v>
      </c>
      <c r="O153" s="14">
        <v>0</v>
      </c>
      <c r="P153" s="14">
        <v>0</v>
      </c>
      <c r="Q153" s="14">
        <v>0</v>
      </c>
      <c r="R153" s="14">
        <v>4</v>
      </c>
      <c r="S153" s="14">
        <v>1</v>
      </c>
      <c r="T153" s="14">
        <v>36</v>
      </c>
      <c r="U153" s="14">
        <v>1</v>
      </c>
      <c r="V153" s="15">
        <f t="shared" si="15"/>
        <v>40</v>
      </c>
      <c r="W153" s="14">
        <f t="shared" si="15"/>
        <v>2</v>
      </c>
      <c r="X153" s="14">
        <f t="shared" si="11"/>
        <v>0</v>
      </c>
      <c r="Y153" s="14">
        <f t="shared" si="12"/>
        <v>2</v>
      </c>
      <c r="Z153" s="16">
        <f t="shared" si="13"/>
        <v>2</v>
      </c>
      <c r="AA153" s="14">
        <f t="shared" si="14"/>
        <v>0</v>
      </c>
      <c r="AB153" s="17"/>
      <c r="AC153" s="17" t="s">
        <v>52</v>
      </c>
    </row>
    <row r="154" spans="1:29" s="21" customFormat="1" ht="13.5" customHeight="1" x14ac:dyDescent="0.2">
      <c r="A154" s="9">
        <v>5</v>
      </c>
      <c r="B154" s="9">
        <v>13</v>
      </c>
      <c r="C154" s="10">
        <v>5015</v>
      </c>
      <c r="D154" s="9">
        <v>33194920</v>
      </c>
      <c r="E154" s="34" t="s">
        <v>545</v>
      </c>
      <c r="F154" s="10" t="s">
        <v>796</v>
      </c>
      <c r="G154" s="11" t="s">
        <v>280</v>
      </c>
      <c r="H154" s="12" t="s">
        <v>959</v>
      </c>
      <c r="I154" s="12" t="s">
        <v>79</v>
      </c>
      <c r="J154" s="12" t="s">
        <v>1502</v>
      </c>
      <c r="K154" s="37" t="s">
        <v>1715</v>
      </c>
      <c r="L154" s="13">
        <v>261</v>
      </c>
      <c r="M154" s="13" t="s">
        <v>1764</v>
      </c>
      <c r="N154" s="14">
        <v>0</v>
      </c>
      <c r="O154" s="14">
        <v>0</v>
      </c>
      <c r="P154" s="14">
        <v>19</v>
      </c>
      <c r="Q154" s="14">
        <v>0</v>
      </c>
      <c r="R154" s="14">
        <v>120</v>
      </c>
      <c r="S154" s="14">
        <v>0</v>
      </c>
      <c r="T154" s="14">
        <v>121</v>
      </c>
      <c r="U154" s="14">
        <v>0</v>
      </c>
      <c r="V154" s="15">
        <f t="shared" si="15"/>
        <v>260</v>
      </c>
      <c r="W154" s="14">
        <f t="shared" si="15"/>
        <v>0</v>
      </c>
      <c r="X154" s="14">
        <f t="shared" si="11"/>
        <v>0</v>
      </c>
      <c r="Y154" s="14">
        <f t="shared" si="12"/>
        <v>0</v>
      </c>
      <c r="Z154" s="16">
        <f t="shared" si="13"/>
        <v>1</v>
      </c>
      <c r="AA154" s="14">
        <f t="shared" si="14"/>
        <v>0</v>
      </c>
      <c r="AB154" s="17"/>
      <c r="AC154" s="17" t="s">
        <v>54</v>
      </c>
    </row>
    <row r="155" spans="1:29" s="21" customFormat="1" ht="13.5" customHeight="1" x14ac:dyDescent="0.2">
      <c r="A155" s="9">
        <v>5</v>
      </c>
      <c r="B155" s="9">
        <v>14</v>
      </c>
      <c r="C155" s="10">
        <v>5014</v>
      </c>
      <c r="D155" s="9">
        <v>33194939</v>
      </c>
      <c r="E155" s="34" t="s">
        <v>545</v>
      </c>
      <c r="F155" s="10" t="s">
        <v>797</v>
      </c>
      <c r="G155" s="11" t="s">
        <v>281</v>
      </c>
      <c r="H155" s="12" t="s">
        <v>960</v>
      </c>
      <c r="I155" s="12" t="s">
        <v>79</v>
      </c>
      <c r="J155" s="12" t="s">
        <v>1503</v>
      </c>
      <c r="K155" s="37" t="s">
        <v>1721</v>
      </c>
      <c r="L155" s="13">
        <v>192</v>
      </c>
      <c r="M155" s="13" t="s">
        <v>1764</v>
      </c>
      <c r="N155" s="14">
        <v>0</v>
      </c>
      <c r="O155" s="14">
        <v>0</v>
      </c>
      <c r="P155" s="14">
        <v>0</v>
      </c>
      <c r="Q155" s="14">
        <v>0</v>
      </c>
      <c r="R155" s="14">
        <v>123</v>
      </c>
      <c r="S155" s="14">
        <v>0</v>
      </c>
      <c r="T155" s="14">
        <v>59</v>
      </c>
      <c r="U155" s="14">
        <v>1</v>
      </c>
      <c r="V155" s="15">
        <f t="shared" si="15"/>
        <v>182</v>
      </c>
      <c r="W155" s="14">
        <f t="shared" si="15"/>
        <v>1</v>
      </c>
      <c r="X155" s="14">
        <f t="shared" si="11"/>
        <v>0</v>
      </c>
      <c r="Y155" s="14">
        <f t="shared" si="12"/>
        <v>2</v>
      </c>
      <c r="Z155" s="16">
        <f t="shared" si="13"/>
        <v>8</v>
      </c>
      <c r="AA155" s="14">
        <f t="shared" si="14"/>
        <v>0</v>
      </c>
      <c r="AB155" s="17"/>
      <c r="AC155" s="17" t="s">
        <v>54</v>
      </c>
    </row>
    <row r="156" spans="1:29" s="21" customFormat="1" ht="13.5" customHeight="1" x14ac:dyDescent="0.2">
      <c r="A156" s="9">
        <v>5</v>
      </c>
      <c r="B156" s="9">
        <v>15</v>
      </c>
      <c r="C156" s="10">
        <v>5016</v>
      </c>
      <c r="D156" s="9">
        <v>33148880</v>
      </c>
      <c r="E156" s="34" t="s">
        <v>546</v>
      </c>
      <c r="F156" s="10" t="s">
        <v>798</v>
      </c>
      <c r="G156" s="11" t="s">
        <v>282</v>
      </c>
      <c r="H156" s="12" t="s">
        <v>80</v>
      </c>
      <c r="I156" s="12" t="s">
        <v>80</v>
      </c>
      <c r="J156" s="12" t="s">
        <v>1504</v>
      </c>
      <c r="K156" s="37" t="s">
        <v>1715</v>
      </c>
      <c r="L156" s="13">
        <v>187</v>
      </c>
      <c r="M156" s="13" t="s">
        <v>1763</v>
      </c>
      <c r="N156" s="14">
        <v>0</v>
      </c>
      <c r="O156" s="14">
        <v>0</v>
      </c>
      <c r="P156" s="14">
        <v>61</v>
      </c>
      <c r="Q156" s="14">
        <v>1</v>
      </c>
      <c r="R156" s="14">
        <v>73</v>
      </c>
      <c r="S156" s="14">
        <v>1</v>
      </c>
      <c r="T156" s="14">
        <v>47</v>
      </c>
      <c r="U156" s="14">
        <v>5</v>
      </c>
      <c r="V156" s="15">
        <f t="shared" si="15"/>
        <v>181</v>
      </c>
      <c r="W156" s="14">
        <f t="shared" si="15"/>
        <v>7</v>
      </c>
      <c r="X156" s="14">
        <f t="shared" si="11"/>
        <v>2</v>
      </c>
      <c r="Y156" s="14">
        <f t="shared" si="12"/>
        <v>2</v>
      </c>
      <c r="Z156" s="16">
        <f t="shared" si="13"/>
        <v>2</v>
      </c>
      <c r="AA156" s="14">
        <f t="shared" si="14"/>
        <v>0</v>
      </c>
      <c r="AB156" s="17"/>
      <c r="AC156" s="17" t="s">
        <v>54</v>
      </c>
    </row>
    <row r="157" spans="1:29" s="21" customFormat="1" ht="13.5" customHeight="1" x14ac:dyDescent="0.2">
      <c r="A157" s="9">
        <v>6</v>
      </c>
      <c r="B157" s="9">
        <v>1</v>
      </c>
      <c r="C157" s="10">
        <v>6012</v>
      </c>
      <c r="D157" s="9">
        <v>33192766</v>
      </c>
      <c r="E157" s="34" t="s">
        <v>547</v>
      </c>
      <c r="F157" s="10" t="s">
        <v>799</v>
      </c>
      <c r="G157" s="11" t="s">
        <v>283</v>
      </c>
      <c r="H157" s="12" t="s">
        <v>1103</v>
      </c>
      <c r="I157" s="12" t="s">
        <v>1300</v>
      </c>
      <c r="J157" s="12" t="s">
        <v>1505</v>
      </c>
      <c r="K157" s="37" t="s">
        <v>1724</v>
      </c>
      <c r="L157" s="13">
        <v>112</v>
      </c>
      <c r="M157" s="13" t="s">
        <v>1764</v>
      </c>
      <c r="N157" s="14">
        <v>0</v>
      </c>
      <c r="O157" s="14">
        <v>0</v>
      </c>
      <c r="P157" s="14">
        <v>22</v>
      </c>
      <c r="Q157" s="14">
        <v>0</v>
      </c>
      <c r="R157" s="14">
        <v>46</v>
      </c>
      <c r="S157" s="14">
        <v>0</v>
      </c>
      <c r="T157" s="14">
        <v>44</v>
      </c>
      <c r="U157" s="14">
        <v>1</v>
      </c>
      <c r="V157" s="15">
        <f t="shared" si="15"/>
        <v>112</v>
      </c>
      <c r="W157" s="14">
        <f t="shared" si="15"/>
        <v>1</v>
      </c>
      <c r="X157" s="14">
        <f t="shared" si="11"/>
        <v>0</v>
      </c>
      <c r="Y157" s="14">
        <f t="shared" si="12"/>
        <v>2</v>
      </c>
      <c r="Z157" s="16">
        <f t="shared" si="13"/>
        <v>0</v>
      </c>
      <c r="AA157" s="14">
        <f t="shared" si="14"/>
        <v>-2</v>
      </c>
      <c r="AB157" s="17"/>
      <c r="AC157" s="17" t="s">
        <v>48</v>
      </c>
    </row>
    <row r="158" spans="1:29" s="21" customFormat="1" ht="13.5" customHeight="1" x14ac:dyDescent="0.2">
      <c r="A158" s="9">
        <v>6</v>
      </c>
      <c r="B158" s="9">
        <v>2</v>
      </c>
      <c r="C158" s="10">
        <v>6004</v>
      </c>
      <c r="D158" s="9">
        <v>33122385</v>
      </c>
      <c r="E158" s="34" t="s">
        <v>548</v>
      </c>
      <c r="F158" s="10" t="s">
        <v>800</v>
      </c>
      <c r="G158" s="11" t="s">
        <v>284</v>
      </c>
      <c r="H158" s="12" t="s">
        <v>1104</v>
      </c>
      <c r="I158" s="12" t="s">
        <v>1104</v>
      </c>
      <c r="J158" s="12" t="s">
        <v>1506</v>
      </c>
      <c r="K158" s="37" t="s">
        <v>1725</v>
      </c>
      <c r="L158" s="13">
        <v>74</v>
      </c>
      <c r="M158" s="13" t="s">
        <v>1763</v>
      </c>
      <c r="N158" s="14">
        <v>0</v>
      </c>
      <c r="O158" s="14">
        <v>0</v>
      </c>
      <c r="P158" s="14">
        <v>0</v>
      </c>
      <c r="Q158" s="14">
        <v>0</v>
      </c>
      <c r="R158" s="14">
        <v>32</v>
      </c>
      <c r="S158" s="14">
        <v>0</v>
      </c>
      <c r="T158" s="14">
        <v>42</v>
      </c>
      <c r="U158" s="14">
        <v>0</v>
      </c>
      <c r="V158" s="15">
        <f t="shared" si="15"/>
        <v>74</v>
      </c>
      <c r="W158" s="14">
        <f t="shared" si="15"/>
        <v>0</v>
      </c>
      <c r="X158" s="14">
        <f t="shared" si="11"/>
        <v>0</v>
      </c>
      <c r="Y158" s="14">
        <f t="shared" si="12"/>
        <v>0</v>
      </c>
      <c r="Z158" s="16">
        <f t="shared" si="13"/>
        <v>0</v>
      </c>
      <c r="AA158" s="14">
        <f t="shared" si="14"/>
        <v>0</v>
      </c>
      <c r="AB158" s="17"/>
      <c r="AC158" s="17"/>
    </row>
    <row r="159" spans="1:29" s="21" customFormat="1" ht="13.5" customHeight="1" x14ac:dyDescent="0.2">
      <c r="A159" s="9">
        <v>6</v>
      </c>
      <c r="B159" s="9">
        <v>3</v>
      </c>
      <c r="C159" s="10">
        <v>6009</v>
      </c>
      <c r="D159" s="9">
        <v>33186138</v>
      </c>
      <c r="E159" s="34" t="s">
        <v>549</v>
      </c>
      <c r="F159" s="10" t="s">
        <v>801</v>
      </c>
      <c r="G159" s="11" t="s">
        <v>285</v>
      </c>
      <c r="H159" s="12" t="s">
        <v>1105</v>
      </c>
      <c r="I159" s="12" t="s">
        <v>1301</v>
      </c>
      <c r="J159" s="12" t="s">
        <v>1507</v>
      </c>
      <c r="K159" s="37" t="s">
        <v>1726</v>
      </c>
      <c r="L159" s="13">
        <v>322</v>
      </c>
      <c r="M159" s="13" t="s">
        <v>1763</v>
      </c>
      <c r="N159" s="14">
        <v>0</v>
      </c>
      <c r="O159" s="14">
        <v>0</v>
      </c>
      <c r="P159" s="14">
        <v>0</v>
      </c>
      <c r="Q159" s="14">
        <v>0</v>
      </c>
      <c r="R159" s="14">
        <v>125</v>
      </c>
      <c r="S159" s="14">
        <v>0</v>
      </c>
      <c r="T159" s="14">
        <v>195</v>
      </c>
      <c r="U159" s="14">
        <v>1</v>
      </c>
      <c r="V159" s="15">
        <f t="shared" si="15"/>
        <v>320</v>
      </c>
      <c r="W159" s="14">
        <f t="shared" si="15"/>
        <v>1</v>
      </c>
      <c r="X159" s="14">
        <f t="shared" si="11"/>
        <v>0</v>
      </c>
      <c r="Y159" s="14">
        <f t="shared" si="12"/>
        <v>2</v>
      </c>
      <c r="Z159" s="16">
        <f t="shared" si="13"/>
        <v>0</v>
      </c>
      <c r="AA159" s="14">
        <f t="shared" si="14"/>
        <v>0</v>
      </c>
      <c r="AB159" s="17"/>
      <c r="AC159" s="17"/>
    </row>
    <row r="160" spans="1:29" s="21" customFormat="1" ht="13.5" customHeight="1" x14ac:dyDescent="0.2">
      <c r="A160" s="9">
        <v>6</v>
      </c>
      <c r="B160" s="9">
        <v>4</v>
      </c>
      <c r="C160" s="10">
        <v>6007</v>
      </c>
      <c r="D160" s="9">
        <v>33145075</v>
      </c>
      <c r="E160" s="34" t="s">
        <v>550</v>
      </c>
      <c r="F160" s="10" t="s">
        <v>802</v>
      </c>
      <c r="G160" s="11" t="s">
        <v>286</v>
      </c>
      <c r="H160" s="12" t="s">
        <v>1106</v>
      </c>
      <c r="I160" s="12" t="s">
        <v>1302</v>
      </c>
      <c r="J160" s="12" t="s">
        <v>1508</v>
      </c>
      <c r="K160" s="37" t="s">
        <v>1725</v>
      </c>
      <c r="L160" s="13">
        <v>120</v>
      </c>
      <c r="M160" s="13" t="s">
        <v>1763</v>
      </c>
      <c r="N160" s="14">
        <v>0</v>
      </c>
      <c r="O160" s="14">
        <v>0</v>
      </c>
      <c r="P160" s="14">
        <v>0</v>
      </c>
      <c r="Q160" s="14">
        <v>0</v>
      </c>
      <c r="R160" s="14">
        <v>50</v>
      </c>
      <c r="S160" s="14">
        <v>0</v>
      </c>
      <c r="T160" s="14">
        <v>70</v>
      </c>
      <c r="U160" s="14">
        <v>0</v>
      </c>
      <c r="V160" s="15">
        <f t="shared" si="15"/>
        <v>120</v>
      </c>
      <c r="W160" s="14">
        <f t="shared" si="15"/>
        <v>0</v>
      </c>
      <c r="X160" s="14">
        <f t="shared" si="11"/>
        <v>0</v>
      </c>
      <c r="Y160" s="14">
        <f t="shared" si="12"/>
        <v>0</v>
      </c>
      <c r="Z160" s="16">
        <f t="shared" si="13"/>
        <v>0</v>
      </c>
      <c r="AA160" s="14">
        <f t="shared" si="14"/>
        <v>0</v>
      </c>
      <c r="AB160" s="17"/>
      <c r="AC160" s="17"/>
    </row>
    <row r="161" spans="1:29" s="21" customFormat="1" ht="13.5" customHeight="1" x14ac:dyDescent="0.2">
      <c r="A161" s="9">
        <v>6</v>
      </c>
      <c r="B161" s="9">
        <v>5</v>
      </c>
      <c r="C161" s="10">
        <v>6013</v>
      </c>
      <c r="D161" s="9">
        <v>33190429</v>
      </c>
      <c r="E161" s="34" t="s">
        <v>551</v>
      </c>
      <c r="F161" s="10" t="s">
        <v>803</v>
      </c>
      <c r="G161" s="11" t="s">
        <v>287</v>
      </c>
      <c r="H161" s="12" t="s">
        <v>1107</v>
      </c>
      <c r="I161" s="12" t="s">
        <v>1303</v>
      </c>
      <c r="J161" s="12" t="s">
        <v>1509</v>
      </c>
      <c r="K161" s="37" t="s">
        <v>1727</v>
      </c>
      <c r="L161" s="13">
        <v>103</v>
      </c>
      <c r="M161" s="13" t="s">
        <v>1764</v>
      </c>
      <c r="N161" s="14">
        <v>0</v>
      </c>
      <c r="O161" s="14">
        <v>0</v>
      </c>
      <c r="P161" s="14">
        <v>25</v>
      </c>
      <c r="Q161" s="14">
        <v>0</v>
      </c>
      <c r="R161" s="14">
        <v>48</v>
      </c>
      <c r="S161" s="14">
        <v>0</v>
      </c>
      <c r="T161" s="14">
        <v>25</v>
      </c>
      <c r="U161" s="14">
        <v>2</v>
      </c>
      <c r="V161" s="15">
        <f t="shared" si="15"/>
        <v>98</v>
      </c>
      <c r="W161" s="14">
        <f t="shared" si="15"/>
        <v>2</v>
      </c>
      <c r="X161" s="14">
        <f t="shared" si="11"/>
        <v>0</v>
      </c>
      <c r="Y161" s="14">
        <f t="shared" si="12"/>
        <v>2</v>
      </c>
      <c r="Z161" s="16">
        <f t="shared" si="13"/>
        <v>3</v>
      </c>
      <c r="AA161" s="14">
        <f t="shared" si="14"/>
        <v>0</v>
      </c>
      <c r="AB161" s="17"/>
      <c r="AC161" s="17" t="s">
        <v>48</v>
      </c>
    </row>
    <row r="162" spans="1:29" s="21" customFormat="1" ht="13.5" customHeight="1" x14ac:dyDescent="0.2">
      <c r="A162" s="9">
        <v>6</v>
      </c>
      <c r="B162" s="9">
        <v>6</v>
      </c>
      <c r="C162" s="10">
        <v>6005</v>
      </c>
      <c r="D162" s="9">
        <v>33124914</v>
      </c>
      <c r="E162" s="34" t="s">
        <v>552</v>
      </c>
      <c r="F162" s="10" t="s">
        <v>804</v>
      </c>
      <c r="G162" s="11" t="s">
        <v>288</v>
      </c>
      <c r="H162" s="12" t="s">
        <v>1108</v>
      </c>
      <c r="I162" s="12" t="s">
        <v>1242</v>
      </c>
      <c r="J162" s="12" t="s">
        <v>1510</v>
      </c>
      <c r="K162" s="37" t="s">
        <v>1726</v>
      </c>
      <c r="L162" s="13">
        <v>60</v>
      </c>
      <c r="M162" s="13" t="s">
        <v>1763</v>
      </c>
      <c r="N162" s="14">
        <v>0</v>
      </c>
      <c r="O162" s="14">
        <v>0</v>
      </c>
      <c r="P162" s="14">
        <v>0</v>
      </c>
      <c r="Q162" s="14">
        <v>0</v>
      </c>
      <c r="R162" s="14">
        <v>31</v>
      </c>
      <c r="S162" s="14">
        <v>0</v>
      </c>
      <c r="T162" s="14">
        <v>27</v>
      </c>
      <c r="U162" s="14">
        <v>1</v>
      </c>
      <c r="V162" s="15">
        <f t="shared" si="15"/>
        <v>58</v>
      </c>
      <c r="W162" s="14">
        <f t="shared" si="15"/>
        <v>1</v>
      </c>
      <c r="X162" s="14">
        <f t="shared" si="11"/>
        <v>0</v>
      </c>
      <c r="Y162" s="14">
        <f t="shared" si="12"/>
        <v>2</v>
      </c>
      <c r="Z162" s="16">
        <f t="shared" si="13"/>
        <v>0</v>
      </c>
      <c r="AA162" s="14">
        <f t="shared" si="14"/>
        <v>0</v>
      </c>
      <c r="AB162" s="17"/>
      <c r="AC162" s="17"/>
    </row>
    <row r="163" spans="1:29" s="21" customFormat="1" ht="13.5" customHeight="1" x14ac:dyDescent="0.2">
      <c r="A163" s="9">
        <v>6</v>
      </c>
      <c r="B163" s="9">
        <v>7</v>
      </c>
      <c r="C163" s="10">
        <v>6006</v>
      </c>
      <c r="D163" s="9">
        <v>33136360</v>
      </c>
      <c r="E163" s="34" t="s">
        <v>553</v>
      </c>
      <c r="F163" s="10" t="s">
        <v>805</v>
      </c>
      <c r="G163" s="11" t="s">
        <v>289</v>
      </c>
      <c r="H163" s="12" t="s">
        <v>1109</v>
      </c>
      <c r="I163" s="12" t="s">
        <v>1109</v>
      </c>
      <c r="J163" s="12" t="s">
        <v>1511</v>
      </c>
      <c r="K163" s="37" t="s">
        <v>1725</v>
      </c>
      <c r="L163" s="13">
        <v>90</v>
      </c>
      <c r="M163" s="13" t="s">
        <v>1763</v>
      </c>
      <c r="N163" s="14">
        <v>0</v>
      </c>
      <c r="O163" s="14">
        <v>0</v>
      </c>
      <c r="P163" s="14">
        <v>0</v>
      </c>
      <c r="Q163" s="14">
        <v>0</v>
      </c>
      <c r="R163" s="14">
        <v>25</v>
      </c>
      <c r="S163" s="14">
        <v>0</v>
      </c>
      <c r="T163" s="14">
        <v>65</v>
      </c>
      <c r="U163" s="14">
        <v>0</v>
      </c>
      <c r="V163" s="15">
        <f t="shared" si="15"/>
        <v>90</v>
      </c>
      <c r="W163" s="14">
        <f t="shared" si="15"/>
        <v>0</v>
      </c>
      <c r="X163" s="14">
        <f t="shared" si="11"/>
        <v>0</v>
      </c>
      <c r="Y163" s="14">
        <f t="shared" si="12"/>
        <v>0</v>
      </c>
      <c r="Z163" s="16">
        <f t="shared" si="13"/>
        <v>0</v>
      </c>
      <c r="AA163" s="14">
        <f t="shared" si="14"/>
        <v>0</v>
      </c>
      <c r="AB163" s="17"/>
      <c r="AC163" s="17"/>
    </row>
    <row r="164" spans="1:29" s="21" customFormat="1" ht="13.5" customHeight="1" x14ac:dyDescent="0.2">
      <c r="A164" s="9">
        <v>6</v>
      </c>
      <c r="B164" s="9">
        <v>8</v>
      </c>
      <c r="C164" s="10">
        <v>6001</v>
      </c>
      <c r="D164" s="9">
        <v>33087377</v>
      </c>
      <c r="E164" s="34" t="s">
        <v>554</v>
      </c>
      <c r="F164" s="10" t="s">
        <v>806</v>
      </c>
      <c r="G164" s="11" t="s">
        <v>290</v>
      </c>
      <c r="H164" s="12" t="s">
        <v>1110</v>
      </c>
      <c r="I164" s="12" t="s">
        <v>1304</v>
      </c>
      <c r="J164" s="12" t="s">
        <v>1512</v>
      </c>
      <c r="K164" s="37" t="s">
        <v>1726</v>
      </c>
      <c r="L164" s="13">
        <v>114</v>
      </c>
      <c r="M164" s="13" t="s">
        <v>1763</v>
      </c>
      <c r="N164" s="14">
        <v>0</v>
      </c>
      <c r="O164" s="14">
        <v>0</v>
      </c>
      <c r="P164" s="14">
        <v>0</v>
      </c>
      <c r="Q164" s="14">
        <v>0</v>
      </c>
      <c r="R164" s="14">
        <v>52</v>
      </c>
      <c r="S164" s="14">
        <v>1</v>
      </c>
      <c r="T164" s="14">
        <v>57</v>
      </c>
      <c r="U164" s="14">
        <v>1</v>
      </c>
      <c r="V164" s="15">
        <f t="shared" si="15"/>
        <v>109</v>
      </c>
      <c r="W164" s="14">
        <f t="shared" si="15"/>
        <v>2</v>
      </c>
      <c r="X164" s="14">
        <f t="shared" si="11"/>
        <v>0</v>
      </c>
      <c r="Y164" s="14">
        <f t="shared" si="12"/>
        <v>2</v>
      </c>
      <c r="Z164" s="16">
        <f t="shared" si="13"/>
        <v>3</v>
      </c>
      <c r="AA164" s="14">
        <f t="shared" si="14"/>
        <v>0</v>
      </c>
      <c r="AB164" s="17"/>
      <c r="AC164" s="17"/>
    </row>
    <row r="165" spans="1:29" s="21" customFormat="1" ht="13.5" customHeight="1" x14ac:dyDescent="0.2">
      <c r="A165" s="9">
        <v>6</v>
      </c>
      <c r="B165" s="9">
        <v>9</v>
      </c>
      <c r="C165" s="10">
        <v>6002</v>
      </c>
      <c r="D165" s="9">
        <v>33096309</v>
      </c>
      <c r="E165" s="34" t="s">
        <v>555</v>
      </c>
      <c r="F165" s="10" t="s">
        <v>807</v>
      </c>
      <c r="G165" s="11" t="s">
        <v>291</v>
      </c>
      <c r="H165" s="12" t="s">
        <v>1111</v>
      </c>
      <c r="I165" s="12" t="s">
        <v>1111</v>
      </c>
      <c r="J165" s="12" t="s">
        <v>1513</v>
      </c>
      <c r="K165" s="37" t="s">
        <v>1724</v>
      </c>
      <c r="L165" s="13">
        <v>170</v>
      </c>
      <c r="M165" s="13" t="s">
        <v>1765</v>
      </c>
      <c r="N165" s="14">
        <v>15</v>
      </c>
      <c r="O165" s="14">
        <v>0</v>
      </c>
      <c r="P165" s="14">
        <v>46</v>
      </c>
      <c r="Q165" s="14">
        <v>0</v>
      </c>
      <c r="R165" s="14">
        <v>56</v>
      </c>
      <c r="S165" s="14">
        <v>0</v>
      </c>
      <c r="T165" s="14">
        <v>53</v>
      </c>
      <c r="U165" s="14">
        <v>0</v>
      </c>
      <c r="V165" s="15">
        <f t="shared" si="15"/>
        <v>170</v>
      </c>
      <c r="W165" s="14">
        <f t="shared" si="15"/>
        <v>0</v>
      </c>
      <c r="X165" s="14">
        <f t="shared" si="11"/>
        <v>0</v>
      </c>
      <c r="Y165" s="14">
        <f t="shared" si="12"/>
        <v>0</v>
      </c>
      <c r="Z165" s="16">
        <f t="shared" si="13"/>
        <v>0</v>
      </c>
      <c r="AA165" s="14">
        <f t="shared" si="14"/>
        <v>0</v>
      </c>
      <c r="AB165" s="17"/>
      <c r="AC165" s="17"/>
    </row>
    <row r="166" spans="1:29" s="21" customFormat="1" ht="13.5" customHeight="1" x14ac:dyDescent="0.2">
      <c r="A166" s="9">
        <v>6</v>
      </c>
      <c r="B166" s="9">
        <v>10</v>
      </c>
      <c r="C166" s="10">
        <v>6003</v>
      </c>
      <c r="D166" s="9">
        <v>33117462</v>
      </c>
      <c r="E166" s="34" t="s">
        <v>556</v>
      </c>
      <c r="F166" s="10" t="s">
        <v>808</v>
      </c>
      <c r="G166" s="11" t="s">
        <v>292</v>
      </c>
      <c r="H166" s="12" t="s">
        <v>1112</v>
      </c>
      <c r="I166" s="12" t="s">
        <v>1305</v>
      </c>
      <c r="J166" s="12" t="s">
        <v>1514</v>
      </c>
      <c r="K166" s="37" t="s">
        <v>1726</v>
      </c>
      <c r="L166" s="13">
        <v>101</v>
      </c>
      <c r="M166" s="13" t="s">
        <v>1764</v>
      </c>
      <c r="N166" s="14">
        <v>0</v>
      </c>
      <c r="O166" s="14">
        <v>0</v>
      </c>
      <c r="P166" s="14">
        <v>27</v>
      </c>
      <c r="Q166" s="14">
        <v>0</v>
      </c>
      <c r="R166" s="14">
        <v>38</v>
      </c>
      <c r="S166" s="14">
        <v>1</v>
      </c>
      <c r="T166" s="14">
        <v>32</v>
      </c>
      <c r="U166" s="14">
        <v>1</v>
      </c>
      <c r="V166" s="15">
        <f t="shared" si="15"/>
        <v>97</v>
      </c>
      <c r="W166" s="14">
        <f t="shared" si="15"/>
        <v>2</v>
      </c>
      <c r="X166" s="14">
        <f t="shared" si="11"/>
        <v>0</v>
      </c>
      <c r="Y166" s="14">
        <f t="shared" si="12"/>
        <v>2</v>
      </c>
      <c r="Z166" s="16">
        <f t="shared" si="13"/>
        <v>2</v>
      </c>
      <c r="AA166" s="14">
        <f t="shared" si="14"/>
        <v>0</v>
      </c>
      <c r="AB166" s="17"/>
      <c r="AC166" s="17"/>
    </row>
    <row r="167" spans="1:29" s="21" customFormat="1" ht="13.5" customHeight="1" x14ac:dyDescent="0.2">
      <c r="A167" s="9">
        <v>6</v>
      </c>
      <c r="B167" s="9">
        <v>11</v>
      </c>
      <c r="C167" s="10">
        <v>6015</v>
      </c>
      <c r="D167" s="9">
        <v>33194955</v>
      </c>
      <c r="E167" s="34" t="s">
        <v>545</v>
      </c>
      <c r="F167" s="10" t="s">
        <v>809</v>
      </c>
      <c r="G167" s="11" t="s">
        <v>293</v>
      </c>
      <c r="H167" s="12" t="s">
        <v>81</v>
      </c>
      <c r="I167" s="12" t="s">
        <v>79</v>
      </c>
      <c r="J167" s="12" t="s">
        <v>1515</v>
      </c>
      <c r="K167" s="37" t="s">
        <v>1728</v>
      </c>
      <c r="L167" s="13">
        <v>365</v>
      </c>
      <c r="M167" s="13" t="s">
        <v>1764</v>
      </c>
      <c r="N167" s="14">
        <v>0</v>
      </c>
      <c r="O167" s="14">
        <v>0</v>
      </c>
      <c r="P167" s="14">
        <v>58</v>
      </c>
      <c r="Q167" s="14">
        <v>0</v>
      </c>
      <c r="R167" s="14">
        <v>164</v>
      </c>
      <c r="S167" s="14">
        <v>1</v>
      </c>
      <c r="T167" s="14">
        <v>128</v>
      </c>
      <c r="U167" s="14">
        <v>1</v>
      </c>
      <c r="V167" s="15">
        <f t="shared" si="15"/>
        <v>350</v>
      </c>
      <c r="W167" s="14">
        <f t="shared" si="15"/>
        <v>2</v>
      </c>
      <c r="X167" s="14">
        <f t="shared" si="11"/>
        <v>0</v>
      </c>
      <c r="Y167" s="14">
        <f t="shared" si="12"/>
        <v>2</v>
      </c>
      <c r="Z167" s="16">
        <f t="shared" si="13"/>
        <v>13</v>
      </c>
      <c r="AA167" s="14">
        <f t="shared" si="14"/>
        <v>0</v>
      </c>
      <c r="AB167" s="17"/>
      <c r="AC167" s="17" t="s">
        <v>54</v>
      </c>
    </row>
    <row r="168" spans="1:29" s="21" customFormat="1" ht="13.5" customHeight="1" x14ac:dyDescent="0.2">
      <c r="A168" s="9">
        <v>6</v>
      </c>
      <c r="B168" s="9">
        <v>12</v>
      </c>
      <c r="C168" s="10">
        <v>6016</v>
      </c>
      <c r="D168" s="9">
        <v>33195544</v>
      </c>
      <c r="E168" s="34">
        <v>73563637000160</v>
      </c>
      <c r="F168" s="10">
        <v>61056</v>
      </c>
      <c r="G168" s="11" t="s">
        <v>956</v>
      </c>
      <c r="H168" s="12" t="s">
        <v>957</v>
      </c>
      <c r="I168" s="12" t="s">
        <v>1305</v>
      </c>
      <c r="J168" s="12" t="s">
        <v>1516</v>
      </c>
      <c r="K168" s="37" t="s">
        <v>1729</v>
      </c>
      <c r="L168" s="13">
        <v>184</v>
      </c>
      <c r="M168" s="13" t="s">
        <v>1764</v>
      </c>
      <c r="N168" s="14">
        <v>0</v>
      </c>
      <c r="O168" s="14">
        <v>0</v>
      </c>
      <c r="P168" s="14">
        <v>49</v>
      </c>
      <c r="Q168" s="14">
        <v>0</v>
      </c>
      <c r="R168" s="14">
        <v>78</v>
      </c>
      <c r="S168" s="14">
        <v>3</v>
      </c>
      <c r="T168" s="14">
        <v>54</v>
      </c>
      <c r="U168" s="14">
        <v>2</v>
      </c>
      <c r="V168" s="15">
        <f t="shared" si="15"/>
        <v>181</v>
      </c>
      <c r="W168" s="14">
        <f t="shared" si="15"/>
        <v>5</v>
      </c>
      <c r="X168" s="14">
        <f t="shared" si="11"/>
        <v>0</v>
      </c>
      <c r="Y168" s="14">
        <f t="shared" si="12"/>
        <v>2</v>
      </c>
      <c r="Z168" s="16">
        <f t="shared" si="13"/>
        <v>1</v>
      </c>
      <c r="AA168" s="14">
        <f t="shared" si="14"/>
        <v>0</v>
      </c>
      <c r="AB168" s="17"/>
      <c r="AC168" s="17"/>
    </row>
    <row r="169" spans="1:29" s="21" customFormat="1" ht="13.5" customHeight="1" x14ac:dyDescent="0.2">
      <c r="A169" s="9">
        <v>7</v>
      </c>
      <c r="B169" s="9">
        <v>1</v>
      </c>
      <c r="C169" s="10">
        <v>7004</v>
      </c>
      <c r="D169" s="9">
        <v>33106410</v>
      </c>
      <c r="E169" s="34" t="s">
        <v>481</v>
      </c>
      <c r="F169" s="10" t="s">
        <v>810</v>
      </c>
      <c r="G169" s="11" t="s">
        <v>294</v>
      </c>
      <c r="H169" s="12" t="s">
        <v>1113</v>
      </c>
      <c r="I169" s="12" t="s">
        <v>1259</v>
      </c>
      <c r="J169" s="12" t="s">
        <v>1517</v>
      </c>
      <c r="K169" s="37" t="s">
        <v>1730</v>
      </c>
      <c r="L169" s="13">
        <v>150</v>
      </c>
      <c r="M169" s="13" t="s">
        <v>1763</v>
      </c>
      <c r="N169" s="14">
        <v>0</v>
      </c>
      <c r="O169" s="14">
        <v>0</v>
      </c>
      <c r="P169" s="14">
        <v>0</v>
      </c>
      <c r="Q169" s="14">
        <v>0</v>
      </c>
      <c r="R169" s="14">
        <v>75</v>
      </c>
      <c r="S169" s="14">
        <v>0</v>
      </c>
      <c r="T169" s="14">
        <v>75</v>
      </c>
      <c r="U169" s="14">
        <v>0</v>
      </c>
      <c r="V169" s="15">
        <f t="shared" si="15"/>
        <v>150</v>
      </c>
      <c r="W169" s="14">
        <f t="shared" si="15"/>
        <v>0</v>
      </c>
      <c r="X169" s="14">
        <f t="shared" si="11"/>
        <v>0</v>
      </c>
      <c r="Y169" s="14">
        <f t="shared" si="12"/>
        <v>0</v>
      </c>
      <c r="Z169" s="16">
        <f t="shared" si="13"/>
        <v>0</v>
      </c>
      <c r="AA169" s="14">
        <f t="shared" si="14"/>
        <v>0</v>
      </c>
      <c r="AB169" s="17"/>
      <c r="AC169" s="17"/>
    </row>
    <row r="170" spans="1:29" s="21" customFormat="1" ht="13.5" customHeight="1" x14ac:dyDescent="0.2">
      <c r="A170" s="9">
        <v>7</v>
      </c>
      <c r="B170" s="9">
        <v>2</v>
      </c>
      <c r="C170" s="10">
        <v>7014</v>
      </c>
      <c r="D170" s="9">
        <v>33123942</v>
      </c>
      <c r="E170" s="34" t="s">
        <v>557</v>
      </c>
      <c r="F170" s="10" t="s">
        <v>811</v>
      </c>
      <c r="G170" s="11" t="s">
        <v>295</v>
      </c>
      <c r="H170" s="12" t="s">
        <v>1114</v>
      </c>
      <c r="I170" s="12" t="s">
        <v>1306</v>
      </c>
      <c r="J170" s="12" t="s">
        <v>1518</v>
      </c>
      <c r="K170" s="37" t="s">
        <v>1731</v>
      </c>
      <c r="L170" s="13">
        <v>117</v>
      </c>
      <c r="M170" s="13" t="s">
        <v>1764</v>
      </c>
      <c r="N170" s="14">
        <v>0</v>
      </c>
      <c r="O170" s="14">
        <v>0</v>
      </c>
      <c r="P170" s="14">
        <v>25</v>
      </c>
      <c r="Q170" s="14">
        <v>0</v>
      </c>
      <c r="R170" s="14">
        <v>46</v>
      </c>
      <c r="S170" s="14">
        <v>1</v>
      </c>
      <c r="T170" s="14">
        <v>44</v>
      </c>
      <c r="U170" s="14">
        <v>1</v>
      </c>
      <c r="V170" s="15">
        <f t="shared" si="15"/>
        <v>115</v>
      </c>
      <c r="W170" s="14">
        <f t="shared" si="15"/>
        <v>2</v>
      </c>
      <c r="X170" s="14">
        <f t="shared" si="11"/>
        <v>0</v>
      </c>
      <c r="Y170" s="14">
        <f t="shared" si="12"/>
        <v>2</v>
      </c>
      <c r="Z170" s="16">
        <f t="shared" si="13"/>
        <v>0</v>
      </c>
      <c r="AA170" s="14">
        <f t="shared" si="14"/>
        <v>0</v>
      </c>
      <c r="AB170" s="17"/>
      <c r="AC170" s="17"/>
    </row>
    <row r="171" spans="1:29" s="21" customFormat="1" ht="13.5" customHeight="1" x14ac:dyDescent="0.2">
      <c r="A171" s="9">
        <v>7</v>
      </c>
      <c r="B171" s="9">
        <v>3</v>
      </c>
      <c r="C171" s="10">
        <v>7002</v>
      </c>
      <c r="D171" s="9">
        <v>33095531</v>
      </c>
      <c r="E171" s="34" t="s">
        <v>558</v>
      </c>
      <c r="F171" s="10" t="s">
        <v>812</v>
      </c>
      <c r="G171" s="11" t="s">
        <v>296</v>
      </c>
      <c r="H171" s="12" t="s">
        <v>1115</v>
      </c>
      <c r="I171" s="12" t="s">
        <v>1307</v>
      </c>
      <c r="J171" s="12" t="s">
        <v>1519</v>
      </c>
      <c r="K171" s="37" t="s">
        <v>1732</v>
      </c>
      <c r="L171" s="13">
        <v>115</v>
      </c>
      <c r="M171" s="13" t="s">
        <v>1764</v>
      </c>
      <c r="N171" s="14">
        <v>0</v>
      </c>
      <c r="O171" s="14">
        <v>0</v>
      </c>
      <c r="P171" s="14">
        <v>19</v>
      </c>
      <c r="Q171" s="14">
        <v>0</v>
      </c>
      <c r="R171" s="14">
        <v>43</v>
      </c>
      <c r="S171" s="14">
        <v>0</v>
      </c>
      <c r="T171" s="14">
        <v>51</v>
      </c>
      <c r="U171" s="14">
        <v>1</v>
      </c>
      <c r="V171" s="15">
        <f t="shared" si="15"/>
        <v>113</v>
      </c>
      <c r="W171" s="14">
        <f t="shared" si="15"/>
        <v>1</v>
      </c>
      <c r="X171" s="14">
        <f t="shared" si="11"/>
        <v>0</v>
      </c>
      <c r="Y171" s="14">
        <f t="shared" si="12"/>
        <v>2</v>
      </c>
      <c r="Z171" s="16">
        <f t="shared" si="13"/>
        <v>0</v>
      </c>
      <c r="AA171" s="14">
        <f t="shared" si="14"/>
        <v>0</v>
      </c>
      <c r="AB171" s="17"/>
      <c r="AC171" s="17"/>
    </row>
    <row r="172" spans="1:29" s="21" customFormat="1" ht="13.5" customHeight="1" x14ac:dyDescent="0.2">
      <c r="A172" s="9">
        <v>7</v>
      </c>
      <c r="B172" s="9">
        <v>4</v>
      </c>
      <c r="C172" s="10">
        <v>7015</v>
      </c>
      <c r="D172" s="9">
        <v>33165785</v>
      </c>
      <c r="E172" s="34" t="s">
        <v>558</v>
      </c>
      <c r="F172" s="10" t="s">
        <v>813</v>
      </c>
      <c r="G172" s="11" t="s">
        <v>297</v>
      </c>
      <c r="H172" s="12" t="s">
        <v>1116</v>
      </c>
      <c r="I172" s="12" t="s">
        <v>1307</v>
      </c>
      <c r="J172" s="12" t="s">
        <v>1520</v>
      </c>
      <c r="K172" s="37" t="s">
        <v>1732</v>
      </c>
      <c r="L172" s="13">
        <v>115</v>
      </c>
      <c r="M172" s="13" t="s">
        <v>1764</v>
      </c>
      <c r="N172" s="14">
        <v>0</v>
      </c>
      <c r="O172" s="14">
        <v>0</v>
      </c>
      <c r="P172" s="14">
        <v>19</v>
      </c>
      <c r="Q172" s="14">
        <v>0</v>
      </c>
      <c r="R172" s="14">
        <v>48</v>
      </c>
      <c r="S172" s="14">
        <v>0</v>
      </c>
      <c r="T172" s="14">
        <v>48</v>
      </c>
      <c r="U172" s="14">
        <v>0</v>
      </c>
      <c r="V172" s="15">
        <f t="shared" si="15"/>
        <v>115</v>
      </c>
      <c r="W172" s="14">
        <f t="shared" si="15"/>
        <v>0</v>
      </c>
      <c r="X172" s="14">
        <f t="shared" si="11"/>
        <v>0</v>
      </c>
      <c r="Y172" s="14">
        <f t="shared" si="12"/>
        <v>0</v>
      </c>
      <c r="Z172" s="16">
        <f t="shared" si="13"/>
        <v>0</v>
      </c>
      <c r="AA172" s="14">
        <f t="shared" si="14"/>
        <v>0</v>
      </c>
      <c r="AB172" s="17"/>
      <c r="AC172" s="17"/>
    </row>
    <row r="173" spans="1:29" s="21" customFormat="1" ht="13.5" customHeight="1" x14ac:dyDescent="0.2">
      <c r="A173" s="9">
        <v>7</v>
      </c>
      <c r="B173" s="9">
        <v>5</v>
      </c>
      <c r="C173" s="10">
        <v>7023</v>
      </c>
      <c r="D173" s="9">
        <v>33191654</v>
      </c>
      <c r="E173" s="34" t="s">
        <v>559</v>
      </c>
      <c r="F173" s="10" t="s">
        <v>814</v>
      </c>
      <c r="G173" s="11" t="s">
        <v>298</v>
      </c>
      <c r="H173" s="12" t="s">
        <v>961</v>
      </c>
      <c r="I173" s="12" t="s">
        <v>1308</v>
      </c>
      <c r="J173" s="12" t="s">
        <v>1521</v>
      </c>
      <c r="K173" s="37" t="s">
        <v>1733</v>
      </c>
      <c r="L173" s="13">
        <v>125</v>
      </c>
      <c r="M173" s="13" t="s">
        <v>1764</v>
      </c>
      <c r="N173" s="14">
        <v>0</v>
      </c>
      <c r="O173" s="14">
        <v>0</v>
      </c>
      <c r="P173" s="14">
        <v>25</v>
      </c>
      <c r="Q173" s="14">
        <v>0</v>
      </c>
      <c r="R173" s="14">
        <v>34</v>
      </c>
      <c r="S173" s="14">
        <v>2</v>
      </c>
      <c r="T173" s="14">
        <v>63</v>
      </c>
      <c r="U173" s="14">
        <v>1</v>
      </c>
      <c r="V173" s="15">
        <f t="shared" si="15"/>
        <v>122</v>
      </c>
      <c r="W173" s="14">
        <f t="shared" si="15"/>
        <v>3</v>
      </c>
      <c r="X173" s="14">
        <f t="shared" si="11"/>
        <v>0</v>
      </c>
      <c r="Y173" s="14">
        <f t="shared" si="12"/>
        <v>2</v>
      </c>
      <c r="Z173" s="16">
        <f t="shared" si="13"/>
        <v>1</v>
      </c>
      <c r="AA173" s="14">
        <f t="shared" si="14"/>
        <v>0</v>
      </c>
      <c r="AB173" s="17"/>
      <c r="AC173" s="17" t="s">
        <v>48</v>
      </c>
    </row>
    <row r="174" spans="1:29" s="21" customFormat="1" ht="13.5" customHeight="1" x14ac:dyDescent="0.2">
      <c r="A174" s="9">
        <v>7</v>
      </c>
      <c r="B174" s="9">
        <v>6</v>
      </c>
      <c r="C174" s="10">
        <v>7003</v>
      </c>
      <c r="D174" s="9">
        <v>33095558</v>
      </c>
      <c r="E174" s="34" t="s">
        <v>560</v>
      </c>
      <c r="F174" s="10" t="s">
        <v>815</v>
      </c>
      <c r="G174" s="11" t="s">
        <v>299</v>
      </c>
      <c r="H174" s="12" t="s">
        <v>1117</v>
      </c>
      <c r="I174" s="12" t="s">
        <v>1309</v>
      </c>
      <c r="J174" s="12" t="s">
        <v>1522</v>
      </c>
      <c r="K174" s="37" t="s">
        <v>1733</v>
      </c>
      <c r="L174" s="13">
        <v>323</v>
      </c>
      <c r="M174" s="13" t="s">
        <v>1765</v>
      </c>
      <c r="N174" s="14">
        <v>17</v>
      </c>
      <c r="O174" s="14">
        <v>0</v>
      </c>
      <c r="P174" s="14">
        <v>62</v>
      </c>
      <c r="Q174" s="14">
        <v>1</v>
      </c>
      <c r="R174" s="14">
        <v>122</v>
      </c>
      <c r="S174" s="14">
        <v>2</v>
      </c>
      <c r="T174" s="14">
        <v>116</v>
      </c>
      <c r="U174" s="14">
        <v>5</v>
      </c>
      <c r="V174" s="15">
        <f t="shared" si="15"/>
        <v>317</v>
      </c>
      <c r="W174" s="14">
        <f t="shared" si="15"/>
        <v>8</v>
      </c>
      <c r="X174" s="14">
        <f t="shared" si="11"/>
        <v>2</v>
      </c>
      <c r="Y174" s="14">
        <f t="shared" si="12"/>
        <v>2</v>
      </c>
      <c r="Z174" s="16">
        <f t="shared" si="13"/>
        <v>2</v>
      </c>
      <c r="AA174" s="14">
        <f t="shared" si="14"/>
        <v>0</v>
      </c>
      <c r="AB174" s="17"/>
      <c r="AC174" s="17"/>
    </row>
    <row r="175" spans="1:29" s="21" customFormat="1" ht="13.5" customHeight="1" x14ac:dyDescent="0.2">
      <c r="A175" s="9">
        <v>7</v>
      </c>
      <c r="B175" s="9">
        <v>7</v>
      </c>
      <c r="C175" s="10">
        <v>7010</v>
      </c>
      <c r="D175" s="9">
        <v>33127115</v>
      </c>
      <c r="E175" s="34" t="s">
        <v>561</v>
      </c>
      <c r="F175" s="10" t="s">
        <v>816</v>
      </c>
      <c r="G175" s="11" t="s">
        <v>300</v>
      </c>
      <c r="H175" s="12" t="s">
        <v>1118</v>
      </c>
      <c r="I175" s="12" t="s">
        <v>1310</v>
      </c>
      <c r="J175" s="12" t="s">
        <v>1523</v>
      </c>
      <c r="K175" s="37" t="s">
        <v>1730</v>
      </c>
      <c r="L175" s="13">
        <v>83</v>
      </c>
      <c r="M175" s="13" t="s">
        <v>1763</v>
      </c>
      <c r="N175" s="14">
        <v>0</v>
      </c>
      <c r="O175" s="14">
        <v>0</v>
      </c>
      <c r="P175" s="14">
        <v>0</v>
      </c>
      <c r="Q175" s="14">
        <v>0</v>
      </c>
      <c r="R175" s="14">
        <v>30</v>
      </c>
      <c r="S175" s="14">
        <v>0</v>
      </c>
      <c r="T175" s="14">
        <v>53</v>
      </c>
      <c r="U175" s="14">
        <v>0</v>
      </c>
      <c r="V175" s="15">
        <f t="shared" si="15"/>
        <v>83</v>
      </c>
      <c r="W175" s="14">
        <f t="shared" si="15"/>
        <v>0</v>
      </c>
      <c r="X175" s="14">
        <f t="shared" si="11"/>
        <v>0</v>
      </c>
      <c r="Y175" s="14">
        <f t="shared" si="12"/>
        <v>0</v>
      </c>
      <c r="Z175" s="16">
        <f t="shared" si="13"/>
        <v>0</v>
      </c>
      <c r="AA175" s="14">
        <f t="shared" si="14"/>
        <v>0</v>
      </c>
      <c r="AB175" s="17"/>
      <c r="AC175" s="17"/>
    </row>
    <row r="176" spans="1:29" s="21" customFormat="1" ht="13.5" customHeight="1" x14ac:dyDescent="0.2">
      <c r="A176" s="9">
        <v>7</v>
      </c>
      <c r="B176" s="9">
        <v>8</v>
      </c>
      <c r="C176" s="10">
        <v>7001</v>
      </c>
      <c r="D176" s="9">
        <v>33095485</v>
      </c>
      <c r="E176" s="34" t="s">
        <v>562</v>
      </c>
      <c r="F176" s="10" t="s">
        <v>817</v>
      </c>
      <c r="G176" s="11" t="s">
        <v>301</v>
      </c>
      <c r="H176" s="12" t="s">
        <v>1119</v>
      </c>
      <c r="I176" s="12" t="s">
        <v>1311</v>
      </c>
      <c r="J176" s="12" t="s">
        <v>1524</v>
      </c>
      <c r="K176" s="37" t="s">
        <v>1734</v>
      </c>
      <c r="L176" s="13">
        <v>140</v>
      </c>
      <c r="M176" s="13" t="s">
        <v>1764</v>
      </c>
      <c r="N176" s="14">
        <v>0</v>
      </c>
      <c r="O176" s="14">
        <v>0</v>
      </c>
      <c r="P176" s="14">
        <v>43</v>
      </c>
      <c r="Q176" s="14">
        <v>0</v>
      </c>
      <c r="R176" s="14">
        <v>48</v>
      </c>
      <c r="S176" s="14">
        <v>1</v>
      </c>
      <c r="T176" s="14">
        <v>45</v>
      </c>
      <c r="U176" s="14">
        <v>1</v>
      </c>
      <c r="V176" s="15">
        <f t="shared" si="15"/>
        <v>136</v>
      </c>
      <c r="W176" s="14">
        <f t="shared" si="15"/>
        <v>2</v>
      </c>
      <c r="X176" s="14">
        <f t="shared" si="11"/>
        <v>0</v>
      </c>
      <c r="Y176" s="14">
        <f t="shared" si="12"/>
        <v>2</v>
      </c>
      <c r="Z176" s="16">
        <f t="shared" si="13"/>
        <v>2</v>
      </c>
      <c r="AA176" s="14">
        <f t="shared" si="14"/>
        <v>0</v>
      </c>
      <c r="AB176" s="17"/>
      <c r="AC176" s="17"/>
    </row>
    <row r="177" spans="1:29" s="21" customFormat="1" ht="13.5" customHeight="1" x14ac:dyDescent="0.2">
      <c r="A177" s="9">
        <v>7</v>
      </c>
      <c r="B177" s="9">
        <v>9</v>
      </c>
      <c r="C177" s="10">
        <v>7017</v>
      </c>
      <c r="D177" s="9">
        <v>33178216</v>
      </c>
      <c r="E177" s="34" t="s">
        <v>563</v>
      </c>
      <c r="F177" s="10" t="s">
        <v>818</v>
      </c>
      <c r="G177" s="11" t="s">
        <v>302</v>
      </c>
      <c r="H177" s="12" t="s">
        <v>1120</v>
      </c>
      <c r="I177" s="12" t="s">
        <v>1312</v>
      </c>
      <c r="J177" s="12" t="s">
        <v>1525</v>
      </c>
      <c r="K177" s="37" t="s">
        <v>1735</v>
      </c>
      <c r="L177" s="13">
        <v>87</v>
      </c>
      <c r="M177" s="13" t="s">
        <v>1763</v>
      </c>
      <c r="N177" s="14">
        <v>0</v>
      </c>
      <c r="O177" s="14">
        <v>0</v>
      </c>
      <c r="P177" s="14">
        <v>0</v>
      </c>
      <c r="Q177" s="14">
        <v>0</v>
      </c>
      <c r="R177" s="14">
        <v>34</v>
      </c>
      <c r="S177" s="14">
        <v>2</v>
      </c>
      <c r="T177" s="14">
        <v>49</v>
      </c>
      <c r="U177" s="14">
        <v>1</v>
      </c>
      <c r="V177" s="15">
        <f t="shared" si="15"/>
        <v>83</v>
      </c>
      <c r="W177" s="14">
        <f t="shared" si="15"/>
        <v>3</v>
      </c>
      <c r="X177" s="14">
        <f t="shared" si="11"/>
        <v>0</v>
      </c>
      <c r="Y177" s="14">
        <f t="shared" si="12"/>
        <v>2</v>
      </c>
      <c r="Z177" s="16">
        <f t="shared" si="13"/>
        <v>2</v>
      </c>
      <c r="AA177" s="14">
        <f t="shared" si="14"/>
        <v>0</v>
      </c>
      <c r="AB177" s="17"/>
      <c r="AC177" s="17"/>
    </row>
    <row r="178" spans="1:29" s="21" customFormat="1" ht="13.5" customHeight="1" x14ac:dyDescent="0.2">
      <c r="A178" s="9">
        <v>7</v>
      </c>
      <c r="B178" s="9">
        <v>10</v>
      </c>
      <c r="C178" s="10">
        <v>7011</v>
      </c>
      <c r="D178" s="9">
        <v>33144583</v>
      </c>
      <c r="E178" s="34" t="s">
        <v>563</v>
      </c>
      <c r="F178" s="10" t="s">
        <v>819</v>
      </c>
      <c r="G178" s="11" t="s">
        <v>303</v>
      </c>
      <c r="H178" s="12" t="s">
        <v>1121</v>
      </c>
      <c r="I178" s="12" t="s">
        <v>1312</v>
      </c>
      <c r="J178" s="12" t="s">
        <v>1526</v>
      </c>
      <c r="K178" s="37" t="s">
        <v>1735</v>
      </c>
      <c r="L178" s="13">
        <v>170</v>
      </c>
      <c r="M178" s="13" t="s">
        <v>1763</v>
      </c>
      <c r="N178" s="14">
        <v>0</v>
      </c>
      <c r="O178" s="14">
        <v>0</v>
      </c>
      <c r="P178" s="14">
        <v>0</v>
      </c>
      <c r="Q178" s="14">
        <v>0</v>
      </c>
      <c r="R178" s="14">
        <v>84</v>
      </c>
      <c r="S178" s="14">
        <v>0</v>
      </c>
      <c r="T178" s="14">
        <v>84</v>
      </c>
      <c r="U178" s="14">
        <v>3</v>
      </c>
      <c r="V178" s="15">
        <f t="shared" si="15"/>
        <v>168</v>
      </c>
      <c r="W178" s="14">
        <f t="shared" si="15"/>
        <v>3</v>
      </c>
      <c r="X178" s="14">
        <f t="shared" si="11"/>
        <v>0</v>
      </c>
      <c r="Y178" s="14">
        <f t="shared" si="12"/>
        <v>2</v>
      </c>
      <c r="Z178" s="16">
        <f t="shared" si="13"/>
        <v>0</v>
      </c>
      <c r="AA178" s="14">
        <f t="shared" si="14"/>
        <v>0</v>
      </c>
      <c r="AB178" s="17"/>
      <c r="AC178" s="17"/>
    </row>
    <row r="179" spans="1:29" s="21" customFormat="1" ht="13.5" customHeight="1" x14ac:dyDescent="0.2">
      <c r="A179" s="9">
        <v>7</v>
      </c>
      <c r="B179" s="9">
        <v>11</v>
      </c>
      <c r="C179" s="10">
        <v>7018</v>
      </c>
      <c r="D179" s="9">
        <v>33152373</v>
      </c>
      <c r="E179" s="34" t="s">
        <v>564</v>
      </c>
      <c r="F179" s="10" t="s">
        <v>820</v>
      </c>
      <c r="G179" s="11" t="s">
        <v>304</v>
      </c>
      <c r="H179" s="12" t="s">
        <v>1122</v>
      </c>
      <c r="I179" s="12" t="s">
        <v>1313</v>
      </c>
      <c r="J179" s="12" t="s">
        <v>1527</v>
      </c>
      <c r="K179" s="37" t="s">
        <v>1736</v>
      </c>
      <c r="L179" s="13">
        <v>155</v>
      </c>
      <c r="M179" s="13" t="s">
        <v>1763</v>
      </c>
      <c r="N179" s="14">
        <v>0</v>
      </c>
      <c r="O179" s="14">
        <v>0</v>
      </c>
      <c r="P179" s="14">
        <v>0</v>
      </c>
      <c r="Q179" s="14">
        <v>0</v>
      </c>
      <c r="R179" s="14">
        <v>61</v>
      </c>
      <c r="S179" s="14">
        <v>1</v>
      </c>
      <c r="T179" s="14">
        <v>93</v>
      </c>
      <c r="U179" s="14">
        <v>1</v>
      </c>
      <c r="V179" s="15">
        <f t="shared" si="15"/>
        <v>154</v>
      </c>
      <c r="W179" s="14">
        <f t="shared" si="15"/>
        <v>2</v>
      </c>
      <c r="X179" s="14">
        <f t="shared" si="11"/>
        <v>0</v>
      </c>
      <c r="Y179" s="14">
        <f t="shared" si="12"/>
        <v>2</v>
      </c>
      <c r="Z179" s="16">
        <f t="shared" si="13"/>
        <v>0</v>
      </c>
      <c r="AA179" s="14">
        <f t="shared" si="14"/>
        <v>-1</v>
      </c>
      <c r="AB179" s="17"/>
      <c r="AC179" s="17"/>
    </row>
    <row r="180" spans="1:29" s="21" customFormat="1" ht="13.5" customHeight="1" x14ac:dyDescent="0.2">
      <c r="A180" s="9">
        <v>7</v>
      </c>
      <c r="B180" s="9">
        <v>12</v>
      </c>
      <c r="C180" s="10">
        <v>7008</v>
      </c>
      <c r="D180" s="9">
        <v>33123110</v>
      </c>
      <c r="E180" s="34" t="s">
        <v>565</v>
      </c>
      <c r="F180" s="10" t="s">
        <v>821</v>
      </c>
      <c r="G180" s="11" t="s">
        <v>305</v>
      </c>
      <c r="H180" s="12" t="s">
        <v>1123</v>
      </c>
      <c r="I180" s="12" t="s">
        <v>1314</v>
      </c>
      <c r="J180" s="12" t="s">
        <v>1528</v>
      </c>
      <c r="K180" s="37" t="s">
        <v>1737</v>
      </c>
      <c r="L180" s="13">
        <v>60</v>
      </c>
      <c r="M180" s="13" t="s">
        <v>1763</v>
      </c>
      <c r="N180" s="14">
        <v>0</v>
      </c>
      <c r="O180" s="14">
        <v>0</v>
      </c>
      <c r="P180" s="14">
        <v>0</v>
      </c>
      <c r="Q180" s="14">
        <v>0</v>
      </c>
      <c r="R180" s="14">
        <v>18</v>
      </c>
      <c r="S180" s="14">
        <v>0</v>
      </c>
      <c r="T180" s="14">
        <v>42</v>
      </c>
      <c r="U180" s="14">
        <v>0</v>
      </c>
      <c r="V180" s="15">
        <f t="shared" si="15"/>
        <v>60</v>
      </c>
      <c r="W180" s="14">
        <f t="shared" si="15"/>
        <v>0</v>
      </c>
      <c r="X180" s="14">
        <f t="shared" si="11"/>
        <v>0</v>
      </c>
      <c r="Y180" s="14">
        <f t="shared" si="12"/>
        <v>0</v>
      </c>
      <c r="Z180" s="16">
        <f t="shared" si="13"/>
        <v>0</v>
      </c>
      <c r="AA180" s="14">
        <f t="shared" si="14"/>
        <v>0</v>
      </c>
      <c r="AB180" s="17"/>
      <c r="AC180" s="17"/>
    </row>
    <row r="181" spans="1:29" s="21" customFormat="1" ht="13.5" customHeight="1" x14ac:dyDescent="0.2">
      <c r="A181" s="9">
        <v>7</v>
      </c>
      <c r="B181" s="9">
        <v>13</v>
      </c>
      <c r="C181" s="10">
        <v>7022</v>
      </c>
      <c r="D181" s="9">
        <v>33191638</v>
      </c>
      <c r="E181" s="34" t="s">
        <v>566</v>
      </c>
      <c r="F181" s="10" t="s">
        <v>822</v>
      </c>
      <c r="G181" s="11" t="s">
        <v>82</v>
      </c>
      <c r="H181" s="12" t="s">
        <v>1124</v>
      </c>
      <c r="I181" s="12" t="s">
        <v>1315</v>
      </c>
      <c r="J181" s="12" t="s">
        <v>1529</v>
      </c>
      <c r="K181" s="37" t="s">
        <v>1738</v>
      </c>
      <c r="L181" s="13">
        <v>154</v>
      </c>
      <c r="M181" s="13" t="s">
        <v>1763</v>
      </c>
      <c r="N181" s="14">
        <v>0</v>
      </c>
      <c r="O181" s="14">
        <v>0</v>
      </c>
      <c r="P181" s="14">
        <v>0</v>
      </c>
      <c r="Q181" s="14">
        <v>0</v>
      </c>
      <c r="R181" s="14">
        <v>88</v>
      </c>
      <c r="S181" s="14">
        <v>3</v>
      </c>
      <c r="T181" s="14">
        <v>64</v>
      </c>
      <c r="U181" s="14">
        <v>1</v>
      </c>
      <c r="V181" s="15">
        <f t="shared" si="15"/>
        <v>152</v>
      </c>
      <c r="W181" s="14">
        <f t="shared" si="15"/>
        <v>4</v>
      </c>
      <c r="X181" s="14">
        <f t="shared" si="11"/>
        <v>0</v>
      </c>
      <c r="Y181" s="14">
        <f t="shared" si="12"/>
        <v>2</v>
      </c>
      <c r="Z181" s="16">
        <f t="shared" si="13"/>
        <v>0</v>
      </c>
      <c r="AA181" s="14">
        <f t="shared" si="14"/>
        <v>0</v>
      </c>
      <c r="AB181" s="17"/>
      <c r="AC181" s="17" t="s">
        <v>48</v>
      </c>
    </row>
    <row r="182" spans="1:29" s="21" customFormat="1" ht="13.5" customHeight="1" x14ac:dyDescent="0.2">
      <c r="A182" s="9">
        <v>7</v>
      </c>
      <c r="B182" s="9">
        <v>14</v>
      </c>
      <c r="C182" s="10">
        <v>7024</v>
      </c>
      <c r="D182" s="9">
        <v>33191646</v>
      </c>
      <c r="E182" s="34" t="s">
        <v>567</v>
      </c>
      <c r="F182" s="10" t="s">
        <v>823</v>
      </c>
      <c r="G182" s="11" t="s">
        <v>306</v>
      </c>
      <c r="H182" s="12" t="s">
        <v>83</v>
      </c>
      <c r="I182" s="12" t="s">
        <v>1316</v>
      </c>
      <c r="J182" s="12" t="s">
        <v>1530</v>
      </c>
      <c r="K182" s="37" t="s">
        <v>1739</v>
      </c>
      <c r="L182" s="13">
        <v>151</v>
      </c>
      <c r="M182" s="13" t="s">
        <v>1763</v>
      </c>
      <c r="N182" s="14">
        <v>0</v>
      </c>
      <c r="O182" s="14">
        <v>0</v>
      </c>
      <c r="P182" s="14">
        <v>0</v>
      </c>
      <c r="Q182" s="14">
        <v>0</v>
      </c>
      <c r="R182" s="14">
        <v>73</v>
      </c>
      <c r="S182" s="14">
        <v>0</v>
      </c>
      <c r="T182" s="14">
        <v>77</v>
      </c>
      <c r="U182" s="14">
        <v>0</v>
      </c>
      <c r="V182" s="15">
        <f t="shared" si="15"/>
        <v>150</v>
      </c>
      <c r="W182" s="14">
        <f t="shared" si="15"/>
        <v>0</v>
      </c>
      <c r="X182" s="14">
        <f t="shared" si="11"/>
        <v>0</v>
      </c>
      <c r="Y182" s="14">
        <f t="shared" si="12"/>
        <v>0</v>
      </c>
      <c r="Z182" s="16">
        <f t="shared" si="13"/>
        <v>1</v>
      </c>
      <c r="AA182" s="14">
        <f t="shared" si="14"/>
        <v>0</v>
      </c>
      <c r="AB182" s="17"/>
      <c r="AC182" s="17" t="s">
        <v>84</v>
      </c>
    </row>
    <row r="183" spans="1:29" s="21" customFormat="1" ht="13.5" customHeight="1" x14ac:dyDescent="0.2">
      <c r="A183" s="9">
        <v>7</v>
      </c>
      <c r="B183" s="9">
        <v>15</v>
      </c>
      <c r="C183" s="10">
        <v>7013</v>
      </c>
      <c r="D183" s="9">
        <v>33160252</v>
      </c>
      <c r="E183" s="34" t="s">
        <v>527</v>
      </c>
      <c r="F183" s="10" t="s">
        <v>824</v>
      </c>
      <c r="G183" s="11" t="s">
        <v>307</v>
      </c>
      <c r="H183" s="12" t="s">
        <v>1125</v>
      </c>
      <c r="I183" s="12" t="s">
        <v>1317</v>
      </c>
      <c r="J183" s="12" t="s">
        <v>1531</v>
      </c>
      <c r="K183" s="37" t="s">
        <v>1731</v>
      </c>
      <c r="L183" s="13">
        <v>207</v>
      </c>
      <c r="M183" s="13" t="s">
        <v>1763</v>
      </c>
      <c r="N183" s="14">
        <v>22</v>
      </c>
      <c r="O183" s="14">
        <v>0</v>
      </c>
      <c r="P183" s="14">
        <v>44</v>
      </c>
      <c r="Q183" s="14">
        <v>0</v>
      </c>
      <c r="R183" s="14">
        <v>69</v>
      </c>
      <c r="S183" s="14">
        <v>0</v>
      </c>
      <c r="T183" s="14">
        <v>70</v>
      </c>
      <c r="U183" s="14">
        <v>1</v>
      </c>
      <c r="V183" s="15">
        <f t="shared" si="15"/>
        <v>205</v>
      </c>
      <c r="W183" s="14">
        <f t="shared" si="15"/>
        <v>1</v>
      </c>
      <c r="X183" s="14">
        <f t="shared" si="11"/>
        <v>0</v>
      </c>
      <c r="Y183" s="14">
        <f t="shared" si="12"/>
        <v>2</v>
      </c>
      <c r="Z183" s="16">
        <f t="shared" si="13"/>
        <v>0</v>
      </c>
      <c r="AA183" s="14">
        <f t="shared" si="14"/>
        <v>0</v>
      </c>
      <c r="AB183" s="17"/>
      <c r="AC183" s="17"/>
    </row>
    <row r="184" spans="1:29" s="21" customFormat="1" ht="13.5" customHeight="1" x14ac:dyDescent="0.2">
      <c r="A184" s="9">
        <v>7</v>
      </c>
      <c r="B184" s="9">
        <v>16</v>
      </c>
      <c r="C184" s="10">
        <v>7020</v>
      </c>
      <c r="D184" s="9">
        <v>33184178</v>
      </c>
      <c r="E184" s="34" t="s">
        <v>568</v>
      </c>
      <c r="F184" s="10" t="s">
        <v>825</v>
      </c>
      <c r="G184" s="11" t="s">
        <v>308</v>
      </c>
      <c r="H184" s="12" t="s">
        <v>1126</v>
      </c>
      <c r="I184" s="12" t="s">
        <v>1318</v>
      </c>
      <c r="J184" s="12" t="s">
        <v>1532</v>
      </c>
      <c r="K184" s="37" t="s">
        <v>1736</v>
      </c>
      <c r="L184" s="13">
        <v>80</v>
      </c>
      <c r="M184" s="13" t="s">
        <v>1764</v>
      </c>
      <c r="N184" s="14">
        <v>0</v>
      </c>
      <c r="O184" s="14">
        <v>0</v>
      </c>
      <c r="P184" s="14">
        <v>11</v>
      </c>
      <c r="Q184" s="14">
        <v>0</v>
      </c>
      <c r="R184" s="14">
        <v>17</v>
      </c>
      <c r="S184" s="14">
        <v>0</v>
      </c>
      <c r="T184" s="14">
        <v>50</v>
      </c>
      <c r="U184" s="14">
        <v>2</v>
      </c>
      <c r="V184" s="15">
        <f t="shared" si="15"/>
        <v>78</v>
      </c>
      <c r="W184" s="14">
        <f t="shared" si="15"/>
        <v>2</v>
      </c>
      <c r="X184" s="14">
        <f t="shared" si="11"/>
        <v>0</v>
      </c>
      <c r="Y184" s="14">
        <f t="shared" si="12"/>
        <v>2</v>
      </c>
      <c r="Z184" s="16">
        <f t="shared" si="13"/>
        <v>0</v>
      </c>
      <c r="AA184" s="14">
        <f t="shared" si="14"/>
        <v>0</v>
      </c>
      <c r="AB184" s="17"/>
      <c r="AC184" s="17"/>
    </row>
    <row r="185" spans="1:29" s="21" customFormat="1" ht="13.5" customHeight="1" x14ac:dyDescent="0.2">
      <c r="A185" s="9">
        <v>7</v>
      </c>
      <c r="B185" s="9">
        <v>17</v>
      </c>
      <c r="C185" s="10">
        <v>7019</v>
      </c>
      <c r="D185" s="9">
        <v>33165360</v>
      </c>
      <c r="E185" s="34" t="s">
        <v>569</v>
      </c>
      <c r="F185" s="10" t="s">
        <v>826</v>
      </c>
      <c r="G185" s="11" t="s">
        <v>309</v>
      </c>
      <c r="H185" s="12" t="s">
        <v>1127</v>
      </c>
      <c r="I185" s="12" t="s">
        <v>1319</v>
      </c>
      <c r="J185" s="12" t="s">
        <v>1533</v>
      </c>
      <c r="K185" s="37" t="s">
        <v>1736</v>
      </c>
      <c r="L185" s="13">
        <v>195</v>
      </c>
      <c r="M185" s="13" t="s">
        <v>1763</v>
      </c>
      <c r="N185" s="14">
        <v>0</v>
      </c>
      <c r="O185" s="14">
        <v>0</v>
      </c>
      <c r="P185" s="14">
        <v>0</v>
      </c>
      <c r="Q185" s="14">
        <v>0</v>
      </c>
      <c r="R185" s="14">
        <v>93</v>
      </c>
      <c r="S185" s="14">
        <v>1</v>
      </c>
      <c r="T185" s="14">
        <v>98</v>
      </c>
      <c r="U185" s="14">
        <v>1</v>
      </c>
      <c r="V185" s="15">
        <f t="shared" si="15"/>
        <v>191</v>
      </c>
      <c r="W185" s="14">
        <f t="shared" si="15"/>
        <v>2</v>
      </c>
      <c r="X185" s="14">
        <f t="shared" si="11"/>
        <v>0</v>
      </c>
      <c r="Y185" s="14">
        <f t="shared" si="12"/>
        <v>2</v>
      </c>
      <c r="Z185" s="16">
        <f t="shared" si="13"/>
        <v>2</v>
      </c>
      <c r="AA185" s="14">
        <f t="shared" si="14"/>
        <v>0</v>
      </c>
      <c r="AB185" s="17"/>
      <c r="AC185" s="17"/>
    </row>
    <row r="186" spans="1:29" s="21" customFormat="1" ht="13.5" customHeight="1" x14ac:dyDescent="0.2">
      <c r="A186" s="9">
        <v>7</v>
      </c>
      <c r="B186" s="9">
        <v>18</v>
      </c>
      <c r="C186" s="10">
        <v>7007</v>
      </c>
      <c r="D186" s="9">
        <v>33121028</v>
      </c>
      <c r="E186" s="34" t="s">
        <v>570</v>
      </c>
      <c r="F186" s="10" t="s">
        <v>827</v>
      </c>
      <c r="G186" s="11" t="s">
        <v>310</v>
      </c>
      <c r="H186" s="12" t="s">
        <v>1128</v>
      </c>
      <c r="I186" s="12" t="s">
        <v>1320</v>
      </c>
      <c r="J186" s="12" t="s">
        <v>1534</v>
      </c>
      <c r="K186" s="37" t="s">
        <v>1730</v>
      </c>
      <c r="L186" s="13">
        <v>120</v>
      </c>
      <c r="M186" s="13" t="s">
        <v>1763</v>
      </c>
      <c r="N186" s="14">
        <v>0</v>
      </c>
      <c r="O186" s="14">
        <v>0</v>
      </c>
      <c r="P186" s="14">
        <v>0</v>
      </c>
      <c r="Q186" s="14">
        <v>0</v>
      </c>
      <c r="R186" s="14">
        <v>59</v>
      </c>
      <c r="S186" s="14">
        <v>0</v>
      </c>
      <c r="T186" s="14">
        <v>59</v>
      </c>
      <c r="U186" s="14">
        <v>1</v>
      </c>
      <c r="V186" s="15">
        <f t="shared" si="15"/>
        <v>118</v>
      </c>
      <c r="W186" s="14">
        <f t="shared" si="15"/>
        <v>1</v>
      </c>
      <c r="X186" s="14">
        <f t="shared" si="11"/>
        <v>0</v>
      </c>
      <c r="Y186" s="14">
        <f t="shared" si="12"/>
        <v>2</v>
      </c>
      <c r="Z186" s="16">
        <f t="shared" si="13"/>
        <v>0</v>
      </c>
      <c r="AA186" s="14">
        <f t="shared" si="14"/>
        <v>0</v>
      </c>
      <c r="AB186" s="17"/>
      <c r="AC186" s="17"/>
    </row>
    <row r="187" spans="1:29" s="21" customFormat="1" ht="13.5" customHeight="1" x14ac:dyDescent="0.2">
      <c r="A187" s="9">
        <v>7</v>
      </c>
      <c r="B187" s="9">
        <v>19</v>
      </c>
      <c r="C187" s="10">
        <v>7025</v>
      </c>
      <c r="D187" s="9">
        <v>33193177</v>
      </c>
      <c r="E187" s="34" t="s">
        <v>571</v>
      </c>
      <c r="F187" s="10" t="s">
        <v>828</v>
      </c>
      <c r="G187" s="11" t="s">
        <v>311</v>
      </c>
      <c r="H187" s="12" t="s">
        <v>1129</v>
      </c>
      <c r="I187" s="12" t="s">
        <v>1129</v>
      </c>
      <c r="J187" s="12" t="s">
        <v>1535</v>
      </c>
      <c r="K187" s="37" t="s">
        <v>1731</v>
      </c>
      <c r="L187" s="13">
        <v>100</v>
      </c>
      <c r="M187" s="13" t="s">
        <v>1765</v>
      </c>
      <c r="N187" s="14">
        <v>0</v>
      </c>
      <c r="O187" s="14">
        <v>0</v>
      </c>
      <c r="P187" s="14">
        <v>0</v>
      </c>
      <c r="Q187" s="14">
        <v>0</v>
      </c>
      <c r="R187" s="14">
        <v>49</v>
      </c>
      <c r="S187" s="14">
        <v>1</v>
      </c>
      <c r="T187" s="14">
        <v>50</v>
      </c>
      <c r="U187" s="14">
        <v>0</v>
      </c>
      <c r="V187" s="15">
        <f t="shared" si="15"/>
        <v>99</v>
      </c>
      <c r="W187" s="14">
        <f t="shared" si="15"/>
        <v>1</v>
      </c>
      <c r="X187" s="14">
        <f t="shared" si="11"/>
        <v>0</v>
      </c>
      <c r="Y187" s="14">
        <f t="shared" si="12"/>
        <v>2</v>
      </c>
      <c r="Z187" s="16">
        <f t="shared" si="13"/>
        <v>0</v>
      </c>
      <c r="AA187" s="14">
        <f t="shared" si="14"/>
        <v>-1</v>
      </c>
      <c r="AB187" s="17"/>
      <c r="AC187" s="17" t="s">
        <v>61</v>
      </c>
    </row>
    <row r="188" spans="1:29" s="21" customFormat="1" ht="13.5" customHeight="1" x14ac:dyDescent="0.2">
      <c r="A188" s="9">
        <v>7</v>
      </c>
      <c r="B188" s="9">
        <v>20</v>
      </c>
      <c r="C188" s="10">
        <v>7034</v>
      </c>
      <c r="D188" s="9">
        <v>33194890</v>
      </c>
      <c r="E188" s="34" t="s">
        <v>572</v>
      </c>
      <c r="F188" s="10" t="s">
        <v>829</v>
      </c>
      <c r="G188" s="11" t="s">
        <v>312</v>
      </c>
      <c r="H188" s="12" t="s">
        <v>85</v>
      </c>
      <c r="I188" s="12" t="s">
        <v>85</v>
      </c>
      <c r="J188" s="12" t="s">
        <v>1536</v>
      </c>
      <c r="K188" s="37" t="s">
        <v>1736</v>
      </c>
      <c r="L188" s="13">
        <v>76</v>
      </c>
      <c r="M188" s="13" t="s">
        <v>1764</v>
      </c>
      <c r="N188" s="14">
        <v>0</v>
      </c>
      <c r="O188" s="14">
        <v>0</v>
      </c>
      <c r="P188" s="14">
        <v>21</v>
      </c>
      <c r="Q188" s="14">
        <v>0</v>
      </c>
      <c r="R188" s="14">
        <v>28</v>
      </c>
      <c r="S188" s="14">
        <v>0</v>
      </c>
      <c r="T188" s="14">
        <v>28</v>
      </c>
      <c r="U188" s="14">
        <v>0</v>
      </c>
      <c r="V188" s="15">
        <f t="shared" si="15"/>
        <v>77</v>
      </c>
      <c r="W188" s="14">
        <f t="shared" si="15"/>
        <v>0</v>
      </c>
      <c r="X188" s="14">
        <f t="shared" si="11"/>
        <v>0</v>
      </c>
      <c r="Y188" s="14">
        <f t="shared" si="12"/>
        <v>0</v>
      </c>
      <c r="Z188" s="16">
        <f t="shared" si="13"/>
        <v>0</v>
      </c>
      <c r="AA188" s="14">
        <f t="shared" si="14"/>
        <v>-1</v>
      </c>
      <c r="AB188" s="17"/>
      <c r="AC188" s="17" t="s">
        <v>52</v>
      </c>
    </row>
    <row r="189" spans="1:29" s="21" customFormat="1" ht="13.5" customHeight="1" x14ac:dyDescent="0.2">
      <c r="A189" s="9">
        <v>7</v>
      </c>
      <c r="B189" s="9">
        <v>21</v>
      </c>
      <c r="C189" s="10">
        <v>7027</v>
      </c>
      <c r="D189" s="9">
        <v>33194912</v>
      </c>
      <c r="E189" s="34" t="s">
        <v>573</v>
      </c>
      <c r="F189" s="10" t="s">
        <v>830</v>
      </c>
      <c r="G189" s="11" t="s">
        <v>313</v>
      </c>
      <c r="H189" s="12" t="s">
        <v>86</v>
      </c>
      <c r="I189" s="12" t="s">
        <v>87</v>
      </c>
      <c r="J189" s="12" t="s">
        <v>1537</v>
      </c>
      <c r="K189" s="37" t="s">
        <v>1738</v>
      </c>
      <c r="L189" s="13">
        <v>202</v>
      </c>
      <c r="M189" s="13" t="s">
        <v>1765</v>
      </c>
      <c r="N189" s="14">
        <v>15</v>
      </c>
      <c r="O189" s="14">
        <v>0</v>
      </c>
      <c r="P189" s="14">
        <v>46</v>
      </c>
      <c r="Q189" s="14">
        <v>0</v>
      </c>
      <c r="R189" s="14">
        <v>70</v>
      </c>
      <c r="S189" s="14">
        <v>0</v>
      </c>
      <c r="T189" s="14">
        <v>71</v>
      </c>
      <c r="U189" s="14">
        <v>0</v>
      </c>
      <c r="V189" s="15">
        <f t="shared" si="15"/>
        <v>202</v>
      </c>
      <c r="W189" s="14">
        <f t="shared" si="15"/>
        <v>0</v>
      </c>
      <c r="X189" s="14">
        <f t="shared" si="11"/>
        <v>0</v>
      </c>
      <c r="Y189" s="14">
        <f t="shared" si="12"/>
        <v>0</v>
      </c>
      <c r="Z189" s="16">
        <f t="shared" si="13"/>
        <v>0</v>
      </c>
      <c r="AA189" s="14">
        <f t="shared" si="14"/>
        <v>0</v>
      </c>
      <c r="AB189" s="17"/>
      <c r="AC189" s="17" t="s">
        <v>52</v>
      </c>
    </row>
    <row r="190" spans="1:29" s="21" customFormat="1" ht="13.5" customHeight="1" x14ac:dyDescent="0.2">
      <c r="A190" s="9">
        <v>7</v>
      </c>
      <c r="B190" s="9">
        <v>22</v>
      </c>
      <c r="C190" s="10">
        <v>7029</v>
      </c>
      <c r="D190" s="9">
        <v>33194696</v>
      </c>
      <c r="E190" s="34" t="s">
        <v>567</v>
      </c>
      <c r="F190" s="10" t="s">
        <v>831</v>
      </c>
      <c r="G190" s="11" t="s">
        <v>314</v>
      </c>
      <c r="H190" s="12" t="s">
        <v>88</v>
      </c>
      <c r="I190" s="12" t="s">
        <v>89</v>
      </c>
      <c r="J190" s="12" t="s">
        <v>1538</v>
      </c>
      <c r="K190" s="37" t="s">
        <v>1732</v>
      </c>
      <c r="L190" s="13">
        <v>130</v>
      </c>
      <c r="M190" s="13" t="s">
        <v>1765</v>
      </c>
      <c r="N190" s="14">
        <v>7</v>
      </c>
      <c r="O190" s="14">
        <v>0</v>
      </c>
      <c r="P190" s="14">
        <v>49</v>
      </c>
      <c r="Q190" s="14">
        <v>0</v>
      </c>
      <c r="R190" s="14">
        <v>49</v>
      </c>
      <c r="S190" s="14">
        <v>2</v>
      </c>
      <c r="T190" s="14">
        <v>22</v>
      </c>
      <c r="U190" s="14">
        <v>1</v>
      </c>
      <c r="V190" s="15">
        <f t="shared" si="15"/>
        <v>127</v>
      </c>
      <c r="W190" s="14">
        <f t="shared" si="15"/>
        <v>3</v>
      </c>
      <c r="X190" s="14">
        <f t="shared" si="11"/>
        <v>0</v>
      </c>
      <c r="Y190" s="14">
        <f t="shared" si="12"/>
        <v>2</v>
      </c>
      <c r="Z190" s="16">
        <f t="shared" si="13"/>
        <v>1</v>
      </c>
      <c r="AA190" s="14">
        <f t="shared" si="14"/>
        <v>0</v>
      </c>
      <c r="AB190" s="17"/>
      <c r="AC190" s="17" t="s">
        <v>52</v>
      </c>
    </row>
    <row r="191" spans="1:29" s="21" customFormat="1" ht="13.5" customHeight="1" x14ac:dyDescent="0.2">
      <c r="A191" s="9">
        <v>7</v>
      </c>
      <c r="B191" s="9">
        <v>23</v>
      </c>
      <c r="C191" s="10">
        <v>7030</v>
      </c>
      <c r="D191" s="9">
        <v>33194947</v>
      </c>
      <c r="E191" s="34" t="s">
        <v>567</v>
      </c>
      <c r="F191" s="10" t="s">
        <v>832</v>
      </c>
      <c r="G191" s="11" t="s">
        <v>315</v>
      </c>
      <c r="H191" s="12" t="s">
        <v>90</v>
      </c>
      <c r="I191" s="12" t="s">
        <v>89</v>
      </c>
      <c r="J191" s="12" t="s">
        <v>1539</v>
      </c>
      <c r="K191" s="37" t="s">
        <v>1740</v>
      </c>
      <c r="L191" s="13">
        <v>128</v>
      </c>
      <c r="M191" s="13" t="s">
        <v>1765</v>
      </c>
      <c r="N191" s="14">
        <v>11</v>
      </c>
      <c r="O191" s="14">
        <v>0</v>
      </c>
      <c r="P191" s="14">
        <v>37</v>
      </c>
      <c r="Q191" s="14">
        <v>0</v>
      </c>
      <c r="R191" s="14">
        <v>41</v>
      </c>
      <c r="S191" s="14">
        <v>0</v>
      </c>
      <c r="T191" s="14">
        <v>38</v>
      </c>
      <c r="U191" s="14">
        <v>0</v>
      </c>
      <c r="V191" s="15">
        <f t="shared" si="15"/>
        <v>127</v>
      </c>
      <c r="W191" s="14">
        <f t="shared" si="15"/>
        <v>0</v>
      </c>
      <c r="X191" s="14">
        <f t="shared" si="11"/>
        <v>0</v>
      </c>
      <c r="Y191" s="14">
        <f t="shared" si="12"/>
        <v>0</v>
      </c>
      <c r="Z191" s="16">
        <f t="shared" si="13"/>
        <v>1</v>
      </c>
      <c r="AA191" s="14">
        <f t="shared" si="14"/>
        <v>0</v>
      </c>
      <c r="AB191" s="17"/>
      <c r="AC191" s="17" t="s">
        <v>52</v>
      </c>
    </row>
    <row r="192" spans="1:29" s="21" customFormat="1" ht="13.5" customHeight="1" x14ac:dyDescent="0.2">
      <c r="A192" s="9">
        <v>7</v>
      </c>
      <c r="B192" s="9">
        <v>24</v>
      </c>
      <c r="C192" s="10">
        <v>7031</v>
      </c>
      <c r="D192" s="9">
        <v>33195064</v>
      </c>
      <c r="E192" s="34" t="s">
        <v>559</v>
      </c>
      <c r="F192" s="10" t="s">
        <v>833</v>
      </c>
      <c r="G192" s="11" t="s">
        <v>316</v>
      </c>
      <c r="H192" s="12" t="s">
        <v>91</v>
      </c>
      <c r="I192" s="12" t="s">
        <v>92</v>
      </c>
      <c r="J192" s="12" t="s">
        <v>1540</v>
      </c>
      <c r="K192" s="37" t="s">
        <v>1736</v>
      </c>
      <c r="L192" s="13">
        <v>239</v>
      </c>
      <c r="M192" s="13" t="s">
        <v>1765</v>
      </c>
      <c r="N192" s="14">
        <v>21</v>
      </c>
      <c r="O192" s="14">
        <v>0</v>
      </c>
      <c r="P192" s="14">
        <v>57</v>
      </c>
      <c r="Q192" s="14">
        <v>0</v>
      </c>
      <c r="R192" s="14">
        <v>70</v>
      </c>
      <c r="S192" s="14">
        <v>1</v>
      </c>
      <c r="T192" s="14">
        <v>91</v>
      </c>
      <c r="U192" s="14">
        <v>7</v>
      </c>
      <c r="V192" s="15">
        <f t="shared" si="15"/>
        <v>239</v>
      </c>
      <c r="W192" s="14">
        <f t="shared" si="15"/>
        <v>8</v>
      </c>
      <c r="X192" s="14">
        <f t="shared" si="11"/>
        <v>0</v>
      </c>
      <c r="Y192" s="14">
        <f t="shared" si="12"/>
        <v>2</v>
      </c>
      <c r="Z192" s="16">
        <f t="shared" si="13"/>
        <v>0</v>
      </c>
      <c r="AA192" s="14">
        <f t="shared" si="14"/>
        <v>-2</v>
      </c>
      <c r="AB192" s="17"/>
      <c r="AC192" s="17" t="s">
        <v>52</v>
      </c>
    </row>
    <row r="193" spans="1:29" s="21" customFormat="1" ht="13.5" customHeight="1" x14ac:dyDescent="0.2">
      <c r="A193" s="9">
        <v>7</v>
      </c>
      <c r="B193" s="9">
        <v>25</v>
      </c>
      <c r="C193" s="10">
        <v>7032</v>
      </c>
      <c r="D193" s="9">
        <v>33195072</v>
      </c>
      <c r="E193" s="34" t="s">
        <v>559</v>
      </c>
      <c r="F193" s="10" t="s">
        <v>834</v>
      </c>
      <c r="G193" s="11" t="s">
        <v>317</v>
      </c>
      <c r="H193" s="12" t="s">
        <v>93</v>
      </c>
      <c r="I193" s="12" t="s">
        <v>94</v>
      </c>
      <c r="J193" s="12" t="s">
        <v>1541</v>
      </c>
      <c r="K193" s="37" t="s">
        <v>1736</v>
      </c>
      <c r="L193" s="13">
        <v>393</v>
      </c>
      <c r="M193" s="13" t="s">
        <v>1765</v>
      </c>
      <c r="N193" s="14">
        <v>30</v>
      </c>
      <c r="O193" s="14">
        <v>0</v>
      </c>
      <c r="P193" s="14">
        <v>100</v>
      </c>
      <c r="Q193" s="14">
        <v>0</v>
      </c>
      <c r="R193" s="14">
        <v>99</v>
      </c>
      <c r="S193" s="14">
        <v>1</v>
      </c>
      <c r="T193" s="14">
        <v>159</v>
      </c>
      <c r="U193" s="14">
        <v>5</v>
      </c>
      <c r="V193" s="15">
        <f t="shared" si="15"/>
        <v>388</v>
      </c>
      <c r="W193" s="14">
        <f t="shared" si="15"/>
        <v>6</v>
      </c>
      <c r="X193" s="14">
        <f t="shared" si="11"/>
        <v>0</v>
      </c>
      <c r="Y193" s="14">
        <f t="shared" si="12"/>
        <v>2</v>
      </c>
      <c r="Z193" s="16">
        <f t="shared" si="13"/>
        <v>3</v>
      </c>
      <c r="AA193" s="14">
        <f t="shared" si="14"/>
        <v>0</v>
      </c>
      <c r="AB193" s="17"/>
      <c r="AC193" s="17" t="s">
        <v>52</v>
      </c>
    </row>
    <row r="194" spans="1:29" s="21" customFormat="1" ht="13.5" customHeight="1" x14ac:dyDescent="0.2">
      <c r="A194" s="9">
        <v>7</v>
      </c>
      <c r="B194" s="9">
        <v>26</v>
      </c>
      <c r="C194" s="10">
        <v>7033</v>
      </c>
      <c r="D194" s="9">
        <v>33194726</v>
      </c>
      <c r="E194" s="34" t="s">
        <v>559</v>
      </c>
      <c r="F194" s="10" t="s">
        <v>835</v>
      </c>
      <c r="G194" s="11" t="s">
        <v>318</v>
      </c>
      <c r="H194" s="12" t="s">
        <v>95</v>
      </c>
      <c r="I194" s="12" t="s">
        <v>94</v>
      </c>
      <c r="J194" s="12" t="s">
        <v>1542</v>
      </c>
      <c r="K194" s="37" t="s">
        <v>1736</v>
      </c>
      <c r="L194" s="13">
        <v>179</v>
      </c>
      <c r="M194" s="13" t="s">
        <v>1765</v>
      </c>
      <c r="N194" s="14">
        <v>18</v>
      </c>
      <c r="O194" s="14">
        <v>1</v>
      </c>
      <c r="P194" s="14">
        <v>53</v>
      </c>
      <c r="Q194" s="14">
        <v>0</v>
      </c>
      <c r="R194" s="14">
        <v>58</v>
      </c>
      <c r="S194" s="14">
        <v>1</v>
      </c>
      <c r="T194" s="14">
        <v>44</v>
      </c>
      <c r="U194" s="14">
        <v>1</v>
      </c>
      <c r="V194" s="15">
        <f t="shared" si="15"/>
        <v>173</v>
      </c>
      <c r="W194" s="14">
        <f t="shared" si="15"/>
        <v>3</v>
      </c>
      <c r="X194" s="14">
        <f t="shared" si="11"/>
        <v>2</v>
      </c>
      <c r="Y194" s="14">
        <f t="shared" si="12"/>
        <v>2</v>
      </c>
      <c r="Z194" s="16">
        <f t="shared" si="13"/>
        <v>2</v>
      </c>
      <c r="AA194" s="14">
        <f t="shared" si="14"/>
        <v>0</v>
      </c>
      <c r="AB194" s="17"/>
      <c r="AC194" s="17" t="s">
        <v>52</v>
      </c>
    </row>
    <row r="195" spans="1:29" s="21" customFormat="1" ht="13.5" customHeight="1" x14ac:dyDescent="0.2">
      <c r="A195" s="9">
        <v>7</v>
      </c>
      <c r="B195" s="9">
        <v>27</v>
      </c>
      <c r="C195" s="10">
        <v>7035</v>
      </c>
      <c r="D195" s="9">
        <v>33195080</v>
      </c>
      <c r="E195" s="34" t="s">
        <v>545</v>
      </c>
      <c r="F195" s="10" t="s">
        <v>836</v>
      </c>
      <c r="G195" s="11" t="s">
        <v>319</v>
      </c>
      <c r="H195" s="12" t="s">
        <v>962</v>
      </c>
      <c r="I195" s="12" t="s">
        <v>78</v>
      </c>
      <c r="J195" s="12" t="s">
        <v>1543</v>
      </c>
      <c r="K195" s="37" t="s">
        <v>1736</v>
      </c>
      <c r="L195" s="13">
        <v>219</v>
      </c>
      <c r="M195" s="13" t="s">
        <v>1764</v>
      </c>
      <c r="N195" s="14">
        <v>0</v>
      </c>
      <c r="O195" s="14">
        <v>0</v>
      </c>
      <c r="P195" s="14">
        <v>0</v>
      </c>
      <c r="Q195" s="14">
        <v>0</v>
      </c>
      <c r="R195" s="14">
        <v>130</v>
      </c>
      <c r="S195" s="14">
        <v>1</v>
      </c>
      <c r="T195" s="14">
        <v>85</v>
      </c>
      <c r="U195" s="14">
        <v>1</v>
      </c>
      <c r="V195" s="15">
        <f t="shared" si="15"/>
        <v>215</v>
      </c>
      <c r="W195" s="14">
        <f t="shared" si="15"/>
        <v>2</v>
      </c>
      <c r="X195" s="14">
        <f t="shared" ref="X195:X258" si="16">IF((O195+Q195)&gt;=1,2,0)</f>
        <v>0</v>
      </c>
      <c r="Y195" s="14">
        <f t="shared" ref="Y195:Y258" si="17">IF((S195+U195)&gt;=1,2,0)</f>
        <v>2</v>
      </c>
      <c r="Z195" s="16">
        <f t="shared" ref="Z195:Z258" si="18">IF(SUM(L195-V195-(X195+Y195))&lt;=0,0,SUM(L195-V195-(X195+Y195)))</f>
        <v>2</v>
      </c>
      <c r="AA195" s="14">
        <f t="shared" ref="AA195:AA258" si="19">IF(SUM(L195-V195-(X195+Y195))&lt;0,SUM(L195-V195-(X195+Y195)),0)</f>
        <v>0</v>
      </c>
      <c r="AB195" s="17"/>
      <c r="AC195" s="17" t="s">
        <v>54</v>
      </c>
    </row>
    <row r="196" spans="1:29" s="21" customFormat="1" ht="13.5" customHeight="1" x14ac:dyDescent="0.2">
      <c r="A196" s="9">
        <v>8</v>
      </c>
      <c r="B196" s="9">
        <v>1</v>
      </c>
      <c r="C196" s="10">
        <v>8010</v>
      </c>
      <c r="D196" s="9">
        <v>33175934</v>
      </c>
      <c r="E196" s="34" t="s">
        <v>510</v>
      </c>
      <c r="F196" s="10" t="s">
        <v>837</v>
      </c>
      <c r="G196" s="11" t="s">
        <v>320</v>
      </c>
      <c r="H196" s="12" t="s">
        <v>1130</v>
      </c>
      <c r="I196" s="12" t="s">
        <v>1281</v>
      </c>
      <c r="J196" s="12" t="s">
        <v>1544</v>
      </c>
      <c r="K196" s="37" t="s">
        <v>1741</v>
      </c>
      <c r="L196" s="13">
        <v>56</v>
      </c>
      <c r="M196" s="13" t="s">
        <v>1764</v>
      </c>
      <c r="N196" s="14">
        <v>0</v>
      </c>
      <c r="O196" s="14">
        <v>0</v>
      </c>
      <c r="P196" s="14">
        <v>14</v>
      </c>
      <c r="Q196" s="14">
        <v>0</v>
      </c>
      <c r="R196" s="14">
        <v>18</v>
      </c>
      <c r="S196" s="14">
        <v>0</v>
      </c>
      <c r="T196" s="14">
        <v>19</v>
      </c>
      <c r="U196" s="14">
        <v>1</v>
      </c>
      <c r="V196" s="15">
        <f t="shared" ref="V196:V218" si="20">SUM(N196,P196,R196,T196)</f>
        <v>51</v>
      </c>
      <c r="W196" s="14">
        <f t="shared" ref="W196:W218" si="21">SUM(O196,Q196,S196,U196)</f>
        <v>1</v>
      </c>
      <c r="X196" s="14">
        <f t="shared" ref="X196:X218" si="22">IF((O196+Q196)&gt;=1,2,0)</f>
        <v>0</v>
      </c>
      <c r="Y196" s="14">
        <f t="shared" ref="Y196:Y218" si="23">IF((S196+U196)&gt;=1,2,0)</f>
        <v>2</v>
      </c>
      <c r="Z196" s="16">
        <f t="shared" ref="Z196:Z218" si="24">IF(SUM(L196-V196-(X196+Y196))&lt;=0,0,SUM(L196-V196-(X196+Y196)))</f>
        <v>3</v>
      </c>
      <c r="AA196" s="14">
        <f t="shared" ref="AA196:AA218" si="25">IF(SUM(L196-V196-(X196+Y196))&lt;0,SUM(L196-V196-(X196+Y196)),0)</f>
        <v>0</v>
      </c>
      <c r="AB196" s="17"/>
      <c r="AC196" s="17"/>
    </row>
    <row r="197" spans="1:29" s="21" customFormat="1" ht="13.5" customHeight="1" x14ac:dyDescent="0.2">
      <c r="A197" s="9">
        <v>8</v>
      </c>
      <c r="B197" s="9">
        <v>2</v>
      </c>
      <c r="C197" s="10">
        <v>8016</v>
      </c>
      <c r="D197" s="9">
        <v>33192170</v>
      </c>
      <c r="E197" s="34" t="s">
        <v>510</v>
      </c>
      <c r="F197" s="10" t="s">
        <v>838</v>
      </c>
      <c r="G197" s="11" t="s">
        <v>321</v>
      </c>
      <c r="H197" s="12" t="s">
        <v>1131</v>
      </c>
      <c r="I197" s="12" t="s">
        <v>1281</v>
      </c>
      <c r="J197" s="12" t="s">
        <v>1545</v>
      </c>
      <c r="K197" s="37" t="s">
        <v>1741</v>
      </c>
      <c r="L197" s="13">
        <v>260</v>
      </c>
      <c r="M197" s="13" t="s">
        <v>1764</v>
      </c>
      <c r="N197" s="14">
        <v>0</v>
      </c>
      <c r="O197" s="14">
        <v>0</v>
      </c>
      <c r="P197" s="14">
        <v>60</v>
      </c>
      <c r="Q197" s="14">
        <v>1</v>
      </c>
      <c r="R197" s="14">
        <v>93</v>
      </c>
      <c r="S197" s="14">
        <v>2</v>
      </c>
      <c r="T197" s="14">
        <v>100</v>
      </c>
      <c r="U197" s="14">
        <v>1</v>
      </c>
      <c r="V197" s="15">
        <f t="shared" si="20"/>
        <v>253</v>
      </c>
      <c r="W197" s="14">
        <f t="shared" si="21"/>
        <v>4</v>
      </c>
      <c r="X197" s="14">
        <f t="shared" si="22"/>
        <v>2</v>
      </c>
      <c r="Y197" s="14">
        <f t="shared" si="23"/>
        <v>2</v>
      </c>
      <c r="Z197" s="16">
        <f t="shared" si="24"/>
        <v>3</v>
      </c>
      <c r="AA197" s="14">
        <f t="shared" si="25"/>
        <v>0</v>
      </c>
      <c r="AB197" s="17"/>
      <c r="AC197" s="17" t="s">
        <v>48</v>
      </c>
    </row>
    <row r="198" spans="1:29" s="21" customFormat="1" ht="13.5" customHeight="1" x14ac:dyDescent="0.2">
      <c r="A198" s="9">
        <v>8</v>
      </c>
      <c r="B198" s="9">
        <v>20</v>
      </c>
      <c r="C198" s="10">
        <v>8022</v>
      </c>
      <c r="D198" s="9">
        <v>33194840</v>
      </c>
      <c r="E198" s="34" t="s">
        <v>536</v>
      </c>
      <c r="F198" s="10" t="s">
        <v>856</v>
      </c>
      <c r="G198" s="11" t="s">
        <v>339</v>
      </c>
      <c r="H198" s="12" t="s">
        <v>1149</v>
      </c>
      <c r="I198" s="12" t="s">
        <v>75</v>
      </c>
      <c r="J198" s="12" t="s">
        <v>1563</v>
      </c>
      <c r="K198" s="37" t="s">
        <v>1746</v>
      </c>
      <c r="L198" s="13">
        <v>215</v>
      </c>
      <c r="M198" s="13" t="s">
        <v>1764</v>
      </c>
      <c r="N198" s="14">
        <v>0</v>
      </c>
      <c r="O198" s="14">
        <v>0</v>
      </c>
      <c r="P198" s="14">
        <v>86</v>
      </c>
      <c r="Q198" s="14">
        <v>1</v>
      </c>
      <c r="R198" s="14">
        <v>88</v>
      </c>
      <c r="S198" s="14">
        <v>2</v>
      </c>
      <c r="T198" s="14">
        <v>41</v>
      </c>
      <c r="U198" s="14">
        <v>0</v>
      </c>
      <c r="V198" s="15">
        <f t="shared" si="20"/>
        <v>215</v>
      </c>
      <c r="W198" s="14">
        <f t="shared" si="21"/>
        <v>3</v>
      </c>
      <c r="X198" s="14">
        <f t="shared" si="22"/>
        <v>2</v>
      </c>
      <c r="Y198" s="14">
        <f t="shared" si="23"/>
        <v>2</v>
      </c>
      <c r="Z198" s="16">
        <f t="shared" si="24"/>
        <v>0</v>
      </c>
      <c r="AA198" s="14">
        <f t="shared" si="25"/>
        <v>-4</v>
      </c>
      <c r="AB198" s="17"/>
      <c r="AC198" s="17" t="s">
        <v>52</v>
      </c>
    </row>
    <row r="199" spans="1:29" s="21" customFormat="1" ht="13.5" customHeight="1" x14ac:dyDescent="0.2">
      <c r="A199" s="9">
        <v>8</v>
      </c>
      <c r="B199" s="9">
        <v>3</v>
      </c>
      <c r="C199" s="10">
        <v>8017</v>
      </c>
      <c r="D199" s="9">
        <v>33192090</v>
      </c>
      <c r="E199" s="34" t="s">
        <v>536</v>
      </c>
      <c r="F199" s="10" t="s">
        <v>839</v>
      </c>
      <c r="G199" s="11" t="s">
        <v>322</v>
      </c>
      <c r="H199" s="12" t="s">
        <v>1132</v>
      </c>
      <c r="I199" s="12" t="s">
        <v>75</v>
      </c>
      <c r="J199" s="12" t="s">
        <v>1546</v>
      </c>
      <c r="K199" s="37" t="s">
        <v>1741</v>
      </c>
      <c r="L199" s="13">
        <v>200</v>
      </c>
      <c r="M199" s="13" t="s">
        <v>1764</v>
      </c>
      <c r="N199" s="14">
        <v>0</v>
      </c>
      <c r="O199" s="14">
        <v>0</v>
      </c>
      <c r="P199" s="14">
        <v>56</v>
      </c>
      <c r="Q199" s="14">
        <v>0</v>
      </c>
      <c r="R199" s="14">
        <v>94</v>
      </c>
      <c r="S199" s="14">
        <v>3</v>
      </c>
      <c r="T199" s="14">
        <v>45</v>
      </c>
      <c r="U199" s="14">
        <v>2</v>
      </c>
      <c r="V199" s="15">
        <f t="shared" si="20"/>
        <v>195</v>
      </c>
      <c r="W199" s="14">
        <f t="shared" si="21"/>
        <v>5</v>
      </c>
      <c r="X199" s="14">
        <f t="shared" si="22"/>
        <v>0</v>
      </c>
      <c r="Y199" s="14">
        <f t="shared" si="23"/>
        <v>2</v>
      </c>
      <c r="Z199" s="16">
        <f t="shared" si="24"/>
        <v>3</v>
      </c>
      <c r="AA199" s="14">
        <f t="shared" si="25"/>
        <v>0</v>
      </c>
      <c r="AB199" s="17"/>
      <c r="AC199" s="17" t="s">
        <v>55</v>
      </c>
    </row>
    <row r="200" spans="1:29" s="21" customFormat="1" ht="13.5" customHeight="1" x14ac:dyDescent="0.2">
      <c r="A200" s="9">
        <v>8</v>
      </c>
      <c r="B200" s="9">
        <v>4</v>
      </c>
      <c r="C200" s="10">
        <v>8008</v>
      </c>
      <c r="D200" s="9">
        <v>33081620</v>
      </c>
      <c r="E200" s="34" t="s">
        <v>574</v>
      </c>
      <c r="F200" s="10" t="s">
        <v>840</v>
      </c>
      <c r="G200" s="11" t="s">
        <v>323</v>
      </c>
      <c r="H200" s="12" t="s">
        <v>1133</v>
      </c>
      <c r="I200" s="12" t="s">
        <v>1321</v>
      </c>
      <c r="J200" s="12" t="s">
        <v>1547</v>
      </c>
      <c r="K200" s="37" t="s">
        <v>1741</v>
      </c>
      <c r="L200" s="13">
        <v>40</v>
      </c>
      <c r="M200" s="13" t="s">
        <v>1766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33</v>
      </c>
      <c r="U200" s="14">
        <v>0</v>
      </c>
      <c r="V200" s="15">
        <f t="shared" si="20"/>
        <v>33</v>
      </c>
      <c r="W200" s="14">
        <f t="shared" si="21"/>
        <v>0</v>
      </c>
      <c r="X200" s="14">
        <f t="shared" si="22"/>
        <v>0</v>
      </c>
      <c r="Y200" s="14">
        <f t="shared" si="23"/>
        <v>0</v>
      </c>
      <c r="Z200" s="16">
        <f t="shared" si="24"/>
        <v>7</v>
      </c>
      <c r="AA200" s="14">
        <f t="shared" si="25"/>
        <v>0</v>
      </c>
      <c r="AB200" s="17"/>
      <c r="AC200" s="17"/>
    </row>
    <row r="201" spans="1:29" s="21" customFormat="1" ht="13.5" customHeight="1" x14ac:dyDescent="0.2">
      <c r="A201" s="9">
        <v>8</v>
      </c>
      <c r="B201" s="9">
        <v>23</v>
      </c>
      <c r="C201" s="10">
        <v>8025</v>
      </c>
      <c r="D201" s="9">
        <v>33194858</v>
      </c>
      <c r="E201" s="34" t="s">
        <v>588</v>
      </c>
      <c r="F201" s="10" t="s">
        <v>859</v>
      </c>
      <c r="G201" s="11" t="s">
        <v>342</v>
      </c>
      <c r="H201" s="12" t="s">
        <v>99</v>
      </c>
      <c r="I201" s="12" t="s">
        <v>99</v>
      </c>
      <c r="J201" s="12" t="s">
        <v>1566</v>
      </c>
      <c r="K201" s="37" t="s">
        <v>1748</v>
      </c>
      <c r="L201" s="13">
        <v>50</v>
      </c>
      <c r="M201" s="13" t="s">
        <v>1763</v>
      </c>
      <c r="N201" s="14">
        <v>0</v>
      </c>
      <c r="O201" s="14">
        <v>0</v>
      </c>
      <c r="P201" s="14">
        <v>0</v>
      </c>
      <c r="Q201" s="14">
        <v>0</v>
      </c>
      <c r="R201" s="14">
        <v>30</v>
      </c>
      <c r="S201" s="14">
        <v>2</v>
      </c>
      <c r="T201" s="14">
        <v>18</v>
      </c>
      <c r="U201" s="14">
        <v>0</v>
      </c>
      <c r="V201" s="15">
        <f t="shared" si="20"/>
        <v>48</v>
      </c>
      <c r="W201" s="14">
        <f t="shared" si="21"/>
        <v>2</v>
      </c>
      <c r="X201" s="14">
        <f t="shared" si="22"/>
        <v>0</v>
      </c>
      <c r="Y201" s="14">
        <f t="shared" si="23"/>
        <v>2</v>
      </c>
      <c r="Z201" s="16">
        <f t="shared" si="24"/>
        <v>0</v>
      </c>
      <c r="AA201" s="14">
        <f t="shared" si="25"/>
        <v>0</v>
      </c>
      <c r="AB201" s="17"/>
      <c r="AC201" s="17" t="s">
        <v>54</v>
      </c>
    </row>
    <row r="202" spans="1:29" s="21" customFormat="1" ht="13.5" customHeight="1" x14ac:dyDescent="0.2">
      <c r="A202" s="9">
        <v>8</v>
      </c>
      <c r="B202" s="9">
        <v>19</v>
      </c>
      <c r="C202" s="10">
        <v>8021</v>
      </c>
      <c r="D202" s="9">
        <v>33192855</v>
      </c>
      <c r="E202" s="34" t="s">
        <v>586</v>
      </c>
      <c r="F202" s="10" t="s">
        <v>855</v>
      </c>
      <c r="G202" s="11" t="s">
        <v>338</v>
      </c>
      <c r="H202" s="12" t="s">
        <v>1148</v>
      </c>
      <c r="I202" s="12" t="s">
        <v>1148</v>
      </c>
      <c r="J202" s="12" t="s">
        <v>1562</v>
      </c>
      <c r="K202" s="37" t="s">
        <v>1747</v>
      </c>
      <c r="L202" s="13">
        <v>38</v>
      </c>
      <c r="M202" s="13" t="s">
        <v>1764</v>
      </c>
      <c r="N202" s="14">
        <v>0</v>
      </c>
      <c r="O202" s="14">
        <v>0</v>
      </c>
      <c r="P202" s="14">
        <v>10</v>
      </c>
      <c r="Q202" s="14">
        <v>0</v>
      </c>
      <c r="R202" s="14">
        <v>18</v>
      </c>
      <c r="S202" s="14">
        <v>0</v>
      </c>
      <c r="T202" s="14">
        <v>10</v>
      </c>
      <c r="U202" s="14">
        <v>0</v>
      </c>
      <c r="V202" s="15">
        <f t="shared" si="20"/>
        <v>38</v>
      </c>
      <c r="W202" s="14">
        <f t="shared" si="21"/>
        <v>0</v>
      </c>
      <c r="X202" s="14">
        <f t="shared" si="22"/>
        <v>0</v>
      </c>
      <c r="Y202" s="14">
        <f t="shared" si="23"/>
        <v>0</v>
      </c>
      <c r="Z202" s="16">
        <f t="shared" si="24"/>
        <v>0</v>
      </c>
      <c r="AA202" s="14">
        <f t="shared" si="25"/>
        <v>0</v>
      </c>
      <c r="AB202" s="17"/>
      <c r="AC202" s="17" t="s">
        <v>61</v>
      </c>
    </row>
    <row r="203" spans="1:29" s="21" customFormat="1" ht="13.5" customHeight="1" x14ac:dyDescent="0.2">
      <c r="A203" s="9">
        <v>8</v>
      </c>
      <c r="B203" s="9">
        <v>5</v>
      </c>
      <c r="C203" s="10">
        <v>8009</v>
      </c>
      <c r="D203" s="9">
        <v>33165181</v>
      </c>
      <c r="E203" s="34" t="s">
        <v>575</v>
      </c>
      <c r="F203" s="10" t="s">
        <v>841</v>
      </c>
      <c r="G203" s="11" t="s">
        <v>324</v>
      </c>
      <c r="H203" s="12" t="s">
        <v>1134</v>
      </c>
      <c r="I203" s="12" t="s">
        <v>1134</v>
      </c>
      <c r="J203" s="12" t="s">
        <v>1548</v>
      </c>
      <c r="K203" s="37" t="s">
        <v>1742</v>
      </c>
      <c r="L203" s="13">
        <v>98</v>
      </c>
      <c r="M203" s="13" t="s">
        <v>1765</v>
      </c>
      <c r="N203" s="14">
        <v>7</v>
      </c>
      <c r="O203" s="14">
        <v>0</v>
      </c>
      <c r="P203" s="14">
        <v>26</v>
      </c>
      <c r="Q203" s="14">
        <v>0</v>
      </c>
      <c r="R203" s="14">
        <v>29</v>
      </c>
      <c r="S203" s="14">
        <v>0</v>
      </c>
      <c r="T203" s="14">
        <v>36</v>
      </c>
      <c r="U203" s="14">
        <v>0</v>
      </c>
      <c r="V203" s="15">
        <f t="shared" si="20"/>
        <v>98</v>
      </c>
      <c r="W203" s="14">
        <f t="shared" si="21"/>
        <v>0</v>
      </c>
      <c r="X203" s="14">
        <f t="shared" si="22"/>
        <v>0</v>
      </c>
      <c r="Y203" s="14">
        <f t="shared" si="23"/>
        <v>0</v>
      </c>
      <c r="Z203" s="16">
        <f t="shared" si="24"/>
        <v>0</v>
      </c>
      <c r="AA203" s="14">
        <f t="shared" si="25"/>
        <v>0</v>
      </c>
      <c r="AB203" s="17"/>
      <c r="AC203" s="17"/>
    </row>
    <row r="204" spans="1:29" s="21" customFormat="1" ht="13.5" customHeight="1" x14ac:dyDescent="0.2">
      <c r="A204" s="9">
        <v>8</v>
      </c>
      <c r="B204" s="9">
        <v>6</v>
      </c>
      <c r="C204" s="10">
        <v>8015</v>
      </c>
      <c r="D204" s="9" t="s">
        <v>124</v>
      </c>
      <c r="E204" s="34" t="s">
        <v>576</v>
      </c>
      <c r="F204" s="10" t="s">
        <v>842</v>
      </c>
      <c r="G204" s="11" t="s">
        <v>325</v>
      </c>
      <c r="H204" s="12" t="s">
        <v>1135</v>
      </c>
      <c r="I204" s="12" t="s">
        <v>1135</v>
      </c>
      <c r="J204" s="12" t="s">
        <v>1549</v>
      </c>
      <c r="K204" s="37" t="s">
        <v>1741</v>
      </c>
      <c r="L204" s="13">
        <v>361</v>
      </c>
      <c r="M204" s="13" t="s">
        <v>1764</v>
      </c>
      <c r="N204" s="14">
        <v>0</v>
      </c>
      <c r="O204" s="14">
        <v>0</v>
      </c>
      <c r="P204" s="14">
        <v>52</v>
      </c>
      <c r="Q204" s="14">
        <v>0</v>
      </c>
      <c r="R204" s="14">
        <v>96</v>
      </c>
      <c r="S204" s="14">
        <v>0</v>
      </c>
      <c r="T204" s="14">
        <v>103</v>
      </c>
      <c r="U204" s="14">
        <v>0</v>
      </c>
      <c r="V204" s="15">
        <f t="shared" si="20"/>
        <v>251</v>
      </c>
      <c r="W204" s="14">
        <f t="shared" si="21"/>
        <v>0</v>
      </c>
      <c r="X204" s="14">
        <f t="shared" si="22"/>
        <v>0</v>
      </c>
      <c r="Y204" s="14">
        <f t="shared" si="23"/>
        <v>0</v>
      </c>
      <c r="Z204" s="16">
        <f t="shared" si="24"/>
        <v>110</v>
      </c>
      <c r="AA204" s="14">
        <f t="shared" si="25"/>
        <v>0</v>
      </c>
      <c r="AB204" s="17"/>
      <c r="AC204" s="17" t="s">
        <v>48</v>
      </c>
    </row>
    <row r="205" spans="1:29" s="21" customFormat="1" ht="13.5" customHeight="1" x14ac:dyDescent="0.2">
      <c r="A205" s="9">
        <v>8</v>
      </c>
      <c r="B205" s="9">
        <v>22</v>
      </c>
      <c r="C205" s="10">
        <v>8024</v>
      </c>
      <c r="D205" s="9">
        <v>33194750</v>
      </c>
      <c r="E205" s="34" t="s">
        <v>576</v>
      </c>
      <c r="F205" s="10" t="s">
        <v>858</v>
      </c>
      <c r="G205" s="11" t="s">
        <v>341</v>
      </c>
      <c r="H205" s="12" t="s">
        <v>98</v>
      </c>
      <c r="I205" s="12" t="s">
        <v>98</v>
      </c>
      <c r="J205" s="12" t="s">
        <v>1565</v>
      </c>
      <c r="K205" s="37" t="s">
        <v>1741</v>
      </c>
      <c r="L205" s="13">
        <v>163</v>
      </c>
      <c r="M205" s="13" t="s">
        <v>1764</v>
      </c>
      <c r="N205" s="14">
        <v>0</v>
      </c>
      <c r="O205" s="14">
        <v>0</v>
      </c>
      <c r="P205" s="14">
        <v>17</v>
      </c>
      <c r="Q205" s="14">
        <v>0</v>
      </c>
      <c r="R205" s="14">
        <v>44</v>
      </c>
      <c r="S205" s="14">
        <v>0</v>
      </c>
      <c r="T205" s="14">
        <v>29</v>
      </c>
      <c r="U205" s="14">
        <v>0</v>
      </c>
      <c r="V205" s="15">
        <f t="shared" si="20"/>
        <v>90</v>
      </c>
      <c r="W205" s="14">
        <f t="shared" si="21"/>
        <v>0</v>
      </c>
      <c r="X205" s="14">
        <f t="shared" si="22"/>
        <v>0</v>
      </c>
      <c r="Y205" s="14">
        <f t="shared" si="23"/>
        <v>0</v>
      </c>
      <c r="Z205" s="16">
        <f t="shared" si="24"/>
        <v>73</v>
      </c>
      <c r="AA205" s="14">
        <f t="shared" si="25"/>
        <v>0</v>
      </c>
      <c r="AB205" s="17"/>
      <c r="AC205" s="17" t="s">
        <v>54</v>
      </c>
    </row>
    <row r="206" spans="1:29" s="21" customFormat="1" ht="13.5" customHeight="1" x14ac:dyDescent="0.2">
      <c r="A206" s="9">
        <v>8</v>
      </c>
      <c r="B206" s="9">
        <v>7</v>
      </c>
      <c r="C206" s="10">
        <v>8013</v>
      </c>
      <c r="D206" s="9">
        <v>33466220</v>
      </c>
      <c r="E206" s="34" t="s">
        <v>577</v>
      </c>
      <c r="F206" s="10" t="s">
        <v>843</v>
      </c>
      <c r="G206" s="11" t="s">
        <v>326</v>
      </c>
      <c r="H206" s="12" t="s">
        <v>1136</v>
      </c>
      <c r="I206" s="12" t="s">
        <v>1322</v>
      </c>
      <c r="J206" s="12" t="s">
        <v>1550</v>
      </c>
      <c r="K206" s="37" t="s">
        <v>1741</v>
      </c>
      <c r="L206" s="13">
        <v>103</v>
      </c>
      <c r="M206" s="13" t="s">
        <v>1763</v>
      </c>
      <c r="N206" s="14">
        <v>0</v>
      </c>
      <c r="O206" s="14">
        <v>0</v>
      </c>
      <c r="P206" s="14">
        <v>0</v>
      </c>
      <c r="Q206" s="14">
        <v>0</v>
      </c>
      <c r="R206" s="14">
        <v>59</v>
      </c>
      <c r="S206" s="14">
        <v>1</v>
      </c>
      <c r="T206" s="14">
        <v>40</v>
      </c>
      <c r="U206" s="14">
        <v>1</v>
      </c>
      <c r="V206" s="15">
        <f t="shared" si="20"/>
        <v>99</v>
      </c>
      <c r="W206" s="14">
        <f t="shared" si="21"/>
        <v>2</v>
      </c>
      <c r="X206" s="14">
        <f t="shared" si="22"/>
        <v>0</v>
      </c>
      <c r="Y206" s="14">
        <f t="shared" si="23"/>
        <v>2</v>
      </c>
      <c r="Z206" s="16">
        <f t="shared" si="24"/>
        <v>2</v>
      </c>
      <c r="AA206" s="14">
        <f t="shared" si="25"/>
        <v>0</v>
      </c>
      <c r="AB206" s="17"/>
      <c r="AC206" s="17" t="s">
        <v>48</v>
      </c>
    </row>
    <row r="207" spans="1:29" s="21" customFormat="1" ht="13.5" customHeight="1" x14ac:dyDescent="0.2">
      <c r="A207" s="9">
        <v>8</v>
      </c>
      <c r="B207" s="9">
        <v>8</v>
      </c>
      <c r="C207" s="10">
        <v>8018</v>
      </c>
      <c r="D207" s="9">
        <v>33192227</v>
      </c>
      <c r="E207" s="34" t="s">
        <v>578</v>
      </c>
      <c r="F207" s="10" t="s">
        <v>844</v>
      </c>
      <c r="G207" s="11" t="s">
        <v>327</v>
      </c>
      <c r="H207" s="12" t="s">
        <v>1137</v>
      </c>
      <c r="I207" s="12" t="s">
        <v>1137</v>
      </c>
      <c r="J207" s="12" t="s">
        <v>1551</v>
      </c>
      <c r="K207" s="37" t="s">
        <v>1742</v>
      </c>
      <c r="L207" s="13">
        <v>59</v>
      </c>
      <c r="M207" s="13" t="s">
        <v>1763</v>
      </c>
      <c r="N207" s="14">
        <v>0</v>
      </c>
      <c r="O207" s="14">
        <v>0</v>
      </c>
      <c r="P207" s="14">
        <v>0</v>
      </c>
      <c r="Q207" s="14">
        <v>0</v>
      </c>
      <c r="R207" s="14">
        <v>27</v>
      </c>
      <c r="S207" s="14">
        <v>0</v>
      </c>
      <c r="T207" s="14">
        <v>32</v>
      </c>
      <c r="U207" s="14">
        <v>0</v>
      </c>
      <c r="V207" s="15">
        <f t="shared" si="20"/>
        <v>59</v>
      </c>
      <c r="W207" s="14">
        <f t="shared" si="21"/>
        <v>0</v>
      </c>
      <c r="X207" s="14">
        <f t="shared" si="22"/>
        <v>0</v>
      </c>
      <c r="Y207" s="14">
        <f t="shared" si="23"/>
        <v>0</v>
      </c>
      <c r="Z207" s="16">
        <f t="shared" si="24"/>
        <v>0</v>
      </c>
      <c r="AA207" s="14">
        <f t="shared" si="25"/>
        <v>0</v>
      </c>
      <c r="AB207" s="17"/>
      <c r="AC207" s="17" t="s">
        <v>55</v>
      </c>
    </row>
    <row r="208" spans="1:29" s="21" customFormat="1" ht="13.5" customHeight="1" x14ac:dyDescent="0.2">
      <c r="A208" s="9">
        <v>8</v>
      </c>
      <c r="B208" s="9">
        <v>21</v>
      </c>
      <c r="C208" s="10">
        <v>8023</v>
      </c>
      <c r="D208" s="9">
        <v>33195030</v>
      </c>
      <c r="E208" s="34" t="s">
        <v>587</v>
      </c>
      <c r="F208" s="10" t="s">
        <v>857</v>
      </c>
      <c r="G208" s="11" t="s">
        <v>340</v>
      </c>
      <c r="H208" s="12" t="s">
        <v>96</v>
      </c>
      <c r="I208" s="12" t="s">
        <v>97</v>
      </c>
      <c r="J208" s="12" t="s">
        <v>1564</v>
      </c>
      <c r="K208" s="37" t="s">
        <v>1743</v>
      </c>
      <c r="L208" s="13">
        <v>72</v>
      </c>
      <c r="M208" s="13" t="s">
        <v>1763</v>
      </c>
      <c r="N208" s="14">
        <v>0</v>
      </c>
      <c r="O208" s="14">
        <v>0</v>
      </c>
      <c r="P208" s="14">
        <v>0</v>
      </c>
      <c r="Q208" s="14">
        <v>0</v>
      </c>
      <c r="R208" s="14">
        <v>18</v>
      </c>
      <c r="S208" s="14">
        <v>0</v>
      </c>
      <c r="T208" s="14">
        <v>54</v>
      </c>
      <c r="U208" s="14">
        <v>0</v>
      </c>
      <c r="V208" s="15">
        <f t="shared" si="20"/>
        <v>72</v>
      </c>
      <c r="W208" s="14">
        <f t="shared" si="21"/>
        <v>0</v>
      </c>
      <c r="X208" s="14">
        <f t="shared" si="22"/>
        <v>0</v>
      </c>
      <c r="Y208" s="14">
        <f t="shared" si="23"/>
        <v>0</v>
      </c>
      <c r="Z208" s="16">
        <f t="shared" si="24"/>
        <v>0</v>
      </c>
      <c r="AA208" s="14">
        <f t="shared" si="25"/>
        <v>0</v>
      </c>
      <c r="AB208" s="17"/>
      <c r="AC208" s="17" t="s">
        <v>52</v>
      </c>
    </row>
    <row r="209" spans="1:29" s="21" customFormat="1" ht="13.5" customHeight="1" x14ac:dyDescent="0.2">
      <c r="A209" s="9">
        <v>8</v>
      </c>
      <c r="B209" s="9">
        <v>9</v>
      </c>
      <c r="C209" s="10">
        <v>8004</v>
      </c>
      <c r="D209" s="9">
        <v>33122121</v>
      </c>
      <c r="E209" s="34" t="s">
        <v>579</v>
      </c>
      <c r="F209" s="10" t="s">
        <v>845</v>
      </c>
      <c r="G209" s="11" t="s">
        <v>328</v>
      </c>
      <c r="H209" s="12" t="s">
        <v>1138</v>
      </c>
      <c r="I209" s="12" t="s">
        <v>1323</v>
      </c>
      <c r="J209" s="12" t="s">
        <v>1552</v>
      </c>
      <c r="K209" s="37" t="s">
        <v>1743</v>
      </c>
      <c r="L209" s="13">
        <v>100</v>
      </c>
      <c r="M209" s="13" t="s">
        <v>1765</v>
      </c>
      <c r="N209" s="14">
        <v>17</v>
      </c>
      <c r="O209" s="14">
        <v>0</v>
      </c>
      <c r="P209" s="14">
        <v>23</v>
      </c>
      <c r="Q209" s="14">
        <v>0</v>
      </c>
      <c r="R209" s="14">
        <v>29</v>
      </c>
      <c r="S209" s="14">
        <v>0</v>
      </c>
      <c r="T209" s="14">
        <v>31</v>
      </c>
      <c r="U209" s="14">
        <v>0</v>
      </c>
      <c r="V209" s="15">
        <f t="shared" si="20"/>
        <v>100</v>
      </c>
      <c r="W209" s="14">
        <f t="shared" si="21"/>
        <v>0</v>
      </c>
      <c r="X209" s="14">
        <f t="shared" si="22"/>
        <v>0</v>
      </c>
      <c r="Y209" s="14">
        <f t="shared" si="23"/>
        <v>0</v>
      </c>
      <c r="Z209" s="16">
        <f t="shared" si="24"/>
        <v>0</v>
      </c>
      <c r="AA209" s="14">
        <f t="shared" si="25"/>
        <v>0</v>
      </c>
      <c r="AB209" s="17"/>
      <c r="AC209" s="17"/>
    </row>
    <row r="210" spans="1:29" s="21" customFormat="1" ht="13.5" customHeight="1" x14ac:dyDescent="0.2">
      <c r="A210" s="9">
        <v>8</v>
      </c>
      <c r="B210" s="9">
        <v>10</v>
      </c>
      <c r="C210" s="10">
        <v>8003</v>
      </c>
      <c r="D210" s="9">
        <v>33122008</v>
      </c>
      <c r="E210" s="34" t="s">
        <v>580</v>
      </c>
      <c r="F210" s="10" t="s">
        <v>846</v>
      </c>
      <c r="G210" s="11" t="s">
        <v>329</v>
      </c>
      <c r="H210" s="12" t="s">
        <v>1139</v>
      </c>
      <c r="I210" s="12" t="s">
        <v>1324</v>
      </c>
      <c r="J210" s="12" t="s">
        <v>1553</v>
      </c>
      <c r="K210" s="37" t="s">
        <v>1744</v>
      </c>
      <c r="L210" s="13">
        <v>80</v>
      </c>
      <c r="M210" s="13" t="s">
        <v>1763</v>
      </c>
      <c r="N210" s="14">
        <v>0</v>
      </c>
      <c r="O210" s="14">
        <v>0</v>
      </c>
      <c r="P210" s="14">
        <v>0</v>
      </c>
      <c r="Q210" s="14">
        <v>0</v>
      </c>
      <c r="R210" s="14">
        <v>40</v>
      </c>
      <c r="S210" s="14">
        <v>0</v>
      </c>
      <c r="T210" s="14">
        <v>39</v>
      </c>
      <c r="U210" s="14">
        <v>0</v>
      </c>
      <c r="V210" s="15">
        <f t="shared" si="20"/>
        <v>79</v>
      </c>
      <c r="W210" s="14">
        <f t="shared" si="21"/>
        <v>0</v>
      </c>
      <c r="X210" s="14">
        <f t="shared" si="22"/>
        <v>0</v>
      </c>
      <c r="Y210" s="14">
        <f t="shared" si="23"/>
        <v>0</v>
      </c>
      <c r="Z210" s="16">
        <f t="shared" si="24"/>
        <v>1</v>
      </c>
      <c r="AA210" s="14">
        <f t="shared" si="25"/>
        <v>0</v>
      </c>
      <c r="AB210" s="17"/>
      <c r="AC210" s="17"/>
    </row>
    <row r="211" spans="1:29" s="21" customFormat="1" ht="13.5" customHeight="1" x14ac:dyDescent="0.2">
      <c r="A211" s="9">
        <v>8</v>
      </c>
      <c r="B211" s="9">
        <v>12</v>
      </c>
      <c r="C211" s="10">
        <v>8007</v>
      </c>
      <c r="D211" s="9">
        <v>33166188</v>
      </c>
      <c r="E211" s="34" t="s">
        <v>581</v>
      </c>
      <c r="F211" s="10" t="s">
        <v>848</v>
      </c>
      <c r="G211" s="11" t="s">
        <v>331</v>
      </c>
      <c r="H211" s="12" t="s">
        <v>1141</v>
      </c>
      <c r="I211" s="12" t="s">
        <v>1325</v>
      </c>
      <c r="J211" s="12" t="s">
        <v>1555</v>
      </c>
      <c r="K211" s="37" t="s">
        <v>1745</v>
      </c>
      <c r="L211" s="13">
        <v>214</v>
      </c>
      <c r="M211" s="13" t="s">
        <v>1764</v>
      </c>
      <c r="N211" s="14">
        <v>0</v>
      </c>
      <c r="O211" s="14">
        <v>0</v>
      </c>
      <c r="P211" s="14">
        <v>70</v>
      </c>
      <c r="Q211" s="14">
        <v>0</v>
      </c>
      <c r="R211" s="14">
        <v>70</v>
      </c>
      <c r="S211" s="14">
        <v>1</v>
      </c>
      <c r="T211" s="14">
        <v>70</v>
      </c>
      <c r="U211" s="14">
        <v>2</v>
      </c>
      <c r="V211" s="15">
        <f t="shared" si="20"/>
        <v>210</v>
      </c>
      <c r="W211" s="14">
        <f t="shared" si="21"/>
        <v>3</v>
      </c>
      <c r="X211" s="14">
        <f t="shared" si="22"/>
        <v>0</v>
      </c>
      <c r="Y211" s="14">
        <f t="shared" si="23"/>
        <v>2</v>
      </c>
      <c r="Z211" s="16">
        <f t="shared" si="24"/>
        <v>2</v>
      </c>
      <c r="AA211" s="14">
        <f t="shared" si="25"/>
        <v>0</v>
      </c>
      <c r="AB211" s="17"/>
      <c r="AC211" s="17"/>
    </row>
    <row r="212" spans="1:29" s="21" customFormat="1" ht="13.5" customHeight="1" x14ac:dyDescent="0.2">
      <c r="A212" s="9">
        <v>8</v>
      </c>
      <c r="B212" s="9">
        <v>11</v>
      </c>
      <c r="C212" s="10">
        <v>8005</v>
      </c>
      <c r="D212" s="9">
        <v>33338205</v>
      </c>
      <c r="E212" s="34" t="s">
        <v>581</v>
      </c>
      <c r="F212" s="10" t="s">
        <v>847</v>
      </c>
      <c r="G212" s="11" t="s">
        <v>330</v>
      </c>
      <c r="H212" s="12" t="s">
        <v>1140</v>
      </c>
      <c r="I212" s="12" t="s">
        <v>1140</v>
      </c>
      <c r="J212" s="12" t="s">
        <v>1554</v>
      </c>
      <c r="K212" s="37" t="s">
        <v>1741</v>
      </c>
      <c r="L212" s="13">
        <v>145</v>
      </c>
      <c r="M212" s="13" t="s">
        <v>1764</v>
      </c>
      <c r="N212" s="14">
        <v>0</v>
      </c>
      <c r="O212" s="14">
        <v>0</v>
      </c>
      <c r="P212" s="14">
        <v>43</v>
      </c>
      <c r="Q212" s="14">
        <v>0</v>
      </c>
      <c r="R212" s="14">
        <v>44</v>
      </c>
      <c r="S212" s="14">
        <v>1</v>
      </c>
      <c r="T212" s="14">
        <v>54</v>
      </c>
      <c r="U212" s="14">
        <v>1</v>
      </c>
      <c r="V212" s="15">
        <f t="shared" si="20"/>
        <v>141</v>
      </c>
      <c r="W212" s="14">
        <f t="shared" si="21"/>
        <v>2</v>
      </c>
      <c r="X212" s="14">
        <f t="shared" si="22"/>
        <v>0</v>
      </c>
      <c r="Y212" s="14">
        <f t="shared" si="23"/>
        <v>2</v>
      </c>
      <c r="Z212" s="16">
        <f t="shared" si="24"/>
        <v>2</v>
      </c>
      <c r="AA212" s="14">
        <f t="shared" si="25"/>
        <v>0</v>
      </c>
      <c r="AB212" s="17"/>
      <c r="AC212" s="17"/>
    </row>
    <row r="213" spans="1:29" s="21" customFormat="1" ht="13.5" customHeight="1" x14ac:dyDescent="0.2">
      <c r="A213" s="9">
        <v>8</v>
      </c>
      <c r="B213" s="9">
        <v>13</v>
      </c>
      <c r="C213" s="10">
        <v>8002</v>
      </c>
      <c r="D213" s="9">
        <v>33121885</v>
      </c>
      <c r="E213" s="34" t="s">
        <v>582</v>
      </c>
      <c r="F213" s="10" t="s">
        <v>849</v>
      </c>
      <c r="G213" s="11" t="s">
        <v>332</v>
      </c>
      <c r="H213" s="12" t="s">
        <v>1142</v>
      </c>
      <c r="I213" s="12" t="s">
        <v>1326</v>
      </c>
      <c r="J213" s="12" t="s">
        <v>1556</v>
      </c>
      <c r="K213" s="37" t="s">
        <v>1741</v>
      </c>
      <c r="L213" s="13">
        <v>35</v>
      </c>
      <c r="M213" s="13" t="s">
        <v>1764</v>
      </c>
      <c r="N213" s="14">
        <v>0</v>
      </c>
      <c r="O213" s="14">
        <v>0</v>
      </c>
      <c r="P213" s="14">
        <v>8</v>
      </c>
      <c r="Q213" s="14">
        <v>0</v>
      </c>
      <c r="R213" s="14">
        <v>16</v>
      </c>
      <c r="S213" s="14">
        <v>0</v>
      </c>
      <c r="T213" s="14">
        <v>8</v>
      </c>
      <c r="U213" s="14">
        <v>0</v>
      </c>
      <c r="V213" s="15">
        <f t="shared" si="20"/>
        <v>32</v>
      </c>
      <c r="W213" s="14">
        <f t="shared" si="21"/>
        <v>0</v>
      </c>
      <c r="X213" s="14">
        <f t="shared" si="22"/>
        <v>0</v>
      </c>
      <c r="Y213" s="14">
        <f t="shared" si="23"/>
        <v>0</v>
      </c>
      <c r="Z213" s="16">
        <f t="shared" si="24"/>
        <v>3</v>
      </c>
      <c r="AA213" s="14">
        <f t="shared" si="25"/>
        <v>0</v>
      </c>
      <c r="AB213" s="17"/>
      <c r="AC213" s="17"/>
    </row>
    <row r="214" spans="1:29" s="21" customFormat="1" ht="13.5" customHeight="1" x14ac:dyDescent="0.2">
      <c r="A214" s="9">
        <v>8</v>
      </c>
      <c r="B214" s="9">
        <v>18</v>
      </c>
      <c r="C214" s="10">
        <v>8020</v>
      </c>
      <c r="D214" s="9">
        <v>33192103</v>
      </c>
      <c r="E214" s="34" t="s">
        <v>585</v>
      </c>
      <c r="F214" s="10" t="s">
        <v>854</v>
      </c>
      <c r="G214" s="11" t="s">
        <v>337</v>
      </c>
      <c r="H214" s="12" t="s">
        <v>1147</v>
      </c>
      <c r="I214" s="12" t="s">
        <v>1329</v>
      </c>
      <c r="J214" s="12" t="s">
        <v>1561</v>
      </c>
      <c r="K214" s="37" t="s">
        <v>1745</v>
      </c>
      <c r="L214" s="13">
        <v>189</v>
      </c>
      <c r="M214" s="13" t="s">
        <v>1763</v>
      </c>
      <c r="N214" s="14">
        <v>0</v>
      </c>
      <c r="O214" s="14">
        <v>0</v>
      </c>
      <c r="P214" s="14">
        <v>0</v>
      </c>
      <c r="Q214" s="14">
        <v>0</v>
      </c>
      <c r="R214" s="14">
        <v>61</v>
      </c>
      <c r="S214" s="14">
        <v>1</v>
      </c>
      <c r="T214" s="14">
        <v>125</v>
      </c>
      <c r="U214" s="14">
        <v>3</v>
      </c>
      <c r="V214" s="15">
        <f t="shared" si="20"/>
        <v>186</v>
      </c>
      <c r="W214" s="14">
        <f t="shared" si="21"/>
        <v>4</v>
      </c>
      <c r="X214" s="14">
        <f t="shared" si="22"/>
        <v>0</v>
      </c>
      <c r="Y214" s="14">
        <f t="shared" si="23"/>
        <v>2</v>
      </c>
      <c r="Z214" s="16">
        <f t="shared" si="24"/>
        <v>1</v>
      </c>
      <c r="AA214" s="14">
        <f t="shared" si="25"/>
        <v>0</v>
      </c>
      <c r="AB214" s="17"/>
      <c r="AC214" s="17" t="s">
        <v>61</v>
      </c>
    </row>
    <row r="215" spans="1:29" s="21" customFormat="1" ht="13.5" customHeight="1" x14ac:dyDescent="0.2">
      <c r="A215" s="9">
        <v>8</v>
      </c>
      <c r="B215" s="9">
        <v>14</v>
      </c>
      <c r="C215" s="10">
        <v>8014</v>
      </c>
      <c r="D215" s="9" t="s">
        <v>125</v>
      </c>
      <c r="E215" s="34" t="s">
        <v>583</v>
      </c>
      <c r="F215" s="10" t="s">
        <v>850</v>
      </c>
      <c r="G215" s="11" t="s">
        <v>333</v>
      </c>
      <c r="H215" s="12" t="s">
        <v>1143</v>
      </c>
      <c r="I215" s="12" t="s">
        <v>1327</v>
      </c>
      <c r="J215" s="12" t="s">
        <v>1557</v>
      </c>
      <c r="K215" s="37" t="s">
        <v>1745</v>
      </c>
      <c r="L215" s="13">
        <v>70</v>
      </c>
      <c r="M215" s="13" t="s">
        <v>1763</v>
      </c>
      <c r="N215" s="14">
        <v>0</v>
      </c>
      <c r="O215" s="14">
        <v>0</v>
      </c>
      <c r="P215" s="14">
        <v>0</v>
      </c>
      <c r="Q215" s="14">
        <v>0</v>
      </c>
      <c r="R215" s="14">
        <v>31</v>
      </c>
      <c r="S215" s="14">
        <v>1</v>
      </c>
      <c r="T215" s="14">
        <v>36</v>
      </c>
      <c r="U215" s="14">
        <v>1</v>
      </c>
      <c r="V215" s="15">
        <f t="shared" si="20"/>
        <v>67</v>
      </c>
      <c r="W215" s="14">
        <f t="shared" si="21"/>
        <v>2</v>
      </c>
      <c r="X215" s="14">
        <f t="shared" si="22"/>
        <v>0</v>
      </c>
      <c r="Y215" s="14">
        <f t="shared" si="23"/>
        <v>2</v>
      </c>
      <c r="Z215" s="16">
        <f t="shared" si="24"/>
        <v>1</v>
      </c>
      <c r="AA215" s="14">
        <f t="shared" si="25"/>
        <v>0</v>
      </c>
      <c r="AB215" s="17"/>
      <c r="AC215" s="17" t="s">
        <v>48</v>
      </c>
    </row>
    <row r="216" spans="1:29" s="21" customFormat="1" ht="13.5" customHeight="1" x14ac:dyDescent="0.2">
      <c r="A216" s="9">
        <v>8</v>
      </c>
      <c r="B216" s="9">
        <v>15</v>
      </c>
      <c r="C216" s="10">
        <v>8019</v>
      </c>
      <c r="D216" s="9" t="s">
        <v>126</v>
      </c>
      <c r="E216" s="34" t="s">
        <v>499</v>
      </c>
      <c r="F216" s="10" t="s">
        <v>851</v>
      </c>
      <c r="G216" s="11" t="s">
        <v>334</v>
      </c>
      <c r="H216" s="12" t="s">
        <v>1144</v>
      </c>
      <c r="I216" s="12" t="s">
        <v>1275</v>
      </c>
      <c r="J216" s="12" t="s">
        <v>1558</v>
      </c>
      <c r="K216" s="37" t="s">
        <v>1741</v>
      </c>
      <c r="L216" s="13">
        <v>117</v>
      </c>
      <c r="M216" s="13" t="s">
        <v>1763</v>
      </c>
      <c r="N216" s="14">
        <v>0</v>
      </c>
      <c r="O216" s="14">
        <v>0</v>
      </c>
      <c r="P216" s="14">
        <v>0</v>
      </c>
      <c r="Q216" s="14">
        <v>0</v>
      </c>
      <c r="R216" s="14">
        <v>44</v>
      </c>
      <c r="S216" s="14">
        <v>0</v>
      </c>
      <c r="T216" s="14">
        <v>71</v>
      </c>
      <c r="U216" s="14">
        <v>1</v>
      </c>
      <c r="V216" s="15">
        <f t="shared" si="20"/>
        <v>115</v>
      </c>
      <c r="W216" s="14">
        <f t="shared" si="21"/>
        <v>1</v>
      </c>
      <c r="X216" s="14">
        <f t="shared" si="22"/>
        <v>0</v>
      </c>
      <c r="Y216" s="14">
        <f t="shared" si="23"/>
        <v>2</v>
      </c>
      <c r="Z216" s="16">
        <f t="shared" si="24"/>
        <v>0</v>
      </c>
      <c r="AA216" s="14">
        <f t="shared" si="25"/>
        <v>0</v>
      </c>
      <c r="AB216" s="17"/>
      <c r="AC216" s="17" t="s">
        <v>55</v>
      </c>
    </row>
    <row r="217" spans="1:29" s="21" customFormat="1" ht="13.5" customHeight="1" x14ac:dyDescent="0.2">
      <c r="A217" s="9">
        <v>8</v>
      </c>
      <c r="B217" s="9">
        <v>16</v>
      </c>
      <c r="C217" s="10">
        <v>8011</v>
      </c>
      <c r="D217" s="9">
        <v>33174610</v>
      </c>
      <c r="E217" s="34" t="s">
        <v>527</v>
      </c>
      <c r="F217" s="10" t="s">
        <v>852</v>
      </c>
      <c r="G217" s="11" t="s">
        <v>335</v>
      </c>
      <c r="H217" s="12" t="s">
        <v>1145</v>
      </c>
      <c r="I217" s="12" t="s">
        <v>1317</v>
      </c>
      <c r="J217" s="12" t="s">
        <v>1559</v>
      </c>
      <c r="K217" s="37" t="s">
        <v>1741</v>
      </c>
      <c r="L217" s="13">
        <v>200</v>
      </c>
      <c r="M217" s="13" t="s">
        <v>1765</v>
      </c>
      <c r="N217" s="14">
        <v>17</v>
      </c>
      <c r="O217" s="14">
        <v>0</v>
      </c>
      <c r="P217" s="14">
        <v>44</v>
      </c>
      <c r="Q217" s="14">
        <v>1</v>
      </c>
      <c r="R217" s="14">
        <v>60</v>
      </c>
      <c r="S217" s="14">
        <v>0</v>
      </c>
      <c r="T217" s="14">
        <v>61</v>
      </c>
      <c r="U217" s="14">
        <v>2</v>
      </c>
      <c r="V217" s="15">
        <f t="shared" si="20"/>
        <v>182</v>
      </c>
      <c r="W217" s="14">
        <f t="shared" si="21"/>
        <v>3</v>
      </c>
      <c r="X217" s="14">
        <f t="shared" si="22"/>
        <v>2</v>
      </c>
      <c r="Y217" s="14">
        <f t="shared" si="23"/>
        <v>2</v>
      </c>
      <c r="Z217" s="16">
        <f t="shared" si="24"/>
        <v>14</v>
      </c>
      <c r="AA217" s="14">
        <f t="shared" si="25"/>
        <v>0</v>
      </c>
      <c r="AB217" s="17"/>
      <c r="AC217" s="17"/>
    </row>
    <row r="218" spans="1:29" s="21" customFormat="1" ht="13.5" customHeight="1" x14ac:dyDescent="0.2">
      <c r="A218" s="9">
        <v>8</v>
      </c>
      <c r="B218" s="9">
        <v>17</v>
      </c>
      <c r="C218" s="10">
        <v>8006</v>
      </c>
      <c r="D218" s="9">
        <v>33099308</v>
      </c>
      <c r="E218" s="34" t="s">
        <v>584</v>
      </c>
      <c r="F218" s="10" t="s">
        <v>853</v>
      </c>
      <c r="G218" s="11" t="s">
        <v>336</v>
      </c>
      <c r="H218" s="12" t="s">
        <v>1146</v>
      </c>
      <c r="I218" s="12" t="s">
        <v>1328</v>
      </c>
      <c r="J218" s="12" t="s">
        <v>1560</v>
      </c>
      <c r="K218" s="37" t="s">
        <v>1746</v>
      </c>
      <c r="L218" s="13">
        <v>50</v>
      </c>
      <c r="M218" s="13" t="s">
        <v>1764</v>
      </c>
      <c r="N218" s="14">
        <v>0</v>
      </c>
      <c r="O218" s="14">
        <v>0</v>
      </c>
      <c r="P218" s="14">
        <v>0</v>
      </c>
      <c r="Q218" s="14">
        <v>0</v>
      </c>
      <c r="R218" s="14">
        <v>20</v>
      </c>
      <c r="S218" s="14">
        <v>0</v>
      </c>
      <c r="T218" s="14">
        <v>30</v>
      </c>
      <c r="U218" s="14">
        <v>0</v>
      </c>
      <c r="V218" s="15">
        <f t="shared" si="20"/>
        <v>50</v>
      </c>
      <c r="W218" s="14">
        <f t="shared" si="21"/>
        <v>0</v>
      </c>
      <c r="X218" s="14">
        <f t="shared" si="22"/>
        <v>0</v>
      </c>
      <c r="Y218" s="14">
        <f t="shared" si="23"/>
        <v>0</v>
      </c>
      <c r="Z218" s="16">
        <f t="shared" si="24"/>
        <v>0</v>
      </c>
      <c r="AA218" s="14">
        <f t="shared" si="25"/>
        <v>0</v>
      </c>
      <c r="AB218" s="17"/>
      <c r="AC218" s="17"/>
    </row>
    <row r="219" spans="1:29" s="21" customFormat="1" ht="13.5" customHeight="1" x14ac:dyDescent="0.2">
      <c r="A219" s="9">
        <v>9</v>
      </c>
      <c r="B219" s="9">
        <v>1</v>
      </c>
      <c r="C219" s="10">
        <v>9008</v>
      </c>
      <c r="D219" s="9">
        <v>33192324</v>
      </c>
      <c r="E219" s="34" t="s">
        <v>589</v>
      </c>
      <c r="F219" s="10" t="s">
        <v>860</v>
      </c>
      <c r="G219" s="11" t="s">
        <v>343</v>
      </c>
      <c r="H219" s="12" t="s">
        <v>1150</v>
      </c>
      <c r="I219" s="12" t="s">
        <v>1150</v>
      </c>
      <c r="J219" s="12" t="s">
        <v>1567</v>
      </c>
      <c r="K219" s="37" t="s">
        <v>1749</v>
      </c>
      <c r="L219" s="13">
        <v>70</v>
      </c>
      <c r="M219" s="13" t="s">
        <v>1764</v>
      </c>
      <c r="N219" s="14">
        <v>0</v>
      </c>
      <c r="O219" s="14">
        <v>0</v>
      </c>
      <c r="P219" s="14">
        <v>25</v>
      </c>
      <c r="Q219" s="14">
        <v>0</v>
      </c>
      <c r="R219" s="14">
        <v>23</v>
      </c>
      <c r="S219" s="14">
        <v>1</v>
      </c>
      <c r="T219" s="14">
        <v>20</v>
      </c>
      <c r="U219" s="14">
        <v>0</v>
      </c>
      <c r="V219" s="15">
        <f t="shared" ref="V219:W274" si="26">SUM(N219,P219,R219,T219)</f>
        <v>68</v>
      </c>
      <c r="W219" s="14">
        <f t="shared" si="26"/>
        <v>1</v>
      </c>
      <c r="X219" s="14">
        <f t="shared" si="16"/>
        <v>0</v>
      </c>
      <c r="Y219" s="14">
        <f t="shared" si="17"/>
        <v>2</v>
      </c>
      <c r="Z219" s="16">
        <f t="shared" si="18"/>
        <v>0</v>
      </c>
      <c r="AA219" s="14">
        <f t="shared" si="19"/>
        <v>0</v>
      </c>
      <c r="AB219" s="17"/>
      <c r="AC219" s="17" t="s">
        <v>48</v>
      </c>
    </row>
    <row r="220" spans="1:29" s="21" customFormat="1" ht="13.5" customHeight="1" x14ac:dyDescent="0.2">
      <c r="A220" s="9">
        <v>9</v>
      </c>
      <c r="B220" s="9">
        <v>2</v>
      </c>
      <c r="C220" s="10">
        <v>9009</v>
      </c>
      <c r="D220" s="9">
        <v>33192340</v>
      </c>
      <c r="E220" s="34" t="s">
        <v>590</v>
      </c>
      <c r="F220" s="10" t="s">
        <v>861</v>
      </c>
      <c r="G220" s="11" t="s">
        <v>344</v>
      </c>
      <c r="H220" s="12" t="s">
        <v>1151</v>
      </c>
      <c r="I220" s="12" t="s">
        <v>1151</v>
      </c>
      <c r="J220" s="12" t="s">
        <v>1568</v>
      </c>
      <c r="K220" s="37" t="s">
        <v>1749</v>
      </c>
      <c r="L220" s="13">
        <v>100</v>
      </c>
      <c r="M220" s="13" t="s">
        <v>1764</v>
      </c>
      <c r="N220" s="14">
        <v>0</v>
      </c>
      <c r="O220" s="14">
        <v>0</v>
      </c>
      <c r="P220" s="14">
        <v>34</v>
      </c>
      <c r="Q220" s="14">
        <v>0</v>
      </c>
      <c r="R220" s="14">
        <v>24</v>
      </c>
      <c r="S220" s="14">
        <v>0</v>
      </c>
      <c r="T220" s="14">
        <v>42</v>
      </c>
      <c r="U220" s="14">
        <v>0</v>
      </c>
      <c r="V220" s="15">
        <f t="shared" si="26"/>
        <v>100</v>
      </c>
      <c r="W220" s="14">
        <f t="shared" si="26"/>
        <v>0</v>
      </c>
      <c r="X220" s="14">
        <f t="shared" si="16"/>
        <v>0</v>
      </c>
      <c r="Y220" s="14">
        <f t="shared" si="17"/>
        <v>0</v>
      </c>
      <c r="Z220" s="16">
        <f t="shared" si="18"/>
        <v>0</v>
      </c>
      <c r="AA220" s="14">
        <f t="shared" si="19"/>
        <v>0</v>
      </c>
      <c r="AB220" s="17"/>
      <c r="AC220" s="17" t="s">
        <v>48</v>
      </c>
    </row>
    <row r="221" spans="1:29" s="21" customFormat="1" ht="13.5" customHeight="1" x14ac:dyDescent="0.2">
      <c r="A221" s="9">
        <v>9</v>
      </c>
      <c r="B221" s="9">
        <v>3</v>
      </c>
      <c r="C221" s="10">
        <v>9001</v>
      </c>
      <c r="D221" s="9">
        <v>33122253</v>
      </c>
      <c r="E221" s="34" t="s">
        <v>538</v>
      </c>
      <c r="F221" s="10" t="s">
        <v>862</v>
      </c>
      <c r="G221" s="11" t="s">
        <v>345</v>
      </c>
      <c r="H221" s="12" t="s">
        <v>1152</v>
      </c>
      <c r="I221" s="12" t="s">
        <v>1242</v>
      </c>
      <c r="J221" s="12" t="s">
        <v>1569</v>
      </c>
      <c r="K221" s="37" t="s">
        <v>1749</v>
      </c>
      <c r="L221" s="13">
        <v>35</v>
      </c>
      <c r="M221" s="13" t="s">
        <v>1763</v>
      </c>
      <c r="N221" s="14">
        <v>0</v>
      </c>
      <c r="O221" s="14">
        <v>0</v>
      </c>
      <c r="P221" s="14">
        <v>0</v>
      </c>
      <c r="Q221" s="14">
        <v>0</v>
      </c>
      <c r="R221" s="14">
        <v>15</v>
      </c>
      <c r="S221" s="14">
        <v>0</v>
      </c>
      <c r="T221" s="14">
        <v>20</v>
      </c>
      <c r="U221" s="14">
        <v>0</v>
      </c>
      <c r="V221" s="15">
        <f t="shared" si="26"/>
        <v>35</v>
      </c>
      <c r="W221" s="14">
        <f t="shared" si="26"/>
        <v>0</v>
      </c>
      <c r="X221" s="14">
        <f t="shared" si="16"/>
        <v>0</v>
      </c>
      <c r="Y221" s="14">
        <f t="shared" si="17"/>
        <v>0</v>
      </c>
      <c r="Z221" s="16">
        <f t="shared" si="18"/>
        <v>0</v>
      </c>
      <c r="AA221" s="14">
        <f t="shared" si="19"/>
        <v>0</v>
      </c>
      <c r="AB221" s="17"/>
      <c r="AC221" s="17"/>
    </row>
    <row r="222" spans="1:29" s="21" customFormat="1" ht="13.5" customHeight="1" x14ac:dyDescent="0.2">
      <c r="A222" s="9">
        <v>9</v>
      </c>
      <c r="B222" s="9">
        <v>4</v>
      </c>
      <c r="C222" s="10">
        <v>9013</v>
      </c>
      <c r="D222" s="9">
        <v>33192391</v>
      </c>
      <c r="E222" s="34" t="s">
        <v>591</v>
      </c>
      <c r="F222" s="10" t="s">
        <v>863</v>
      </c>
      <c r="G222" s="11" t="s">
        <v>346</v>
      </c>
      <c r="H222" s="12" t="s">
        <v>1153</v>
      </c>
      <c r="I222" s="12" t="s">
        <v>1153</v>
      </c>
      <c r="J222" s="12" t="s">
        <v>1570</v>
      </c>
      <c r="K222" s="37" t="s">
        <v>1750</v>
      </c>
      <c r="L222" s="13">
        <v>70</v>
      </c>
      <c r="M222" s="13" t="s">
        <v>1764</v>
      </c>
      <c r="N222" s="14">
        <v>0</v>
      </c>
      <c r="O222" s="14">
        <v>0</v>
      </c>
      <c r="P222" s="14">
        <v>17</v>
      </c>
      <c r="Q222" s="14">
        <v>0</v>
      </c>
      <c r="R222" s="14">
        <v>18</v>
      </c>
      <c r="S222" s="14">
        <v>0</v>
      </c>
      <c r="T222" s="14">
        <v>34</v>
      </c>
      <c r="U222" s="14">
        <v>1</v>
      </c>
      <c r="V222" s="15">
        <f t="shared" si="26"/>
        <v>69</v>
      </c>
      <c r="W222" s="14">
        <f t="shared" si="26"/>
        <v>1</v>
      </c>
      <c r="X222" s="14">
        <f t="shared" si="16"/>
        <v>0</v>
      </c>
      <c r="Y222" s="14">
        <f t="shared" si="17"/>
        <v>2</v>
      </c>
      <c r="Z222" s="16">
        <f t="shared" si="18"/>
        <v>0</v>
      </c>
      <c r="AA222" s="14">
        <f t="shared" si="19"/>
        <v>-1</v>
      </c>
      <c r="AB222" s="17"/>
      <c r="AC222" s="17" t="s">
        <v>55</v>
      </c>
    </row>
    <row r="223" spans="1:29" s="21" customFormat="1" ht="13.5" customHeight="1" x14ac:dyDescent="0.2">
      <c r="A223" s="9">
        <v>9</v>
      </c>
      <c r="B223" s="9">
        <v>5</v>
      </c>
      <c r="C223" s="10">
        <v>9012</v>
      </c>
      <c r="D223" s="9">
        <v>33192405</v>
      </c>
      <c r="E223" s="34" t="s">
        <v>592</v>
      </c>
      <c r="F223" s="10" t="s">
        <v>864</v>
      </c>
      <c r="G223" s="11" t="s">
        <v>347</v>
      </c>
      <c r="H223" s="12" t="s">
        <v>1154</v>
      </c>
      <c r="I223" s="12" t="s">
        <v>1330</v>
      </c>
      <c r="J223" s="12" t="s">
        <v>1571</v>
      </c>
      <c r="K223" s="37" t="s">
        <v>1749</v>
      </c>
      <c r="L223" s="13">
        <v>152</v>
      </c>
      <c r="M223" s="13" t="s">
        <v>1764</v>
      </c>
      <c r="N223" s="14">
        <v>0</v>
      </c>
      <c r="O223" s="14">
        <v>0</v>
      </c>
      <c r="P223" s="14">
        <v>24</v>
      </c>
      <c r="Q223" s="14">
        <v>0</v>
      </c>
      <c r="R223" s="14">
        <v>71</v>
      </c>
      <c r="S223" s="14">
        <v>0</v>
      </c>
      <c r="T223" s="14">
        <v>55</v>
      </c>
      <c r="U223" s="14">
        <v>0</v>
      </c>
      <c r="V223" s="15">
        <f t="shared" si="26"/>
        <v>150</v>
      </c>
      <c r="W223" s="14">
        <f t="shared" si="26"/>
        <v>0</v>
      </c>
      <c r="X223" s="14">
        <f t="shared" si="16"/>
        <v>0</v>
      </c>
      <c r="Y223" s="14">
        <f t="shared" si="17"/>
        <v>0</v>
      </c>
      <c r="Z223" s="16">
        <f t="shared" si="18"/>
        <v>2</v>
      </c>
      <c r="AA223" s="14">
        <f t="shared" si="19"/>
        <v>0</v>
      </c>
      <c r="AB223" s="17"/>
      <c r="AC223" s="17" t="s">
        <v>48</v>
      </c>
    </row>
    <row r="224" spans="1:29" s="21" customFormat="1" ht="13.5" customHeight="1" x14ac:dyDescent="0.2">
      <c r="A224" s="9">
        <v>9</v>
      </c>
      <c r="B224" s="9">
        <v>6</v>
      </c>
      <c r="C224" s="10">
        <v>9004</v>
      </c>
      <c r="D224" s="9">
        <v>33164886</v>
      </c>
      <c r="E224" s="34" t="s">
        <v>593</v>
      </c>
      <c r="F224" s="10" t="s">
        <v>865</v>
      </c>
      <c r="G224" s="11" t="s">
        <v>348</v>
      </c>
      <c r="H224" s="12" t="s">
        <v>1155</v>
      </c>
      <c r="I224" s="12" t="s">
        <v>1331</v>
      </c>
      <c r="J224" s="12" t="s">
        <v>1572</v>
      </c>
      <c r="K224" s="37" t="s">
        <v>1749</v>
      </c>
      <c r="L224" s="13">
        <v>168</v>
      </c>
      <c r="M224" s="13" t="s">
        <v>1764</v>
      </c>
      <c r="N224" s="14">
        <v>0</v>
      </c>
      <c r="O224" s="14">
        <v>0</v>
      </c>
      <c r="P224" s="14">
        <v>36</v>
      </c>
      <c r="Q224" s="14">
        <v>0</v>
      </c>
      <c r="R224" s="14">
        <v>60</v>
      </c>
      <c r="S224" s="14">
        <v>2</v>
      </c>
      <c r="T224" s="14">
        <v>70</v>
      </c>
      <c r="U224" s="14">
        <v>1</v>
      </c>
      <c r="V224" s="15">
        <f t="shared" si="26"/>
        <v>166</v>
      </c>
      <c r="W224" s="14">
        <f t="shared" si="26"/>
        <v>3</v>
      </c>
      <c r="X224" s="14">
        <f t="shared" si="16"/>
        <v>0</v>
      </c>
      <c r="Y224" s="14">
        <f t="shared" si="17"/>
        <v>2</v>
      </c>
      <c r="Z224" s="16">
        <f t="shared" si="18"/>
        <v>0</v>
      </c>
      <c r="AA224" s="14">
        <f t="shared" si="19"/>
        <v>0</v>
      </c>
      <c r="AB224" s="17"/>
      <c r="AC224" s="17"/>
    </row>
    <row r="225" spans="1:29" s="21" customFormat="1" ht="13.5" customHeight="1" x14ac:dyDescent="0.2">
      <c r="A225" s="9">
        <v>9</v>
      </c>
      <c r="B225" s="9">
        <v>7</v>
      </c>
      <c r="C225" s="10">
        <v>9010</v>
      </c>
      <c r="D225" s="9">
        <v>33185786</v>
      </c>
      <c r="E225" s="34" t="s">
        <v>594</v>
      </c>
      <c r="F225" s="10" t="s">
        <v>866</v>
      </c>
      <c r="G225" s="11" t="s">
        <v>349</v>
      </c>
      <c r="H225" s="12" t="s">
        <v>1156</v>
      </c>
      <c r="I225" s="12" t="s">
        <v>1332</v>
      </c>
      <c r="J225" s="12" t="s">
        <v>1573</v>
      </c>
      <c r="K225" s="37" t="s">
        <v>1749</v>
      </c>
      <c r="L225" s="13">
        <v>124</v>
      </c>
      <c r="M225" s="13" t="s">
        <v>1763</v>
      </c>
      <c r="N225" s="14">
        <v>0</v>
      </c>
      <c r="O225" s="14">
        <v>0</v>
      </c>
      <c r="P225" s="14">
        <v>0</v>
      </c>
      <c r="Q225" s="14">
        <v>0</v>
      </c>
      <c r="R225" s="14">
        <v>46</v>
      </c>
      <c r="S225" s="14">
        <v>0</v>
      </c>
      <c r="T225" s="14">
        <v>76</v>
      </c>
      <c r="U225" s="14">
        <v>1</v>
      </c>
      <c r="V225" s="15">
        <f t="shared" si="26"/>
        <v>122</v>
      </c>
      <c r="W225" s="14">
        <f t="shared" si="26"/>
        <v>1</v>
      </c>
      <c r="X225" s="14">
        <f t="shared" si="16"/>
        <v>0</v>
      </c>
      <c r="Y225" s="14">
        <f t="shared" si="17"/>
        <v>2</v>
      </c>
      <c r="Z225" s="16">
        <f t="shared" si="18"/>
        <v>0</v>
      </c>
      <c r="AA225" s="14">
        <f t="shared" si="19"/>
        <v>0</v>
      </c>
      <c r="AB225" s="17"/>
      <c r="AC225" s="17" t="s">
        <v>48</v>
      </c>
    </row>
    <row r="226" spans="1:29" s="21" customFormat="1" ht="13.5" customHeight="1" x14ac:dyDescent="0.2">
      <c r="A226" s="9">
        <v>9</v>
      </c>
      <c r="B226" s="9">
        <v>8</v>
      </c>
      <c r="C226" s="10">
        <v>9011</v>
      </c>
      <c r="D226" s="9" t="s">
        <v>127</v>
      </c>
      <c r="E226" s="34" t="s">
        <v>519</v>
      </c>
      <c r="F226" s="10" t="s">
        <v>867</v>
      </c>
      <c r="G226" s="11" t="s">
        <v>350</v>
      </c>
      <c r="H226" s="12" t="s">
        <v>1157</v>
      </c>
      <c r="I226" s="12" t="s">
        <v>1071</v>
      </c>
      <c r="J226" s="12" t="s">
        <v>1574</v>
      </c>
      <c r="K226" s="37" t="s">
        <v>1749</v>
      </c>
      <c r="L226" s="13">
        <v>151</v>
      </c>
      <c r="M226" s="13" t="s">
        <v>1764</v>
      </c>
      <c r="N226" s="14">
        <v>0</v>
      </c>
      <c r="O226" s="14">
        <v>0</v>
      </c>
      <c r="P226" s="14">
        <v>48</v>
      </c>
      <c r="Q226" s="14">
        <v>0</v>
      </c>
      <c r="R226" s="14">
        <v>50</v>
      </c>
      <c r="S226" s="14">
        <v>0</v>
      </c>
      <c r="T226" s="14">
        <v>47</v>
      </c>
      <c r="U226" s="14">
        <v>0</v>
      </c>
      <c r="V226" s="15">
        <f t="shared" si="26"/>
        <v>145</v>
      </c>
      <c r="W226" s="14">
        <f t="shared" si="26"/>
        <v>0</v>
      </c>
      <c r="X226" s="14">
        <f t="shared" si="16"/>
        <v>0</v>
      </c>
      <c r="Y226" s="14">
        <f t="shared" si="17"/>
        <v>0</v>
      </c>
      <c r="Z226" s="16">
        <f t="shared" si="18"/>
        <v>6</v>
      </c>
      <c r="AA226" s="14">
        <f t="shared" si="19"/>
        <v>0</v>
      </c>
      <c r="AB226" s="17"/>
      <c r="AC226" s="17" t="s">
        <v>48</v>
      </c>
    </row>
    <row r="227" spans="1:29" s="21" customFormat="1" ht="13.5" customHeight="1" x14ac:dyDescent="0.2">
      <c r="A227" s="9">
        <v>9</v>
      </c>
      <c r="B227" s="9">
        <v>9</v>
      </c>
      <c r="C227" s="10">
        <v>9002</v>
      </c>
      <c r="D227" s="9">
        <v>33122296</v>
      </c>
      <c r="E227" s="34" t="s">
        <v>538</v>
      </c>
      <c r="F227" s="10" t="s">
        <v>868</v>
      </c>
      <c r="G227" s="11" t="s">
        <v>351</v>
      </c>
      <c r="H227" s="12" t="s">
        <v>1158</v>
      </c>
      <c r="I227" s="12" t="s">
        <v>1242</v>
      </c>
      <c r="J227" s="12" t="s">
        <v>1575</v>
      </c>
      <c r="K227" s="37" t="s">
        <v>1749</v>
      </c>
      <c r="L227" s="13">
        <v>34</v>
      </c>
      <c r="M227" s="13" t="s">
        <v>1763</v>
      </c>
      <c r="N227" s="14">
        <v>0</v>
      </c>
      <c r="O227" s="14">
        <v>0</v>
      </c>
      <c r="P227" s="14">
        <v>0</v>
      </c>
      <c r="Q227" s="14">
        <v>0</v>
      </c>
      <c r="R227" s="14">
        <v>15</v>
      </c>
      <c r="S227" s="14">
        <v>0</v>
      </c>
      <c r="T227" s="14">
        <v>19</v>
      </c>
      <c r="U227" s="14">
        <v>0</v>
      </c>
      <c r="V227" s="15">
        <f t="shared" si="26"/>
        <v>34</v>
      </c>
      <c r="W227" s="14">
        <f t="shared" si="26"/>
        <v>0</v>
      </c>
      <c r="X227" s="14">
        <f t="shared" si="16"/>
        <v>0</v>
      </c>
      <c r="Y227" s="14">
        <f t="shared" si="17"/>
        <v>0</v>
      </c>
      <c r="Z227" s="16">
        <f t="shared" si="18"/>
        <v>0</v>
      </c>
      <c r="AA227" s="14">
        <f t="shared" si="19"/>
        <v>0</v>
      </c>
      <c r="AB227" s="17"/>
      <c r="AC227" s="17"/>
    </row>
    <row r="228" spans="1:29" s="21" customFormat="1" ht="13.5" customHeight="1" x14ac:dyDescent="0.2">
      <c r="A228" s="9">
        <v>9</v>
      </c>
      <c r="B228" s="9">
        <v>10</v>
      </c>
      <c r="C228" s="10">
        <v>9003</v>
      </c>
      <c r="D228" s="9">
        <v>33122482</v>
      </c>
      <c r="E228" s="34" t="s">
        <v>595</v>
      </c>
      <c r="F228" s="10" t="s">
        <v>869</v>
      </c>
      <c r="G228" s="11" t="s">
        <v>352</v>
      </c>
      <c r="H228" s="12" t="s">
        <v>1159</v>
      </c>
      <c r="I228" s="12" t="s">
        <v>1242</v>
      </c>
      <c r="J228" s="12" t="s">
        <v>1576</v>
      </c>
      <c r="K228" s="37" t="s">
        <v>1749</v>
      </c>
      <c r="L228" s="13">
        <v>35</v>
      </c>
      <c r="M228" s="13" t="s">
        <v>1763</v>
      </c>
      <c r="N228" s="14">
        <v>0</v>
      </c>
      <c r="O228" s="14">
        <v>0</v>
      </c>
      <c r="P228" s="14">
        <v>0</v>
      </c>
      <c r="Q228" s="14">
        <v>0</v>
      </c>
      <c r="R228" s="14">
        <v>15</v>
      </c>
      <c r="S228" s="14">
        <v>0</v>
      </c>
      <c r="T228" s="14">
        <v>20</v>
      </c>
      <c r="U228" s="14">
        <v>0</v>
      </c>
      <c r="V228" s="15">
        <f t="shared" si="26"/>
        <v>35</v>
      </c>
      <c r="W228" s="14">
        <f t="shared" si="26"/>
        <v>0</v>
      </c>
      <c r="X228" s="14">
        <f t="shared" si="16"/>
        <v>0</v>
      </c>
      <c r="Y228" s="14">
        <f t="shared" si="17"/>
        <v>0</v>
      </c>
      <c r="Z228" s="16">
        <f t="shared" si="18"/>
        <v>0</v>
      </c>
      <c r="AA228" s="14">
        <f t="shared" si="19"/>
        <v>0</v>
      </c>
      <c r="AB228" s="17"/>
      <c r="AC228" s="17"/>
    </row>
    <row r="229" spans="1:29" s="21" customFormat="1" ht="13.5" customHeight="1" x14ac:dyDescent="0.2">
      <c r="A229" s="9">
        <v>9</v>
      </c>
      <c r="B229" s="9">
        <v>11</v>
      </c>
      <c r="C229" s="10">
        <v>9007</v>
      </c>
      <c r="D229" s="9">
        <v>33177058</v>
      </c>
      <c r="E229" s="34" t="s">
        <v>596</v>
      </c>
      <c r="F229" s="10" t="s">
        <v>870</v>
      </c>
      <c r="G229" s="11" t="s">
        <v>353</v>
      </c>
      <c r="H229" s="12" t="s">
        <v>1160</v>
      </c>
      <c r="I229" s="12" t="s">
        <v>1333</v>
      </c>
      <c r="J229" s="12" t="s">
        <v>1577</v>
      </c>
      <c r="K229" s="37" t="s">
        <v>1749</v>
      </c>
      <c r="L229" s="13">
        <v>85</v>
      </c>
      <c r="M229" s="13" t="s">
        <v>1764</v>
      </c>
      <c r="N229" s="14">
        <v>0</v>
      </c>
      <c r="O229" s="14">
        <v>0</v>
      </c>
      <c r="P229" s="14">
        <v>36</v>
      </c>
      <c r="Q229" s="14">
        <v>0</v>
      </c>
      <c r="R229" s="14">
        <v>24</v>
      </c>
      <c r="S229" s="14">
        <v>0</v>
      </c>
      <c r="T229" s="14">
        <v>25</v>
      </c>
      <c r="U229" s="14">
        <v>0</v>
      </c>
      <c r="V229" s="15">
        <f t="shared" si="26"/>
        <v>85</v>
      </c>
      <c r="W229" s="14">
        <f t="shared" si="26"/>
        <v>0</v>
      </c>
      <c r="X229" s="14">
        <f t="shared" si="16"/>
        <v>0</v>
      </c>
      <c r="Y229" s="14">
        <f t="shared" si="17"/>
        <v>0</v>
      </c>
      <c r="Z229" s="16">
        <f t="shared" si="18"/>
        <v>0</v>
      </c>
      <c r="AA229" s="14">
        <f t="shared" si="19"/>
        <v>0</v>
      </c>
      <c r="AB229" s="17"/>
      <c r="AC229" s="17"/>
    </row>
    <row r="230" spans="1:29" s="21" customFormat="1" ht="13.5" customHeight="1" x14ac:dyDescent="0.2">
      <c r="A230" s="9">
        <v>9</v>
      </c>
      <c r="B230" s="9">
        <v>12</v>
      </c>
      <c r="C230" s="10">
        <v>9014</v>
      </c>
      <c r="D230" s="9">
        <v>33192383</v>
      </c>
      <c r="E230" s="34" t="s">
        <v>597</v>
      </c>
      <c r="F230" s="10" t="s">
        <v>871</v>
      </c>
      <c r="G230" s="11" t="s">
        <v>354</v>
      </c>
      <c r="H230" s="12" t="s">
        <v>1161</v>
      </c>
      <c r="I230" s="12" t="s">
        <v>1334</v>
      </c>
      <c r="J230" s="12" t="s">
        <v>1578</v>
      </c>
      <c r="K230" s="37" t="s">
        <v>1751</v>
      </c>
      <c r="L230" s="13">
        <v>117</v>
      </c>
      <c r="M230" s="13" t="s">
        <v>1764</v>
      </c>
      <c r="N230" s="14">
        <v>0</v>
      </c>
      <c r="O230" s="14">
        <v>0</v>
      </c>
      <c r="P230" s="14">
        <v>17</v>
      </c>
      <c r="Q230" s="14">
        <v>0</v>
      </c>
      <c r="R230" s="14">
        <v>38</v>
      </c>
      <c r="S230" s="14">
        <v>1</v>
      </c>
      <c r="T230" s="14">
        <v>58</v>
      </c>
      <c r="U230" s="14">
        <v>1</v>
      </c>
      <c r="V230" s="15">
        <f t="shared" si="26"/>
        <v>113</v>
      </c>
      <c r="W230" s="14">
        <f t="shared" si="26"/>
        <v>2</v>
      </c>
      <c r="X230" s="14">
        <f t="shared" si="16"/>
        <v>0</v>
      </c>
      <c r="Y230" s="14">
        <f t="shared" si="17"/>
        <v>2</v>
      </c>
      <c r="Z230" s="16">
        <f t="shared" si="18"/>
        <v>2</v>
      </c>
      <c r="AA230" s="14">
        <f t="shared" si="19"/>
        <v>0</v>
      </c>
      <c r="AB230" s="17"/>
      <c r="AC230" s="17" t="s">
        <v>55</v>
      </c>
    </row>
    <row r="231" spans="1:29" s="21" customFormat="1" ht="13.5" customHeight="1" x14ac:dyDescent="0.2">
      <c r="A231" s="9">
        <v>9</v>
      </c>
      <c r="B231" s="9">
        <v>13</v>
      </c>
      <c r="C231" s="10">
        <v>9015</v>
      </c>
      <c r="D231" s="9">
        <v>33192332</v>
      </c>
      <c r="E231" s="34" t="s">
        <v>598</v>
      </c>
      <c r="F231" s="10" t="s">
        <v>872</v>
      </c>
      <c r="G231" s="11" t="s">
        <v>355</v>
      </c>
      <c r="H231" s="12" t="s">
        <v>963</v>
      </c>
      <c r="I231" s="12" t="s">
        <v>1335</v>
      </c>
      <c r="J231" s="12" t="s">
        <v>1579</v>
      </c>
      <c r="K231" s="37" t="s">
        <v>1751</v>
      </c>
      <c r="L231" s="13">
        <v>191</v>
      </c>
      <c r="M231" s="13" t="s">
        <v>1765</v>
      </c>
      <c r="N231" s="14">
        <v>0</v>
      </c>
      <c r="O231" s="14">
        <v>0</v>
      </c>
      <c r="P231" s="14">
        <v>60</v>
      </c>
      <c r="Q231" s="14">
        <v>0</v>
      </c>
      <c r="R231" s="14">
        <v>74</v>
      </c>
      <c r="S231" s="14">
        <v>2</v>
      </c>
      <c r="T231" s="14">
        <v>50</v>
      </c>
      <c r="U231" s="14">
        <v>1</v>
      </c>
      <c r="V231" s="15">
        <f t="shared" si="26"/>
        <v>184</v>
      </c>
      <c r="W231" s="14">
        <f t="shared" si="26"/>
        <v>3</v>
      </c>
      <c r="X231" s="14">
        <f t="shared" si="16"/>
        <v>0</v>
      </c>
      <c r="Y231" s="14">
        <f t="shared" si="17"/>
        <v>2</v>
      </c>
      <c r="Z231" s="16">
        <f t="shared" si="18"/>
        <v>5</v>
      </c>
      <c r="AA231" s="14">
        <f t="shared" si="19"/>
        <v>0</v>
      </c>
      <c r="AB231" s="17" t="s">
        <v>1769</v>
      </c>
      <c r="AC231" s="17" t="s">
        <v>61</v>
      </c>
    </row>
    <row r="232" spans="1:29" s="21" customFormat="1" ht="13.5" customHeight="1" x14ac:dyDescent="0.2">
      <c r="A232" s="9">
        <v>9</v>
      </c>
      <c r="B232" s="9">
        <v>14</v>
      </c>
      <c r="C232" s="10">
        <v>9016</v>
      </c>
      <c r="D232" s="9">
        <v>33193193</v>
      </c>
      <c r="E232" s="34" t="s">
        <v>598</v>
      </c>
      <c r="F232" s="10" t="s">
        <v>873</v>
      </c>
      <c r="G232" s="11" t="s">
        <v>356</v>
      </c>
      <c r="H232" s="12" t="s">
        <v>1162</v>
      </c>
      <c r="I232" s="12" t="s">
        <v>1335</v>
      </c>
      <c r="J232" s="12" t="s">
        <v>1580</v>
      </c>
      <c r="K232" s="37" t="s">
        <v>1749</v>
      </c>
      <c r="L232" s="13">
        <v>125</v>
      </c>
      <c r="M232" s="13" t="s">
        <v>1764</v>
      </c>
      <c r="N232" s="14">
        <v>0</v>
      </c>
      <c r="O232" s="14">
        <v>0</v>
      </c>
      <c r="P232" s="14">
        <v>25</v>
      </c>
      <c r="Q232" s="14">
        <v>0</v>
      </c>
      <c r="R232" s="14">
        <v>75</v>
      </c>
      <c r="S232" s="14">
        <v>1</v>
      </c>
      <c r="T232" s="14">
        <v>25</v>
      </c>
      <c r="U232" s="14">
        <v>0</v>
      </c>
      <c r="V232" s="15">
        <f t="shared" si="26"/>
        <v>125</v>
      </c>
      <c r="W232" s="14">
        <f t="shared" si="26"/>
        <v>1</v>
      </c>
      <c r="X232" s="14">
        <f t="shared" si="16"/>
        <v>0</v>
      </c>
      <c r="Y232" s="14">
        <f t="shared" si="17"/>
        <v>2</v>
      </c>
      <c r="Z232" s="16">
        <f t="shared" si="18"/>
        <v>0</v>
      </c>
      <c r="AA232" s="14">
        <f t="shared" si="19"/>
        <v>-2</v>
      </c>
      <c r="AB232" s="17" t="s">
        <v>1770</v>
      </c>
      <c r="AC232" s="17" t="s">
        <v>61</v>
      </c>
    </row>
    <row r="233" spans="1:29" s="21" customFormat="1" ht="13.5" customHeight="1" x14ac:dyDescent="0.2">
      <c r="A233" s="9">
        <v>9</v>
      </c>
      <c r="B233" s="9">
        <v>15</v>
      </c>
      <c r="C233" s="10">
        <v>9017</v>
      </c>
      <c r="D233" s="9">
        <v>33192375</v>
      </c>
      <c r="E233" s="34" t="s">
        <v>599</v>
      </c>
      <c r="F233" s="10" t="s">
        <v>874</v>
      </c>
      <c r="G233" s="11" t="s">
        <v>357</v>
      </c>
      <c r="H233" s="12" t="s">
        <v>1163</v>
      </c>
      <c r="I233" s="12" t="s">
        <v>1336</v>
      </c>
      <c r="J233" s="12" t="s">
        <v>1581</v>
      </c>
      <c r="K233" s="37" t="s">
        <v>1749</v>
      </c>
      <c r="L233" s="13">
        <v>140</v>
      </c>
      <c r="M233" s="13" t="s">
        <v>1765</v>
      </c>
      <c r="N233" s="14">
        <v>0</v>
      </c>
      <c r="O233" s="14">
        <v>0</v>
      </c>
      <c r="P233" s="14">
        <v>0</v>
      </c>
      <c r="Q233" s="14">
        <v>0</v>
      </c>
      <c r="R233" s="14">
        <v>29</v>
      </c>
      <c r="S233" s="14">
        <v>0</v>
      </c>
      <c r="T233" s="14">
        <v>111</v>
      </c>
      <c r="U233" s="14">
        <v>2</v>
      </c>
      <c r="V233" s="15">
        <f t="shared" si="26"/>
        <v>140</v>
      </c>
      <c r="W233" s="14">
        <f t="shared" si="26"/>
        <v>2</v>
      </c>
      <c r="X233" s="14">
        <f t="shared" si="16"/>
        <v>0</v>
      </c>
      <c r="Y233" s="14">
        <f t="shared" si="17"/>
        <v>2</v>
      </c>
      <c r="Z233" s="16">
        <f t="shared" si="18"/>
        <v>0</v>
      </c>
      <c r="AA233" s="14">
        <f t="shared" si="19"/>
        <v>-2</v>
      </c>
      <c r="AB233" s="17"/>
      <c r="AC233" s="17" t="s">
        <v>61</v>
      </c>
    </row>
    <row r="234" spans="1:29" s="21" customFormat="1" ht="13.5" customHeight="1" x14ac:dyDescent="0.2">
      <c r="A234" s="9">
        <v>9</v>
      </c>
      <c r="B234" s="9">
        <v>16</v>
      </c>
      <c r="C234" s="10">
        <v>9018</v>
      </c>
      <c r="D234" s="9">
        <v>33195250</v>
      </c>
      <c r="E234" s="34" t="s">
        <v>600</v>
      </c>
      <c r="F234" s="10" t="s">
        <v>875</v>
      </c>
      <c r="G234" s="11" t="s">
        <v>358</v>
      </c>
      <c r="H234" s="12" t="s">
        <v>100</v>
      </c>
      <c r="I234" s="12" t="s">
        <v>100</v>
      </c>
      <c r="J234" s="12" t="s">
        <v>1582</v>
      </c>
      <c r="K234" s="37" t="s">
        <v>1751</v>
      </c>
      <c r="L234" s="13">
        <v>126</v>
      </c>
      <c r="M234" s="13" t="s">
        <v>1764</v>
      </c>
      <c r="N234" s="14">
        <v>0</v>
      </c>
      <c r="O234" s="14">
        <v>0</v>
      </c>
      <c r="P234" s="14">
        <v>24</v>
      </c>
      <c r="Q234" s="14">
        <v>0</v>
      </c>
      <c r="R234" s="14">
        <v>59</v>
      </c>
      <c r="S234" s="14">
        <v>0</v>
      </c>
      <c r="T234" s="14">
        <v>42</v>
      </c>
      <c r="U234" s="14">
        <v>0</v>
      </c>
      <c r="V234" s="15">
        <f t="shared" si="26"/>
        <v>125</v>
      </c>
      <c r="W234" s="14">
        <f t="shared" si="26"/>
        <v>0</v>
      </c>
      <c r="X234" s="14">
        <f t="shared" si="16"/>
        <v>0</v>
      </c>
      <c r="Y234" s="14">
        <f t="shared" si="17"/>
        <v>0</v>
      </c>
      <c r="Z234" s="16">
        <f t="shared" si="18"/>
        <v>1</v>
      </c>
      <c r="AA234" s="14">
        <f t="shared" si="19"/>
        <v>0</v>
      </c>
      <c r="AB234" s="17"/>
      <c r="AC234" s="17" t="s">
        <v>52</v>
      </c>
    </row>
    <row r="235" spans="1:29" s="21" customFormat="1" ht="13.5" customHeight="1" x14ac:dyDescent="0.2">
      <c r="A235" s="9">
        <v>9</v>
      </c>
      <c r="B235" s="9">
        <v>17</v>
      </c>
      <c r="C235" s="10">
        <v>9019</v>
      </c>
      <c r="D235" s="9">
        <v>33195145</v>
      </c>
      <c r="E235" s="34" t="s">
        <v>601</v>
      </c>
      <c r="F235" s="10" t="s">
        <v>876</v>
      </c>
      <c r="G235" s="11" t="s">
        <v>359</v>
      </c>
      <c r="H235" s="12" t="s">
        <v>135</v>
      </c>
      <c r="I235" s="12" t="s">
        <v>101</v>
      </c>
      <c r="J235" s="12" t="s">
        <v>1583</v>
      </c>
      <c r="K235" s="37" t="s">
        <v>1751</v>
      </c>
      <c r="L235" s="13">
        <v>102</v>
      </c>
      <c r="M235" s="13" t="s">
        <v>1764</v>
      </c>
      <c r="N235" s="14">
        <v>0</v>
      </c>
      <c r="O235" s="14">
        <v>0</v>
      </c>
      <c r="P235" s="14">
        <v>24</v>
      </c>
      <c r="Q235" s="14">
        <v>0</v>
      </c>
      <c r="R235" s="14">
        <v>57</v>
      </c>
      <c r="S235" s="14">
        <v>1</v>
      </c>
      <c r="T235" s="14">
        <v>14</v>
      </c>
      <c r="U235" s="14">
        <v>2</v>
      </c>
      <c r="V235" s="15">
        <f t="shared" si="26"/>
        <v>95</v>
      </c>
      <c r="W235" s="14">
        <f t="shared" si="26"/>
        <v>3</v>
      </c>
      <c r="X235" s="14">
        <f t="shared" si="16"/>
        <v>0</v>
      </c>
      <c r="Y235" s="14">
        <f t="shared" si="17"/>
        <v>2</v>
      </c>
      <c r="Z235" s="16">
        <f t="shared" si="18"/>
        <v>5</v>
      </c>
      <c r="AA235" s="14">
        <f t="shared" si="19"/>
        <v>0</v>
      </c>
      <c r="AB235" s="17"/>
      <c r="AC235" s="17" t="s">
        <v>52</v>
      </c>
    </row>
    <row r="236" spans="1:29" s="21" customFormat="1" ht="13.5" customHeight="1" x14ac:dyDescent="0.2">
      <c r="A236" s="9">
        <v>9</v>
      </c>
      <c r="B236" s="9">
        <v>18</v>
      </c>
      <c r="C236" s="10">
        <v>9020</v>
      </c>
      <c r="D236" s="9">
        <v>33195234</v>
      </c>
      <c r="E236" s="34" t="s">
        <v>601</v>
      </c>
      <c r="F236" s="10" t="s">
        <v>877</v>
      </c>
      <c r="G236" s="11" t="s">
        <v>360</v>
      </c>
      <c r="H236" s="12" t="s">
        <v>136</v>
      </c>
      <c r="I236" s="12" t="s">
        <v>101</v>
      </c>
      <c r="J236" s="12" t="s">
        <v>1584</v>
      </c>
      <c r="K236" s="37" t="s">
        <v>1749</v>
      </c>
      <c r="L236" s="13">
        <v>102</v>
      </c>
      <c r="M236" s="13" t="s">
        <v>1764</v>
      </c>
      <c r="N236" s="14">
        <v>0</v>
      </c>
      <c r="O236" s="14">
        <v>0</v>
      </c>
      <c r="P236" s="14">
        <v>24</v>
      </c>
      <c r="Q236" s="14">
        <v>0</v>
      </c>
      <c r="R236" s="14">
        <v>55</v>
      </c>
      <c r="S236" s="14">
        <v>2</v>
      </c>
      <c r="T236" s="14">
        <v>22</v>
      </c>
      <c r="U236" s="14">
        <v>3</v>
      </c>
      <c r="V236" s="15">
        <f t="shared" si="26"/>
        <v>101</v>
      </c>
      <c r="W236" s="14">
        <f t="shared" si="26"/>
        <v>5</v>
      </c>
      <c r="X236" s="14">
        <f t="shared" si="16"/>
        <v>0</v>
      </c>
      <c r="Y236" s="14">
        <f t="shared" si="17"/>
        <v>2</v>
      </c>
      <c r="Z236" s="16">
        <f t="shared" si="18"/>
        <v>0</v>
      </c>
      <c r="AA236" s="14">
        <f t="shared" si="19"/>
        <v>-1</v>
      </c>
      <c r="AB236" s="17"/>
      <c r="AC236" s="17" t="s">
        <v>52</v>
      </c>
    </row>
    <row r="237" spans="1:29" s="21" customFormat="1" ht="13.5" customHeight="1" x14ac:dyDescent="0.2">
      <c r="A237" s="9">
        <v>9</v>
      </c>
      <c r="B237" s="9">
        <v>19</v>
      </c>
      <c r="C237" s="10">
        <v>9021</v>
      </c>
      <c r="D237" s="9">
        <v>33195129</v>
      </c>
      <c r="E237" s="34" t="s">
        <v>602</v>
      </c>
      <c r="F237" s="10" t="s">
        <v>878</v>
      </c>
      <c r="G237" s="11" t="s">
        <v>361</v>
      </c>
      <c r="H237" s="12" t="s">
        <v>102</v>
      </c>
      <c r="I237" s="12" t="s">
        <v>102</v>
      </c>
      <c r="J237" s="12" t="s">
        <v>1585</v>
      </c>
      <c r="K237" s="37" t="s">
        <v>1752</v>
      </c>
      <c r="L237" s="13">
        <v>242</v>
      </c>
      <c r="M237" s="13" t="s">
        <v>1767</v>
      </c>
      <c r="N237" s="14">
        <v>0</v>
      </c>
      <c r="O237" s="14">
        <v>0</v>
      </c>
      <c r="P237" s="14">
        <v>66</v>
      </c>
      <c r="Q237" s="14">
        <v>0</v>
      </c>
      <c r="R237" s="14">
        <v>108</v>
      </c>
      <c r="S237" s="14">
        <v>2</v>
      </c>
      <c r="T237" s="14">
        <v>65</v>
      </c>
      <c r="U237" s="14">
        <v>1</v>
      </c>
      <c r="V237" s="15">
        <f t="shared" si="26"/>
        <v>239</v>
      </c>
      <c r="W237" s="14">
        <f t="shared" si="26"/>
        <v>3</v>
      </c>
      <c r="X237" s="14">
        <f t="shared" si="16"/>
        <v>0</v>
      </c>
      <c r="Y237" s="14">
        <f t="shared" si="17"/>
        <v>2</v>
      </c>
      <c r="Z237" s="16">
        <f t="shared" si="18"/>
        <v>1</v>
      </c>
      <c r="AA237" s="14">
        <f t="shared" si="19"/>
        <v>0</v>
      </c>
      <c r="AB237" s="17"/>
      <c r="AC237" s="17" t="s">
        <v>52</v>
      </c>
    </row>
    <row r="238" spans="1:29" s="21" customFormat="1" ht="13.5" customHeight="1" x14ac:dyDescent="0.2">
      <c r="A238" s="9">
        <v>9</v>
      </c>
      <c r="B238" s="9">
        <v>20</v>
      </c>
      <c r="C238" s="10">
        <v>9022</v>
      </c>
      <c r="D238" s="9">
        <v>33195242</v>
      </c>
      <c r="E238" s="34" t="s">
        <v>603</v>
      </c>
      <c r="F238" s="10" t="s">
        <v>879</v>
      </c>
      <c r="G238" s="11" t="s">
        <v>362</v>
      </c>
      <c r="H238" s="12" t="s">
        <v>103</v>
      </c>
      <c r="I238" s="12" t="s">
        <v>103</v>
      </c>
      <c r="J238" s="12" t="s">
        <v>1586</v>
      </c>
      <c r="K238" s="37" t="s">
        <v>1728</v>
      </c>
      <c r="L238" s="13">
        <v>110</v>
      </c>
      <c r="M238" s="13" t="s">
        <v>1764</v>
      </c>
      <c r="N238" s="14">
        <v>0</v>
      </c>
      <c r="O238" s="14">
        <v>0</v>
      </c>
      <c r="P238" s="14">
        <v>22</v>
      </c>
      <c r="Q238" s="14">
        <v>1</v>
      </c>
      <c r="R238" s="14">
        <v>50</v>
      </c>
      <c r="S238" s="14">
        <v>0</v>
      </c>
      <c r="T238" s="14">
        <v>36</v>
      </c>
      <c r="U238" s="14">
        <v>0</v>
      </c>
      <c r="V238" s="15">
        <f t="shared" si="26"/>
        <v>108</v>
      </c>
      <c r="W238" s="14">
        <f t="shared" si="26"/>
        <v>1</v>
      </c>
      <c r="X238" s="14">
        <f t="shared" si="16"/>
        <v>2</v>
      </c>
      <c r="Y238" s="14">
        <f t="shared" si="17"/>
        <v>0</v>
      </c>
      <c r="Z238" s="16">
        <f t="shared" si="18"/>
        <v>0</v>
      </c>
      <c r="AA238" s="14">
        <f t="shared" si="19"/>
        <v>0</v>
      </c>
      <c r="AB238" s="17"/>
      <c r="AC238" s="17" t="s">
        <v>54</v>
      </c>
    </row>
    <row r="239" spans="1:29" s="21" customFormat="1" ht="13.5" customHeight="1" x14ac:dyDescent="0.2">
      <c r="A239" s="9">
        <v>9</v>
      </c>
      <c r="B239" s="9">
        <v>21</v>
      </c>
      <c r="C239" s="10">
        <v>9023</v>
      </c>
      <c r="D239" s="9">
        <v>33195137</v>
      </c>
      <c r="E239" s="34">
        <v>46908357000173</v>
      </c>
      <c r="F239" s="10" t="s">
        <v>121</v>
      </c>
      <c r="G239" s="11" t="s">
        <v>363</v>
      </c>
      <c r="H239" s="12" t="s">
        <v>104</v>
      </c>
      <c r="I239" s="12" t="s">
        <v>104</v>
      </c>
      <c r="J239" s="12" t="s">
        <v>1587</v>
      </c>
      <c r="K239" s="37" t="s">
        <v>1751</v>
      </c>
      <c r="L239" s="13">
        <v>70</v>
      </c>
      <c r="M239" s="13" t="s">
        <v>1764</v>
      </c>
      <c r="N239" s="14">
        <v>0</v>
      </c>
      <c r="O239" s="14">
        <v>0</v>
      </c>
      <c r="P239" s="14">
        <v>19</v>
      </c>
      <c r="Q239" s="14">
        <v>1</v>
      </c>
      <c r="R239" s="14">
        <v>31</v>
      </c>
      <c r="S239" s="14">
        <v>0</v>
      </c>
      <c r="T239" s="14">
        <v>18</v>
      </c>
      <c r="U239" s="14">
        <v>0</v>
      </c>
      <c r="V239" s="15">
        <f t="shared" si="26"/>
        <v>68</v>
      </c>
      <c r="W239" s="14">
        <f t="shared" si="26"/>
        <v>1</v>
      </c>
      <c r="X239" s="14">
        <f t="shared" si="16"/>
        <v>2</v>
      </c>
      <c r="Y239" s="14">
        <f t="shared" si="17"/>
        <v>0</v>
      </c>
      <c r="Z239" s="16">
        <f t="shared" si="18"/>
        <v>0</v>
      </c>
      <c r="AA239" s="14">
        <f t="shared" si="19"/>
        <v>0</v>
      </c>
      <c r="AB239" s="17"/>
      <c r="AC239" s="17" t="s">
        <v>54</v>
      </c>
    </row>
    <row r="240" spans="1:29" s="21" customFormat="1" ht="13.5" customHeight="1" x14ac:dyDescent="0.2">
      <c r="A240" s="9">
        <v>9</v>
      </c>
      <c r="B240" s="9">
        <v>22</v>
      </c>
      <c r="C240" s="10">
        <v>9024</v>
      </c>
      <c r="D240" s="9">
        <v>33195110</v>
      </c>
      <c r="E240" s="34" t="s">
        <v>604</v>
      </c>
      <c r="F240" s="10" t="s">
        <v>880</v>
      </c>
      <c r="G240" s="11" t="s">
        <v>364</v>
      </c>
      <c r="H240" s="12" t="s">
        <v>105</v>
      </c>
      <c r="I240" s="12" t="s">
        <v>105</v>
      </c>
      <c r="J240" s="12" t="s">
        <v>1588</v>
      </c>
      <c r="K240" s="37" t="s">
        <v>1752</v>
      </c>
      <c r="L240" s="13">
        <v>86</v>
      </c>
      <c r="M240" s="13" t="s">
        <v>1767</v>
      </c>
      <c r="N240" s="14">
        <v>0</v>
      </c>
      <c r="O240" s="14">
        <v>0</v>
      </c>
      <c r="P240" s="14">
        <v>24</v>
      </c>
      <c r="Q240" s="14">
        <v>0</v>
      </c>
      <c r="R240" s="14">
        <v>38</v>
      </c>
      <c r="S240" s="14">
        <v>0</v>
      </c>
      <c r="T240" s="14">
        <v>24</v>
      </c>
      <c r="U240" s="14">
        <v>0</v>
      </c>
      <c r="V240" s="15">
        <f t="shared" si="26"/>
        <v>86</v>
      </c>
      <c r="W240" s="14">
        <f t="shared" si="26"/>
        <v>0</v>
      </c>
      <c r="X240" s="14">
        <f t="shared" si="16"/>
        <v>0</v>
      </c>
      <c r="Y240" s="14">
        <f t="shared" si="17"/>
        <v>0</v>
      </c>
      <c r="Z240" s="16">
        <f t="shared" si="18"/>
        <v>0</v>
      </c>
      <c r="AA240" s="14">
        <f t="shared" si="19"/>
        <v>0</v>
      </c>
      <c r="AB240" s="17"/>
      <c r="AC240" s="17" t="s">
        <v>54</v>
      </c>
    </row>
    <row r="241" spans="1:29" s="21" customFormat="1" ht="13.5" customHeight="1" x14ac:dyDescent="0.2">
      <c r="A241" s="9">
        <v>10</v>
      </c>
      <c r="B241" s="9">
        <v>1</v>
      </c>
      <c r="C241" s="10">
        <v>10029</v>
      </c>
      <c r="D241" s="9">
        <v>33147230</v>
      </c>
      <c r="E241" s="34" t="s">
        <v>605</v>
      </c>
      <c r="F241" s="10" t="s">
        <v>881</v>
      </c>
      <c r="G241" s="11" t="s">
        <v>365</v>
      </c>
      <c r="H241" s="12" t="s">
        <v>1164</v>
      </c>
      <c r="I241" s="12" t="s">
        <v>1164</v>
      </c>
      <c r="J241" s="12" t="s">
        <v>1589</v>
      </c>
      <c r="K241" s="37" t="s">
        <v>1753</v>
      </c>
      <c r="L241" s="13">
        <v>75</v>
      </c>
      <c r="M241" s="13" t="s">
        <v>1763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74</v>
      </c>
      <c r="U241" s="14">
        <v>1</v>
      </c>
      <c r="V241" s="15">
        <f t="shared" si="26"/>
        <v>74</v>
      </c>
      <c r="W241" s="14">
        <f t="shared" si="26"/>
        <v>1</v>
      </c>
      <c r="X241" s="14">
        <f t="shared" si="16"/>
        <v>0</v>
      </c>
      <c r="Y241" s="14">
        <f t="shared" si="17"/>
        <v>2</v>
      </c>
      <c r="Z241" s="16">
        <f t="shared" si="18"/>
        <v>0</v>
      </c>
      <c r="AA241" s="14">
        <f t="shared" si="19"/>
        <v>-1</v>
      </c>
      <c r="AB241" s="17"/>
      <c r="AC241" s="17"/>
    </row>
    <row r="242" spans="1:29" s="21" customFormat="1" ht="13.5" customHeight="1" x14ac:dyDescent="0.2">
      <c r="A242" s="9">
        <v>10</v>
      </c>
      <c r="B242" s="9">
        <v>2</v>
      </c>
      <c r="C242" s="10">
        <v>10022</v>
      </c>
      <c r="D242" s="9">
        <v>33114943</v>
      </c>
      <c r="E242" s="34" t="s">
        <v>606</v>
      </c>
      <c r="F242" s="10" t="s">
        <v>882</v>
      </c>
      <c r="G242" s="11" t="s">
        <v>366</v>
      </c>
      <c r="H242" s="12" t="s">
        <v>1165</v>
      </c>
      <c r="I242" s="12" t="s">
        <v>1165</v>
      </c>
      <c r="J242" s="12" t="s">
        <v>1590</v>
      </c>
      <c r="K242" s="37" t="s">
        <v>1754</v>
      </c>
      <c r="L242" s="13">
        <v>220</v>
      </c>
      <c r="M242" s="13" t="s">
        <v>1763</v>
      </c>
      <c r="N242" s="14">
        <v>0</v>
      </c>
      <c r="O242" s="14">
        <v>0</v>
      </c>
      <c r="P242" s="14">
        <v>0</v>
      </c>
      <c r="Q242" s="14">
        <v>0</v>
      </c>
      <c r="R242" s="14">
        <v>100</v>
      </c>
      <c r="S242" s="14">
        <v>1</v>
      </c>
      <c r="T242" s="14">
        <v>119</v>
      </c>
      <c r="U242" s="14">
        <v>3</v>
      </c>
      <c r="V242" s="15">
        <f t="shared" si="26"/>
        <v>219</v>
      </c>
      <c r="W242" s="14">
        <f t="shared" si="26"/>
        <v>4</v>
      </c>
      <c r="X242" s="14">
        <f t="shared" si="16"/>
        <v>0</v>
      </c>
      <c r="Y242" s="14">
        <f t="shared" si="17"/>
        <v>2</v>
      </c>
      <c r="Z242" s="16">
        <f t="shared" si="18"/>
        <v>0</v>
      </c>
      <c r="AA242" s="14">
        <f t="shared" si="19"/>
        <v>-1</v>
      </c>
      <c r="AB242" s="17"/>
      <c r="AC242" s="17"/>
    </row>
    <row r="243" spans="1:29" s="21" customFormat="1" ht="13.5" customHeight="1" x14ac:dyDescent="0.2">
      <c r="A243" s="9">
        <v>10</v>
      </c>
      <c r="B243" s="9">
        <v>3</v>
      </c>
      <c r="C243" s="10">
        <v>10036</v>
      </c>
      <c r="D243" s="9">
        <v>33110875</v>
      </c>
      <c r="E243" s="34" t="s">
        <v>607</v>
      </c>
      <c r="F243" s="10" t="s">
        <v>883</v>
      </c>
      <c r="G243" s="11" t="s">
        <v>367</v>
      </c>
      <c r="H243" s="12" t="s">
        <v>1166</v>
      </c>
      <c r="I243" s="12" t="s">
        <v>1167</v>
      </c>
      <c r="J243" s="12" t="s">
        <v>1591</v>
      </c>
      <c r="K243" s="37" t="s">
        <v>1753</v>
      </c>
      <c r="L243" s="13">
        <v>50</v>
      </c>
      <c r="M243" s="13" t="s">
        <v>1763</v>
      </c>
      <c r="N243" s="14">
        <v>0</v>
      </c>
      <c r="O243" s="14">
        <v>0</v>
      </c>
      <c r="P243" s="14">
        <v>0</v>
      </c>
      <c r="Q243" s="14">
        <v>0</v>
      </c>
      <c r="R243" s="14">
        <v>25</v>
      </c>
      <c r="S243" s="14">
        <v>0</v>
      </c>
      <c r="T243" s="14">
        <v>25</v>
      </c>
      <c r="U243" s="14">
        <v>0</v>
      </c>
      <c r="V243" s="15">
        <f t="shared" si="26"/>
        <v>50</v>
      </c>
      <c r="W243" s="14">
        <f t="shared" si="26"/>
        <v>0</v>
      </c>
      <c r="X243" s="14">
        <f t="shared" si="16"/>
        <v>0</v>
      </c>
      <c r="Y243" s="14">
        <f t="shared" si="17"/>
        <v>0</v>
      </c>
      <c r="Z243" s="16">
        <f t="shared" si="18"/>
        <v>0</v>
      </c>
      <c r="AA243" s="14">
        <f t="shared" si="19"/>
        <v>0</v>
      </c>
      <c r="AB243" s="17"/>
      <c r="AC243" s="17"/>
    </row>
    <row r="244" spans="1:29" s="21" customFormat="1" ht="13.5" customHeight="1" x14ac:dyDescent="0.2">
      <c r="A244" s="9">
        <v>10</v>
      </c>
      <c r="B244" s="9">
        <v>4</v>
      </c>
      <c r="C244" s="10">
        <v>10037</v>
      </c>
      <c r="D244" s="9">
        <v>33094667</v>
      </c>
      <c r="E244" s="34" t="s">
        <v>607</v>
      </c>
      <c r="F244" s="10" t="s">
        <v>884</v>
      </c>
      <c r="G244" s="11" t="s">
        <v>368</v>
      </c>
      <c r="H244" s="12" t="s">
        <v>1167</v>
      </c>
      <c r="I244" s="12" t="s">
        <v>1167</v>
      </c>
      <c r="J244" s="12" t="s">
        <v>1592</v>
      </c>
      <c r="K244" s="37" t="s">
        <v>1753</v>
      </c>
      <c r="L244" s="13">
        <v>163</v>
      </c>
      <c r="M244" s="13" t="s">
        <v>1764</v>
      </c>
      <c r="N244" s="14">
        <v>0</v>
      </c>
      <c r="O244" s="14">
        <v>0</v>
      </c>
      <c r="P244" s="14">
        <v>24</v>
      </c>
      <c r="Q244" s="14">
        <v>0</v>
      </c>
      <c r="R244" s="14">
        <v>51</v>
      </c>
      <c r="S244" s="14">
        <v>1</v>
      </c>
      <c r="T244" s="14">
        <v>46</v>
      </c>
      <c r="U244" s="14">
        <v>2</v>
      </c>
      <c r="V244" s="15">
        <f t="shared" si="26"/>
        <v>121</v>
      </c>
      <c r="W244" s="14">
        <f t="shared" si="26"/>
        <v>3</v>
      </c>
      <c r="X244" s="14">
        <f t="shared" si="16"/>
        <v>0</v>
      </c>
      <c r="Y244" s="14">
        <f t="shared" si="17"/>
        <v>2</v>
      </c>
      <c r="Z244" s="16">
        <f t="shared" si="18"/>
        <v>40</v>
      </c>
      <c r="AA244" s="14">
        <f t="shared" si="19"/>
        <v>0</v>
      </c>
      <c r="AB244" s="17"/>
      <c r="AC244" s="17"/>
    </row>
    <row r="245" spans="1:29" s="21" customFormat="1" ht="13.5" customHeight="1" x14ac:dyDescent="0.2">
      <c r="A245" s="9">
        <v>10</v>
      </c>
      <c r="B245" s="9">
        <v>5</v>
      </c>
      <c r="C245" s="10">
        <v>10020</v>
      </c>
      <c r="D245" s="9">
        <v>33114927</v>
      </c>
      <c r="E245" s="34" t="s">
        <v>430</v>
      </c>
      <c r="F245" s="10" t="s">
        <v>885</v>
      </c>
      <c r="G245" s="11" t="s">
        <v>369</v>
      </c>
      <c r="H245" s="12" t="s">
        <v>1168</v>
      </c>
      <c r="I245" s="12" t="s">
        <v>1230</v>
      </c>
      <c r="J245" s="12" t="s">
        <v>1593</v>
      </c>
      <c r="K245" s="37" t="s">
        <v>1753</v>
      </c>
      <c r="L245" s="13">
        <v>175</v>
      </c>
      <c r="M245" s="13" t="s">
        <v>1763</v>
      </c>
      <c r="N245" s="14">
        <v>0</v>
      </c>
      <c r="O245" s="14">
        <v>0</v>
      </c>
      <c r="P245" s="14">
        <v>0</v>
      </c>
      <c r="Q245" s="14">
        <v>0</v>
      </c>
      <c r="R245" s="14">
        <v>90</v>
      </c>
      <c r="S245" s="14">
        <v>0</v>
      </c>
      <c r="T245" s="14">
        <v>85</v>
      </c>
      <c r="U245" s="14">
        <v>0</v>
      </c>
      <c r="V245" s="15">
        <f t="shared" si="26"/>
        <v>175</v>
      </c>
      <c r="W245" s="14">
        <f t="shared" si="26"/>
        <v>0</v>
      </c>
      <c r="X245" s="14">
        <f t="shared" si="16"/>
        <v>0</v>
      </c>
      <c r="Y245" s="14">
        <f t="shared" si="17"/>
        <v>0</v>
      </c>
      <c r="Z245" s="16">
        <f t="shared" si="18"/>
        <v>0</v>
      </c>
      <c r="AA245" s="14">
        <f t="shared" si="19"/>
        <v>0</v>
      </c>
      <c r="AB245" s="17"/>
      <c r="AC245" s="17"/>
    </row>
    <row r="246" spans="1:29" s="21" customFormat="1" ht="13.5" customHeight="1" x14ac:dyDescent="0.2">
      <c r="A246" s="9">
        <v>10</v>
      </c>
      <c r="B246" s="9">
        <v>6</v>
      </c>
      <c r="C246" s="10">
        <v>10062</v>
      </c>
      <c r="D246" s="9" t="s">
        <v>128</v>
      </c>
      <c r="E246" s="34" t="s">
        <v>608</v>
      </c>
      <c r="F246" s="10" t="s">
        <v>886</v>
      </c>
      <c r="G246" s="11" t="s">
        <v>370</v>
      </c>
      <c r="H246" s="12" t="s">
        <v>1169</v>
      </c>
      <c r="I246" s="12" t="s">
        <v>1169</v>
      </c>
      <c r="J246" s="12" t="s">
        <v>1594</v>
      </c>
      <c r="K246" s="37" t="s">
        <v>1755</v>
      </c>
      <c r="L246" s="13">
        <v>112</v>
      </c>
      <c r="M246" s="13" t="s">
        <v>1764</v>
      </c>
      <c r="N246" s="14">
        <v>0</v>
      </c>
      <c r="O246" s="14">
        <v>0</v>
      </c>
      <c r="P246" s="14">
        <v>20</v>
      </c>
      <c r="Q246" s="14">
        <v>0</v>
      </c>
      <c r="R246" s="14">
        <v>51</v>
      </c>
      <c r="S246" s="14">
        <v>1</v>
      </c>
      <c r="T246" s="14">
        <v>39</v>
      </c>
      <c r="U246" s="14">
        <v>1</v>
      </c>
      <c r="V246" s="15">
        <f t="shared" si="26"/>
        <v>110</v>
      </c>
      <c r="W246" s="14">
        <f t="shared" si="26"/>
        <v>2</v>
      </c>
      <c r="X246" s="14">
        <f t="shared" si="16"/>
        <v>0</v>
      </c>
      <c r="Y246" s="14">
        <f t="shared" si="17"/>
        <v>2</v>
      </c>
      <c r="Z246" s="16">
        <f t="shared" si="18"/>
        <v>0</v>
      </c>
      <c r="AA246" s="14">
        <f t="shared" si="19"/>
        <v>0</v>
      </c>
      <c r="AB246" s="17"/>
      <c r="AC246" s="17" t="s">
        <v>48</v>
      </c>
    </row>
    <row r="247" spans="1:29" s="21" customFormat="1" ht="13.5" customHeight="1" x14ac:dyDescent="0.2">
      <c r="A247" s="9">
        <v>10</v>
      </c>
      <c r="B247" s="9">
        <v>7</v>
      </c>
      <c r="C247" s="10">
        <v>10047</v>
      </c>
      <c r="D247" s="9">
        <v>33187894</v>
      </c>
      <c r="E247" s="34" t="s">
        <v>435</v>
      </c>
      <c r="F247" s="10" t="s">
        <v>887</v>
      </c>
      <c r="G247" s="11" t="s">
        <v>371</v>
      </c>
      <c r="H247" s="12" t="s">
        <v>1170</v>
      </c>
      <c r="I247" s="12" t="s">
        <v>53</v>
      </c>
      <c r="J247" s="12" t="s">
        <v>1595</v>
      </c>
      <c r="K247" s="37" t="s">
        <v>1753</v>
      </c>
      <c r="L247" s="13">
        <v>186</v>
      </c>
      <c r="M247" s="13" t="s">
        <v>1764</v>
      </c>
      <c r="N247" s="14">
        <v>0</v>
      </c>
      <c r="O247" s="14">
        <v>0</v>
      </c>
      <c r="P247" s="14">
        <v>74</v>
      </c>
      <c r="Q247" s="14">
        <v>0</v>
      </c>
      <c r="R247" s="14">
        <v>61</v>
      </c>
      <c r="S247" s="14">
        <v>0</v>
      </c>
      <c r="T247" s="14">
        <v>50</v>
      </c>
      <c r="U247" s="14">
        <v>0</v>
      </c>
      <c r="V247" s="15">
        <f t="shared" si="26"/>
        <v>185</v>
      </c>
      <c r="W247" s="14">
        <f t="shared" si="26"/>
        <v>0</v>
      </c>
      <c r="X247" s="14">
        <f t="shared" si="16"/>
        <v>0</v>
      </c>
      <c r="Y247" s="14">
        <f t="shared" si="17"/>
        <v>0</v>
      </c>
      <c r="Z247" s="16">
        <f t="shared" si="18"/>
        <v>1</v>
      </c>
      <c r="AA247" s="14">
        <f t="shared" si="19"/>
        <v>0</v>
      </c>
      <c r="AB247" s="17"/>
      <c r="AC247" s="17"/>
    </row>
    <row r="248" spans="1:29" s="21" customFormat="1" ht="13.5" customHeight="1" x14ac:dyDescent="0.2">
      <c r="A248" s="9">
        <v>10</v>
      </c>
      <c r="B248" s="9">
        <v>8</v>
      </c>
      <c r="C248" s="10">
        <v>10057</v>
      </c>
      <c r="D248" s="9">
        <v>33192022</v>
      </c>
      <c r="E248" s="34" t="s">
        <v>435</v>
      </c>
      <c r="F248" s="10" t="s">
        <v>888</v>
      </c>
      <c r="G248" s="11" t="s">
        <v>372</v>
      </c>
      <c r="H248" s="12" t="s">
        <v>1171</v>
      </c>
      <c r="I248" s="12" t="s">
        <v>53</v>
      </c>
      <c r="J248" s="12" t="s">
        <v>1596</v>
      </c>
      <c r="K248" s="37" t="s">
        <v>1754</v>
      </c>
      <c r="L248" s="13">
        <v>305</v>
      </c>
      <c r="M248" s="13" t="s">
        <v>1764</v>
      </c>
      <c r="N248" s="14">
        <v>0</v>
      </c>
      <c r="O248" s="14">
        <v>0</v>
      </c>
      <c r="P248" s="14">
        <v>65</v>
      </c>
      <c r="Q248" s="14">
        <v>0</v>
      </c>
      <c r="R248" s="14">
        <v>164</v>
      </c>
      <c r="S248" s="14">
        <v>0</v>
      </c>
      <c r="T248" s="14">
        <v>71</v>
      </c>
      <c r="U248" s="14">
        <v>0</v>
      </c>
      <c r="V248" s="15">
        <f t="shared" si="26"/>
        <v>300</v>
      </c>
      <c r="W248" s="14">
        <f t="shared" si="26"/>
        <v>0</v>
      </c>
      <c r="X248" s="14">
        <f t="shared" si="16"/>
        <v>0</v>
      </c>
      <c r="Y248" s="14">
        <f t="shared" si="17"/>
        <v>0</v>
      </c>
      <c r="Z248" s="16">
        <f t="shared" si="18"/>
        <v>5</v>
      </c>
      <c r="AA248" s="14">
        <f t="shared" si="19"/>
        <v>0</v>
      </c>
      <c r="AB248" s="17"/>
      <c r="AC248" s="17" t="s">
        <v>48</v>
      </c>
    </row>
    <row r="249" spans="1:29" s="21" customFormat="1" ht="13.5" customHeight="1" x14ac:dyDescent="0.2">
      <c r="A249" s="9">
        <v>10</v>
      </c>
      <c r="B249" s="9">
        <v>9</v>
      </c>
      <c r="C249" s="10">
        <v>10040</v>
      </c>
      <c r="D249" s="9" t="s">
        <v>129</v>
      </c>
      <c r="E249" s="34" t="s">
        <v>609</v>
      </c>
      <c r="F249" s="10" t="s">
        <v>889</v>
      </c>
      <c r="G249" s="11" t="s">
        <v>373</v>
      </c>
      <c r="H249" s="12" t="s">
        <v>1172</v>
      </c>
      <c r="I249" s="12" t="s">
        <v>1337</v>
      </c>
      <c r="J249" s="12" t="s">
        <v>1597</v>
      </c>
      <c r="K249" s="37" t="s">
        <v>1756</v>
      </c>
      <c r="L249" s="13">
        <v>200</v>
      </c>
      <c r="M249" s="13" t="s">
        <v>1764</v>
      </c>
      <c r="N249" s="14">
        <v>0</v>
      </c>
      <c r="O249" s="14">
        <v>0</v>
      </c>
      <c r="P249" s="14">
        <v>69</v>
      </c>
      <c r="Q249" s="14">
        <v>0</v>
      </c>
      <c r="R249" s="14">
        <v>56</v>
      </c>
      <c r="S249" s="14">
        <v>1</v>
      </c>
      <c r="T249" s="14">
        <v>73</v>
      </c>
      <c r="U249" s="14">
        <v>1</v>
      </c>
      <c r="V249" s="15">
        <f t="shared" si="26"/>
        <v>198</v>
      </c>
      <c r="W249" s="14">
        <f t="shared" si="26"/>
        <v>2</v>
      </c>
      <c r="X249" s="14">
        <f t="shared" si="16"/>
        <v>0</v>
      </c>
      <c r="Y249" s="14">
        <f t="shared" si="17"/>
        <v>2</v>
      </c>
      <c r="Z249" s="16">
        <f t="shared" si="18"/>
        <v>0</v>
      </c>
      <c r="AA249" s="14">
        <f t="shared" si="19"/>
        <v>0</v>
      </c>
      <c r="AB249" s="17"/>
      <c r="AC249" s="17"/>
    </row>
    <row r="250" spans="1:29" s="21" customFormat="1" ht="13.5" customHeight="1" x14ac:dyDescent="0.2">
      <c r="A250" s="9">
        <v>10</v>
      </c>
      <c r="B250" s="9">
        <v>10</v>
      </c>
      <c r="C250" s="10">
        <v>10042</v>
      </c>
      <c r="D250" s="9">
        <v>33185115</v>
      </c>
      <c r="E250" s="34" t="s">
        <v>609</v>
      </c>
      <c r="F250" s="10" t="s">
        <v>890</v>
      </c>
      <c r="G250" s="11" t="s">
        <v>374</v>
      </c>
      <c r="H250" s="12" t="s">
        <v>1173</v>
      </c>
      <c r="I250" s="12" t="s">
        <v>1337</v>
      </c>
      <c r="J250" s="12" t="s">
        <v>1598</v>
      </c>
      <c r="K250" s="37" t="s">
        <v>1756</v>
      </c>
      <c r="L250" s="13">
        <v>128</v>
      </c>
      <c r="M250" s="13" t="s">
        <v>1764</v>
      </c>
      <c r="N250" s="14">
        <v>0</v>
      </c>
      <c r="O250" s="14">
        <v>0</v>
      </c>
      <c r="P250" s="14">
        <v>36</v>
      </c>
      <c r="Q250" s="14">
        <v>0</v>
      </c>
      <c r="R250" s="14">
        <v>44</v>
      </c>
      <c r="S250" s="14">
        <v>0</v>
      </c>
      <c r="T250" s="14">
        <v>47</v>
      </c>
      <c r="U250" s="14">
        <v>0</v>
      </c>
      <c r="V250" s="15">
        <f t="shared" si="26"/>
        <v>127</v>
      </c>
      <c r="W250" s="14">
        <f t="shared" si="26"/>
        <v>0</v>
      </c>
      <c r="X250" s="14">
        <f t="shared" si="16"/>
        <v>0</v>
      </c>
      <c r="Y250" s="14">
        <f t="shared" si="17"/>
        <v>0</v>
      </c>
      <c r="Z250" s="16">
        <f t="shared" si="18"/>
        <v>1</v>
      </c>
      <c r="AA250" s="14">
        <f t="shared" si="19"/>
        <v>0</v>
      </c>
      <c r="AB250" s="17"/>
      <c r="AC250" s="17"/>
    </row>
    <row r="251" spans="1:29" s="21" customFormat="1" ht="13.5" customHeight="1" x14ac:dyDescent="0.2">
      <c r="A251" s="9">
        <v>10</v>
      </c>
      <c r="B251" s="9">
        <v>11</v>
      </c>
      <c r="C251" s="10">
        <v>10041</v>
      </c>
      <c r="D251" s="9">
        <v>33122229</v>
      </c>
      <c r="E251" s="34" t="s">
        <v>610</v>
      </c>
      <c r="F251" s="10" t="s">
        <v>891</v>
      </c>
      <c r="G251" s="11" t="s">
        <v>375</v>
      </c>
      <c r="H251" s="12" t="s">
        <v>1174</v>
      </c>
      <c r="I251" s="12" t="s">
        <v>1338</v>
      </c>
      <c r="J251" s="12" t="s">
        <v>1599</v>
      </c>
      <c r="K251" s="37" t="s">
        <v>1753</v>
      </c>
      <c r="L251" s="13">
        <v>160</v>
      </c>
      <c r="M251" s="13" t="s">
        <v>1764</v>
      </c>
      <c r="N251" s="14">
        <v>0</v>
      </c>
      <c r="O251" s="14">
        <v>0</v>
      </c>
      <c r="P251" s="14">
        <v>41</v>
      </c>
      <c r="Q251" s="14">
        <v>0</v>
      </c>
      <c r="R251" s="14">
        <v>69</v>
      </c>
      <c r="S251" s="14">
        <v>0</v>
      </c>
      <c r="T251" s="14">
        <v>50</v>
      </c>
      <c r="U251" s="14">
        <v>1</v>
      </c>
      <c r="V251" s="15">
        <f t="shared" si="26"/>
        <v>160</v>
      </c>
      <c r="W251" s="14">
        <f t="shared" si="26"/>
        <v>1</v>
      </c>
      <c r="X251" s="14">
        <f t="shared" si="16"/>
        <v>0</v>
      </c>
      <c r="Y251" s="14">
        <f t="shared" si="17"/>
        <v>2</v>
      </c>
      <c r="Z251" s="16">
        <f t="shared" si="18"/>
        <v>0</v>
      </c>
      <c r="AA251" s="14">
        <f t="shared" si="19"/>
        <v>-2</v>
      </c>
      <c r="AB251" s="17"/>
      <c r="AC251" s="17"/>
    </row>
    <row r="252" spans="1:29" s="21" customFormat="1" ht="13.5" customHeight="1" x14ac:dyDescent="0.2">
      <c r="A252" s="9">
        <v>10</v>
      </c>
      <c r="B252" s="9">
        <v>12</v>
      </c>
      <c r="C252" s="10">
        <v>10043</v>
      </c>
      <c r="D252" s="9">
        <v>33187738</v>
      </c>
      <c r="E252" s="34" t="s">
        <v>611</v>
      </c>
      <c r="F252" s="10" t="s">
        <v>892</v>
      </c>
      <c r="G252" s="11" t="s">
        <v>376</v>
      </c>
      <c r="H252" s="12" t="s">
        <v>1175</v>
      </c>
      <c r="I252" s="12" t="s">
        <v>1175</v>
      </c>
      <c r="J252" s="12" t="s">
        <v>1600</v>
      </c>
      <c r="K252" s="37" t="s">
        <v>1754</v>
      </c>
      <c r="L252" s="13">
        <v>126</v>
      </c>
      <c r="M252" s="13" t="s">
        <v>1764</v>
      </c>
      <c r="N252" s="14">
        <v>0</v>
      </c>
      <c r="O252" s="14">
        <v>0</v>
      </c>
      <c r="P252" s="14">
        <v>43</v>
      </c>
      <c r="Q252" s="14">
        <v>0</v>
      </c>
      <c r="R252" s="14">
        <v>42</v>
      </c>
      <c r="S252" s="14">
        <v>0</v>
      </c>
      <c r="T252" s="14">
        <v>42</v>
      </c>
      <c r="U252" s="14">
        <v>0</v>
      </c>
      <c r="V252" s="15">
        <f t="shared" si="26"/>
        <v>127</v>
      </c>
      <c r="W252" s="14">
        <f t="shared" si="26"/>
        <v>0</v>
      </c>
      <c r="X252" s="14">
        <f t="shared" si="16"/>
        <v>0</v>
      </c>
      <c r="Y252" s="14">
        <f t="shared" si="17"/>
        <v>0</v>
      </c>
      <c r="Z252" s="16">
        <f t="shared" si="18"/>
        <v>0</v>
      </c>
      <c r="AA252" s="14">
        <f t="shared" si="19"/>
        <v>-1</v>
      </c>
      <c r="AB252" s="17"/>
      <c r="AC252" s="17"/>
    </row>
    <row r="253" spans="1:29" s="21" customFormat="1" ht="13.5" customHeight="1" x14ac:dyDescent="0.2">
      <c r="A253" s="9">
        <v>10</v>
      </c>
      <c r="B253" s="9">
        <v>13</v>
      </c>
      <c r="C253" s="10">
        <v>10028</v>
      </c>
      <c r="D253" s="9">
        <v>33143544</v>
      </c>
      <c r="E253" s="34" t="s">
        <v>610</v>
      </c>
      <c r="F253" s="10" t="s">
        <v>893</v>
      </c>
      <c r="G253" s="11" t="s">
        <v>377</v>
      </c>
      <c r="H253" s="12" t="s">
        <v>1176</v>
      </c>
      <c r="I253" s="12" t="s">
        <v>1338</v>
      </c>
      <c r="J253" s="12" t="s">
        <v>1601</v>
      </c>
      <c r="K253" s="37" t="s">
        <v>1753</v>
      </c>
      <c r="L253" s="13">
        <v>141</v>
      </c>
      <c r="M253" s="13" t="s">
        <v>1764</v>
      </c>
      <c r="N253" s="14">
        <v>0</v>
      </c>
      <c r="O253" s="14">
        <v>0</v>
      </c>
      <c r="P253" s="14">
        <v>46</v>
      </c>
      <c r="Q253" s="14">
        <v>0</v>
      </c>
      <c r="R253" s="14">
        <v>28</v>
      </c>
      <c r="S253" s="14">
        <v>0</v>
      </c>
      <c r="T253" s="14">
        <v>50</v>
      </c>
      <c r="U253" s="14">
        <v>0</v>
      </c>
      <c r="V253" s="15">
        <f t="shared" si="26"/>
        <v>124</v>
      </c>
      <c r="W253" s="14">
        <f t="shared" si="26"/>
        <v>0</v>
      </c>
      <c r="X253" s="14">
        <f t="shared" si="16"/>
        <v>0</v>
      </c>
      <c r="Y253" s="14">
        <f t="shared" si="17"/>
        <v>0</v>
      </c>
      <c r="Z253" s="16">
        <f t="shared" si="18"/>
        <v>17</v>
      </c>
      <c r="AA253" s="14">
        <f t="shared" si="19"/>
        <v>0</v>
      </c>
      <c r="AB253" s="17"/>
      <c r="AC253" s="17"/>
    </row>
    <row r="254" spans="1:29" s="21" customFormat="1" ht="13.5" customHeight="1" x14ac:dyDescent="0.2">
      <c r="A254" s="9">
        <v>10</v>
      </c>
      <c r="B254" s="9">
        <v>14</v>
      </c>
      <c r="C254" s="10">
        <v>10027</v>
      </c>
      <c r="D254" s="9">
        <v>33123160</v>
      </c>
      <c r="E254" s="34" t="s">
        <v>610</v>
      </c>
      <c r="F254" s="10" t="s">
        <v>894</v>
      </c>
      <c r="G254" s="11" t="s">
        <v>378</v>
      </c>
      <c r="H254" s="12" t="s">
        <v>1177</v>
      </c>
      <c r="I254" s="12" t="s">
        <v>1338</v>
      </c>
      <c r="J254" s="12" t="s">
        <v>1602</v>
      </c>
      <c r="K254" s="37" t="s">
        <v>1753</v>
      </c>
      <c r="L254" s="13">
        <v>160</v>
      </c>
      <c r="M254" s="13" t="s">
        <v>1764</v>
      </c>
      <c r="N254" s="14">
        <v>0</v>
      </c>
      <c r="O254" s="14">
        <v>0</v>
      </c>
      <c r="P254" s="14">
        <v>51</v>
      </c>
      <c r="Q254" s="14">
        <v>0</v>
      </c>
      <c r="R254" s="14">
        <v>48</v>
      </c>
      <c r="S254" s="14">
        <v>1</v>
      </c>
      <c r="T254" s="14">
        <v>61</v>
      </c>
      <c r="U254" s="14">
        <v>0</v>
      </c>
      <c r="V254" s="15">
        <f t="shared" si="26"/>
        <v>160</v>
      </c>
      <c r="W254" s="14">
        <f t="shared" si="26"/>
        <v>1</v>
      </c>
      <c r="X254" s="14">
        <f t="shared" si="16"/>
        <v>0</v>
      </c>
      <c r="Y254" s="14">
        <f t="shared" si="17"/>
        <v>2</v>
      </c>
      <c r="Z254" s="16">
        <f t="shared" si="18"/>
        <v>0</v>
      </c>
      <c r="AA254" s="14">
        <f t="shared" si="19"/>
        <v>-2</v>
      </c>
      <c r="AB254" s="17"/>
      <c r="AC254" s="17"/>
    </row>
    <row r="255" spans="1:29" s="21" customFormat="1" ht="13.5" customHeight="1" x14ac:dyDescent="0.2">
      <c r="A255" s="9">
        <v>10</v>
      </c>
      <c r="B255" s="9">
        <v>15</v>
      </c>
      <c r="C255" s="10">
        <v>10054</v>
      </c>
      <c r="D255" s="9">
        <v>33190305</v>
      </c>
      <c r="E255" s="34" t="s">
        <v>612</v>
      </c>
      <c r="F255" s="10" t="s">
        <v>895</v>
      </c>
      <c r="G255" s="11" t="s">
        <v>379</v>
      </c>
      <c r="H255" s="12" t="s">
        <v>1178</v>
      </c>
      <c r="I255" s="12" t="s">
        <v>1178</v>
      </c>
      <c r="J255" s="12" t="s">
        <v>1603</v>
      </c>
      <c r="K255" s="37" t="s">
        <v>1753</v>
      </c>
      <c r="L255" s="13">
        <v>81</v>
      </c>
      <c r="M255" s="13" t="s">
        <v>1764</v>
      </c>
      <c r="N255" s="14">
        <v>0</v>
      </c>
      <c r="O255" s="14">
        <v>0</v>
      </c>
      <c r="P255" s="14">
        <v>18</v>
      </c>
      <c r="Q255" s="14">
        <v>0</v>
      </c>
      <c r="R255" s="14">
        <v>28</v>
      </c>
      <c r="S255" s="14">
        <v>0</v>
      </c>
      <c r="T255" s="14">
        <v>27</v>
      </c>
      <c r="U255" s="14">
        <v>1</v>
      </c>
      <c r="V255" s="15">
        <f t="shared" si="26"/>
        <v>73</v>
      </c>
      <c r="W255" s="14">
        <f t="shared" si="26"/>
        <v>1</v>
      </c>
      <c r="X255" s="14">
        <f t="shared" si="16"/>
        <v>0</v>
      </c>
      <c r="Y255" s="14">
        <f t="shared" si="17"/>
        <v>2</v>
      </c>
      <c r="Z255" s="16">
        <f t="shared" si="18"/>
        <v>6</v>
      </c>
      <c r="AA255" s="14">
        <f t="shared" si="19"/>
        <v>0</v>
      </c>
      <c r="AB255" s="17"/>
      <c r="AC255" s="17"/>
    </row>
    <row r="256" spans="1:29" s="21" customFormat="1" ht="13.5" customHeight="1" x14ac:dyDescent="0.2">
      <c r="A256" s="9">
        <v>10</v>
      </c>
      <c r="B256" s="9">
        <v>16</v>
      </c>
      <c r="C256" s="10">
        <v>10067</v>
      </c>
      <c r="D256" s="9">
        <v>33192014</v>
      </c>
      <c r="E256" s="34" t="s">
        <v>613</v>
      </c>
      <c r="F256" s="10" t="s">
        <v>896</v>
      </c>
      <c r="G256" s="11" t="s">
        <v>380</v>
      </c>
      <c r="H256" s="12" t="s">
        <v>1179</v>
      </c>
      <c r="I256" s="12" t="s">
        <v>1179</v>
      </c>
      <c r="J256" s="12" t="s">
        <v>1604</v>
      </c>
      <c r="K256" s="37" t="s">
        <v>1753</v>
      </c>
      <c r="L256" s="13">
        <v>124</v>
      </c>
      <c r="M256" s="13" t="s">
        <v>1764</v>
      </c>
      <c r="N256" s="14">
        <v>0</v>
      </c>
      <c r="O256" s="14">
        <v>0</v>
      </c>
      <c r="P256" s="14">
        <v>24</v>
      </c>
      <c r="Q256" s="14">
        <v>0</v>
      </c>
      <c r="R256" s="14">
        <v>60</v>
      </c>
      <c r="S256" s="14">
        <v>3</v>
      </c>
      <c r="T256" s="14">
        <v>39</v>
      </c>
      <c r="U256" s="14">
        <v>0</v>
      </c>
      <c r="V256" s="15">
        <f t="shared" si="26"/>
        <v>123</v>
      </c>
      <c r="W256" s="14">
        <f t="shared" si="26"/>
        <v>3</v>
      </c>
      <c r="X256" s="14">
        <f t="shared" si="16"/>
        <v>0</v>
      </c>
      <c r="Y256" s="14">
        <f t="shared" si="17"/>
        <v>2</v>
      </c>
      <c r="Z256" s="16">
        <f t="shared" si="18"/>
        <v>0</v>
      </c>
      <c r="AA256" s="14">
        <f t="shared" si="19"/>
        <v>-1</v>
      </c>
      <c r="AB256" s="17"/>
      <c r="AC256" s="17" t="s">
        <v>48</v>
      </c>
    </row>
    <row r="257" spans="1:29" s="21" customFormat="1" ht="13.5" customHeight="1" x14ac:dyDescent="0.2">
      <c r="A257" s="9">
        <v>10</v>
      </c>
      <c r="B257" s="9">
        <v>17</v>
      </c>
      <c r="C257" s="10">
        <v>10066</v>
      </c>
      <c r="D257" s="9" t="s">
        <v>130</v>
      </c>
      <c r="E257" s="34" t="s">
        <v>614</v>
      </c>
      <c r="F257" s="10" t="s">
        <v>897</v>
      </c>
      <c r="G257" s="11" t="s">
        <v>381</v>
      </c>
      <c r="H257" s="12" t="s">
        <v>1180</v>
      </c>
      <c r="I257" s="12" t="s">
        <v>1180</v>
      </c>
      <c r="J257" s="12" t="s">
        <v>1605</v>
      </c>
      <c r="K257" s="37" t="s">
        <v>1753</v>
      </c>
      <c r="L257" s="13">
        <v>250</v>
      </c>
      <c r="M257" s="13" t="s">
        <v>1764</v>
      </c>
      <c r="N257" s="14">
        <v>0</v>
      </c>
      <c r="O257" s="14">
        <v>0</v>
      </c>
      <c r="P257" s="14">
        <v>48</v>
      </c>
      <c r="Q257" s="14">
        <v>0</v>
      </c>
      <c r="R257" s="14">
        <v>102</v>
      </c>
      <c r="S257" s="14">
        <v>0</v>
      </c>
      <c r="T257" s="14">
        <v>100</v>
      </c>
      <c r="U257" s="14">
        <v>0</v>
      </c>
      <c r="V257" s="15">
        <f t="shared" si="26"/>
        <v>250</v>
      </c>
      <c r="W257" s="14">
        <f t="shared" si="26"/>
        <v>0</v>
      </c>
      <c r="X257" s="14">
        <f t="shared" si="16"/>
        <v>0</v>
      </c>
      <c r="Y257" s="14">
        <f t="shared" si="17"/>
        <v>0</v>
      </c>
      <c r="Z257" s="16">
        <f t="shared" si="18"/>
        <v>0</v>
      </c>
      <c r="AA257" s="14">
        <f t="shared" si="19"/>
        <v>0</v>
      </c>
      <c r="AB257" s="17"/>
      <c r="AC257" s="17" t="s">
        <v>48</v>
      </c>
    </row>
    <row r="258" spans="1:29" s="21" customFormat="1" ht="13.5" customHeight="1" x14ac:dyDescent="0.2">
      <c r="A258" s="9">
        <v>10</v>
      </c>
      <c r="B258" s="9">
        <v>18</v>
      </c>
      <c r="C258" s="10">
        <v>10064</v>
      </c>
      <c r="D258" s="9" t="s">
        <v>131</v>
      </c>
      <c r="E258" s="34" t="s">
        <v>615</v>
      </c>
      <c r="F258" s="10" t="s">
        <v>898</v>
      </c>
      <c r="G258" s="11" t="s">
        <v>382</v>
      </c>
      <c r="H258" s="12" t="s">
        <v>1181</v>
      </c>
      <c r="I258" s="12" t="s">
        <v>1181</v>
      </c>
      <c r="J258" s="12" t="s">
        <v>1606</v>
      </c>
      <c r="K258" s="37" t="s">
        <v>1754</v>
      </c>
      <c r="L258" s="13">
        <v>130</v>
      </c>
      <c r="M258" s="13" t="s">
        <v>1764</v>
      </c>
      <c r="N258" s="14">
        <v>0</v>
      </c>
      <c r="O258" s="14">
        <v>0</v>
      </c>
      <c r="P258" s="14">
        <v>31</v>
      </c>
      <c r="Q258" s="14">
        <v>0</v>
      </c>
      <c r="R258" s="14">
        <v>50</v>
      </c>
      <c r="S258" s="14">
        <v>0</v>
      </c>
      <c r="T258" s="14">
        <v>48</v>
      </c>
      <c r="U258" s="14">
        <v>1</v>
      </c>
      <c r="V258" s="15">
        <f t="shared" si="26"/>
        <v>129</v>
      </c>
      <c r="W258" s="14">
        <f t="shared" si="26"/>
        <v>1</v>
      </c>
      <c r="X258" s="14">
        <f t="shared" si="16"/>
        <v>0</v>
      </c>
      <c r="Y258" s="14">
        <f t="shared" si="17"/>
        <v>2</v>
      </c>
      <c r="Z258" s="16">
        <f t="shared" si="18"/>
        <v>0</v>
      </c>
      <c r="AA258" s="14">
        <f t="shared" si="19"/>
        <v>-1</v>
      </c>
      <c r="AB258" s="17"/>
      <c r="AC258" s="17" t="s">
        <v>48</v>
      </c>
    </row>
    <row r="259" spans="1:29" s="21" customFormat="1" ht="13.5" customHeight="1" x14ac:dyDescent="0.2">
      <c r="A259" s="9">
        <v>10</v>
      </c>
      <c r="B259" s="9">
        <v>19</v>
      </c>
      <c r="C259" s="10">
        <v>10046</v>
      </c>
      <c r="D259" s="9">
        <v>33164584</v>
      </c>
      <c r="E259" s="34" t="s">
        <v>616</v>
      </c>
      <c r="F259" s="10" t="s">
        <v>899</v>
      </c>
      <c r="G259" s="11" t="s">
        <v>383</v>
      </c>
      <c r="H259" s="12" t="s">
        <v>1182</v>
      </c>
      <c r="I259" s="12" t="s">
        <v>1182</v>
      </c>
      <c r="J259" s="12" t="s">
        <v>1607</v>
      </c>
      <c r="K259" s="37" t="s">
        <v>1756</v>
      </c>
      <c r="L259" s="13">
        <v>317</v>
      </c>
      <c r="M259" s="13" t="s">
        <v>1764</v>
      </c>
      <c r="N259" s="14">
        <v>0</v>
      </c>
      <c r="O259" s="14">
        <v>0</v>
      </c>
      <c r="P259" s="14">
        <v>72</v>
      </c>
      <c r="Q259" s="14">
        <v>0</v>
      </c>
      <c r="R259" s="14">
        <v>103</v>
      </c>
      <c r="S259" s="14">
        <v>0</v>
      </c>
      <c r="T259" s="14">
        <v>139</v>
      </c>
      <c r="U259" s="14">
        <v>0</v>
      </c>
      <c r="V259" s="15">
        <f t="shared" si="26"/>
        <v>314</v>
      </c>
      <c r="W259" s="14">
        <f t="shared" si="26"/>
        <v>0</v>
      </c>
      <c r="X259" s="14">
        <f t="shared" ref="X259:X311" si="27">IF((O259+Q259)&gt;=1,2,0)</f>
        <v>0</v>
      </c>
      <c r="Y259" s="14">
        <f t="shared" ref="Y259:Y311" si="28">IF((S259+U259)&gt;=1,2,0)</f>
        <v>0</v>
      </c>
      <c r="Z259" s="16">
        <f t="shared" ref="Z259:Z311" si="29">IF(SUM(L259-V259-(X259+Y259))&lt;=0,0,SUM(L259-V259-(X259+Y259)))</f>
        <v>3</v>
      </c>
      <c r="AA259" s="14">
        <f t="shared" ref="AA259:AA311" si="30">IF(SUM(L259-V259-(X259+Y259))&lt;0,SUM(L259-V259-(X259+Y259)),0)</f>
        <v>0</v>
      </c>
      <c r="AB259" s="17"/>
      <c r="AC259" s="17"/>
    </row>
    <row r="260" spans="1:29" s="21" customFormat="1" ht="13.5" customHeight="1" x14ac:dyDescent="0.2">
      <c r="A260" s="9">
        <v>10</v>
      </c>
      <c r="B260" s="9">
        <v>20</v>
      </c>
      <c r="C260" s="31">
        <v>10079</v>
      </c>
      <c r="D260" s="30">
        <v>33188122</v>
      </c>
      <c r="E260" s="34" t="s">
        <v>616</v>
      </c>
      <c r="F260" s="10" t="s">
        <v>900</v>
      </c>
      <c r="G260" s="11" t="s">
        <v>384</v>
      </c>
      <c r="H260" s="36" t="s">
        <v>1183</v>
      </c>
      <c r="I260" s="36" t="s">
        <v>1182</v>
      </c>
      <c r="J260" s="36" t="s">
        <v>1608</v>
      </c>
      <c r="K260" s="38" t="s">
        <v>1756</v>
      </c>
      <c r="L260" s="13">
        <v>225</v>
      </c>
      <c r="M260" s="13" t="s">
        <v>1764</v>
      </c>
      <c r="N260" s="14">
        <v>0</v>
      </c>
      <c r="O260" s="14">
        <v>0</v>
      </c>
      <c r="P260" s="14">
        <v>48</v>
      </c>
      <c r="Q260" s="14">
        <v>0</v>
      </c>
      <c r="R260" s="14">
        <v>87</v>
      </c>
      <c r="S260" s="14">
        <v>0</v>
      </c>
      <c r="T260" s="14">
        <v>89</v>
      </c>
      <c r="U260" s="14">
        <v>0</v>
      </c>
      <c r="V260" s="15">
        <f t="shared" si="26"/>
        <v>224</v>
      </c>
      <c r="W260" s="14">
        <f t="shared" si="26"/>
        <v>0</v>
      </c>
      <c r="X260" s="14">
        <f t="shared" si="27"/>
        <v>0</v>
      </c>
      <c r="Y260" s="14">
        <f t="shared" si="28"/>
        <v>0</v>
      </c>
      <c r="Z260" s="16">
        <f t="shared" si="29"/>
        <v>1</v>
      </c>
      <c r="AA260" s="14">
        <f t="shared" si="30"/>
        <v>0</v>
      </c>
      <c r="AB260" s="17"/>
      <c r="AC260" s="17"/>
    </row>
    <row r="261" spans="1:29" s="21" customFormat="1" ht="13.5" customHeight="1" x14ac:dyDescent="0.2">
      <c r="A261" s="9">
        <v>10</v>
      </c>
      <c r="B261" s="9">
        <v>21</v>
      </c>
      <c r="C261" s="10">
        <v>10051</v>
      </c>
      <c r="D261" s="9">
        <v>33189579</v>
      </c>
      <c r="E261" s="34" t="s">
        <v>616</v>
      </c>
      <c r="F261" s="10" t="s">
        <v>901</v>
      </c>
      <c r="G261" s="11" t="s">
        <v>385</v>
      </c>
      <c r="H261" s="12" t="s">
        <v>1184</v>
      </c>
      <c r="I261" s="12" t="s">
        <v>1182</v>
      </c>
      <c r="J261" s="12" t="s">
        <v>1609</v>
      </c>
      <c r="K261" s="37" t="s">
        <v>1757</v>
      </c>
      <c r="L261" s="13">
        <v>333</v>
      </c>
      <c r="M261" s="13" t="s">
        <v>1764</v>
      </c>
      <c r="N261" s="14">
        <v>0</v>
      </c>
      <c r="O261" s="14">
        <v>0</v>
      </c>
      <c r="P261" s="14">
        <v>72</v>
      </c>
      <c r="Q261" s="14">
        <v>0</v>
      </c>
      <c r="R261" s="14">
        <v>120</v>
      </c>
      <c r="S261" s="14">
        <v>0</v>
      </c>
      <c r="T261" s="14">
        <v>141</v>
      </c>
      <c r="U261" s="14">
        <v>0</v>
      </c>
      <c r="V261" s="15">
        <f t="shared" si="26"/>
        <v>333</v>
      </c>
      <c r="W261" s="14">
        <f t="shared" si="26"/>
        <v>0</v>
      </c>
      <c r="X261" s="14">
        <f t="shared" si="27"/>
        <v>0</v>
      </c>
      <c r="Y261" s="14">
        <f t="shared" si="28"/>
        <v>0</v>
      </c>
      <c r="Z261" s="16">
        <f t="shared" si="29"/>
        <v>0</v>
      </c>
      <c r="AA261" s="14">
        <f t="shared" si="30"/>
        <v>0</v>
      </c>
      <c r="AB261" s="17"/>
      <c r="AC261" s="17"/>
    </row>
    <row r="262" spans="1:29" s="21" customFormat="1" ht="13.5" customHeight="1" x14ac:dyDescent="0.2">
      <c r="A262" s="9">
        <v>10</v>
      </c>
      <c r="B262" s="9">
        <v>22</v>
      </c>
      <c r="C262" s="10">
        <v>10052</v>
      </c>
      <c r="D262" s="9">
        <v>33189587</v>
      </c>
      <c r="E262" s="34" t="s">
        <v>616</v>
      </c>
      <c r="F262" s="10" t="s">
        <v>902</v>
      </c>
      <c r="G262" s="11" t="s">
        <v>386</v>
      </c>
      <c r="H262" s="12" t="s">
        <v>1185</v>
      </c>
      <c r="I262" s="12" t="s">
        <v>1182</v>
      </c>
      <c r="J262" s="12" t="s">
        <v>1610</v>
      </c>
      <c r="K262" s="37" t="s">
        <v>1755</v>
      </c>
      <c r="L262" s="13">
        <v>221</v>
      </c>
      <c r="M262" s="13" t="s">
        <v>1764</v>
      </c>
      <c r="N262" s="14">
        <v>0</v>
      </c>
      <c r="O262" s="14">
        <v>0</v>
      </c>
      <c r="P262" s="14">
        <v>48</v>
      </c>
      <c r="Q262" s="14">
        <v>0</v>
      </c>
      <c r="R262" s="14">
        <v>58</v>
      </c>
      <c r="S262" s="14">
        <v>0</v>
      </c>
      <c r="T262" s="14">
        <v>115</v>
      </c>
      <c r="U262" s="14">
        <v>0</v>
      </c>
      <c r="V262" s="15">
        <f t="shared" si="26"/>
        <v>221</v>
      </c>
      <c r="W262" s="14">
        <f t="shared" si="26"/>
        <v>0</v>
      </c>
      <c r="X262" s="14">
        <f t="shared" si="27"/>
        <v>0</v>
      </c>
      <c r="Y262" s="14">
        <f t="shared" si="28"/>
        <v>0</v>
      </c>
      <c r="Z262" s="16">
        <f t="shared" si="29"/>
        <v>0</v>
      </c>
      <c r="AA262" s="14">
        <f t="shared" si="30"/>
        <v>0</v>
      </c>
      <c r="AB262" s="17"/>
      <c r="AC262" s="17"/>
    </row>
    <row r="263" spans="1:29" s="21" customFormat="1" ht="13.5" customHeight="1" x14ac:dyDescent="0.2">
      <c r="A263" s="9">
        <v>10</v>
      </c>
      <c r="B263" s="9">
        <v>23</v>
      </c>
      <c r="C263" s="10">
        <v>10061</v>
      </c>
      <c r="D263" s="9">
        <v>33192995</v>
      </c>
      <c r="E263" s="34" t="s">
        <v>617</v>
      </c>
      <c r="F263" s="10" t="s">
        <v>903</v>
      </c>
      <c r="G263" s="11" t="s">
        <v>387</v>
      </c>
      <c r="H263" s="12" t="s">
        <v>1186</v>
      </c>
      <c r="I263" s="12" t="s">
        <v>1186</v>
      </c>
      <c r="J263" s="12" t="s">
        <v>1611</v>
      </c>
      <c r="K263" s="37" t="s">
        <v>1753</v>
      </c>
      <c r="L263" s="13">
        <v>92</v>
      </c>
      <c r="M263" s="13" t="s">
        <v>1764</v>
      </c>
      <c r="N263" s="14">
        <v>0</v>
      </c>
      <c r="O263" s="14">
        <v>0</v>
      </c>
      <c r="P263" s="14">
        <v>26</v>
      </c>
      <c r="Q263" s="14">
        <v>0</v>
      </c>
      <c r="R263" s="14">
        <v>42</v>
      </c>
      <c r="S263" s="14">
        <v>0</v>
      </c>
      <c r="T263" s="14">
        <v>24</v>
      </c>
      <c r="U263" s="14">
        <v>0</v>
      </c>
      <c r="V263" s="15">
        <f t="shared" si="26"/>
        <v>92</v>
      </c>
      <c r="W263" s="14">
        <f t="shared" si="26"/>
        <v>0</v>
      </c>
      <c r="X263" s="14">
        <f t="shared" si="27"/>
        <v>0</v>
      </c>
      <c r="Y263" s="14">
        <f t="shared" si="28"/>
        <v>0</v>
      </c>
      <c r="Z263" s="16">
        <f t="shared" si="29"/>
        <v>0</v>
      </c>
      <c r="AA263" s="14">
        <f t="shared" si="30"/>
        <v>0</v>
      </c>
      <c r="AB263" s="17"/>
      <c r="AC263" s="17" t="s">
        <v>48</v>
      </c>
    </row>
    <row r="264" spans="1:29" s="21" customFormat="1" ht="13.5" customHeight="1" x14ac:dyDescent="0.2">
      <c r="A264" s="9">
        <v>10</v>
      </c>
      <c r="B264" s="9">
        <v>24</v>
      </c>
      <c r="C264" s="10">
        <v>10053</v>
      </c>
      <c r="D264" s="9">
        <v>33190275</v>
      </c>
      <c r="E264" s="34" t="s">
        <v>618</v>
      </c>
      <c r="F264" s="10" t="s">
        <v>904</v>
      </c>
      <c r="G264" s="11" t="s">
        <v>388</v>
      </c>
      <c r="H264" s="12" t="s">
        <v>1187</v>
      </c>
      <c r="I264" s="12" t="s">
        <v>1187</v>
      </c>
      <c r="J264" s="12" t="s">
        <v>1612</v>
      </c>
      <c r="K264" s="37" t="s">
        <v>1753</v>
      </c>
      <c r="L264" s="13">
        <v>300</v>
      </c>
      <c r="M264" s="13" t="s">
        <v>1764</v>
      </c>
      <c r="N264" s="14">
        <v>0</v>
      </c>
      <c r="O264" s="14">
        <v>0</v>
      </c>
      <c r="P264" s="14">
        <v>113</v>
      </c>
      <c r="Q264" s="14">
        <v>0</v>
      </c>
      <c r="R264" s="14">
        <v>85</v>
      </c>
      <c r="S264" s="14">
        <v>1</v>
      </c>
      <c r="T264" s="14">
        <v>105</v>
      </c>
      <c r="U264" s="14">
        <v>2</v>
      </c>
      <c r="V264" s="15">
        <f t="shared" si="26"/>
        <v>303</v>
      </c>
      <c r="W264" s="14">
        <f t="shared" si="26"/>
        <v>3</v>
      </c>
      <c r="X264" s="14">
        <f t="shared" si="27"/>
        <v>0</v>
      </c>
      <c r="Y264" s="14">
        <f t="shared" si="28"/>
        <v>2</v>
      </c>
      <c r="Z264" s="16">
        <f t="shared" si="29"/>
        <v>0</v>
      </c>
      <c r="AA264" s="14">
        <f t="shared" si="30"/>
        <v>-5</v>
      </c>
      <c r="AB264" s="17"/>
      <c r="AC264" s="17"/>
    </row>
    <row r="265" spans="1:29" s="21" customFormat="1" ht="13.5" customHeight="1" x14ac:dyDescent="0.2">
      <c r="A265" s="9">
        <v>10</v>
      </c>
      <c r="B265" s="9">
        <v>25</v>
      </c>
      <c r="C265" s="10">
        <v>10060</v>
      </c>
      <c r="D265" s="9">
        <v>33191760</v>
      </c>
      <c r="E265" s="34" t="s">
        <v>619</v>
      </c>
      <c r="F265" s="10" t="s">
        <v>905</v>
      </c>
      <c r="G265" s="11" t="s">
        <v>389</v>
      </c>
      <c r="H265" s="12" t="s">
        <v>1188</v>
      </c>
      <c r="I265" s="12" t="s">
        <v>1188</v>
      </c>
      <c r="J265" s="12" t="s">
        <v>1613</v>
      </c>
      <c r="K265" s="37" t="s">
        <v>1753</v>
      </c>
      <c r="L265" s="13">
        <v>100</v>
      </c>
      <c r="M265" s="13" t="s">
        <v>1764</v>
      </c>
      <c r="N265" s="14">
        <v>0</v>
      </c>
      <c r="O265" s="14">
        <v>0</v>
      </c>
      <c r="P265" s="14">
        <v>20</v>
      </c>
      <c r="Q265" s="14">
        <v>0</v>
      </c>
      <c r="R265" s="14">
        <v>50</v>
      </c>
      <c r="S265" s="14">
        <v>1</v>
      </c>
      <c r="T265" s="14">
        <v>29</v>
      </c>
      <c r="U265" s="14">
        <v>1</v>
      </c>
      <c r="V265" s="15">
        <f t="shared" si="26"/>
        <v>99</v>
      </c>
      <c r="W265" s="14">
        <f t="shared" si="26"/>
        <v>2</v>
      </c>
      <c r="X265" s="14">
        <f t="shared" si="27"/>
        <v>0</v>
      </c>
      <c r="Y265" s="14">
        <f t="shared" si="28"/>
        <v>2</v>
      </c>
      <c r="Z265" s="16">
        <f t="shared" si="29"/>
        <v>0</v>
      </c>
      <c r="AA265" s="14">
        <f t="shared" si="30"/>
        <v>-1</v>
      </c>
      <c r="AB265" s="17"/>
      <c r="AC265" s="17" t="s">
        <v>48</v>
      </c>
    </row>
    <row r="266" spans="1:29" s="21" customFormat="1" ht="13.5" customHeight="1" x14ac:dyDescent="0.2">
      <c r="A266" s="9">
        <v>10</v>
      </c>
      <c r="B266" s="9">
        <v>26</v>
      </c>
      <c r="C266" s="10">
        <v>10008</v>
      </c>
      <c r="D266" s="9">
        <v>33095221</v>
      </c>
      <c r="E266" s="34" t="s">
        <v>601</v>
      </c>
      <c r="F266" s="10" t="s">
        <v>906</v>
      </c>
      <c r="G266" s="11" t="s">
        <v>390</v>
      </c>
      <c r="H266" s="12" t="s">
        <v>1189</v>
      </c>
      <c r="I266" s="12" t="s">
        <v>1339</v>
      </c>
      <c r="J266" s="12" t="s">
        <v>1614</v>
      </c>
      <c r="K266" s="37" t="s">
        <v>1753</v>
      </c>
      <c r="L266" s="13">
        <v>115</v>
      </c>
      <c r="M266" s="13" t="s">
        <v>1763</v>
      </c>
      <c r="N266" s="14">
        <v>0</v>
      </c>
      <c r="O266" s="14">
        <v>0</v>
      </c>
      <c r="P266" s="14">
        <v>0</v>
      </c>
      <c r="Q266" s="14">
        <v>0</v>
      </c>
      <c r="R266" s="14">
        <v>42</v>
      </c>
      <c r="S266" s="14">
        <v>0</v>
      </c>
      <c r="T266" s="14">
        <v>71</v>
      </c>
      <c r="U266" s="14">
        <v>4</v>
      </c>
      <c r="V266" s="15">
        <f t="shared" si="26"/>
        <v>113</v>
      </c>
      <c r="W266" s="14">
        <f t="shared" si="26"/>
        <v>4</v>
      </c>
      <c r="X266" s="14">
        <f t="shared" si="27"/>
        <v>0</v>
      </c>
      <c r="Y266" s="14">
        <f t="shared" si="28"/>
        <v>2</v>
      </c>
      <c r="Z266" s="16">
        <f t="shared" si="29"/>
        <v>0</v>
      </c>
      <c r="AA266" s="14">
        <f t="shared" si="30"/>
        <v>0</v>
      </c>
      <c r="AB266" s="17"/>
      <c r="AC266" s="17"/>
    </row>
    <row r="267" spans="1:29" s="21" customFormat="1" ht="13.5" customHeight="1" x14ac:dyDescent="0.2">
      <c r="A267" s="9">
        <v>10</v>
      </c>
      <c r="B267" s="9">
        <v>27</v>
      </c>
      <c r="C267" s="10">
        <v>10005</v>
      </c>
      <c r="D267" s="9">
        <v>33088403</v>
      </c>
      <c r="E267" s="34" t="s">
        <v>538</v>
      </c>
      <c r="F267" s="10" t="s">
        <v>907</v>
      </c>
      <c r="G267" s="11" t="s">
        <v>391</v>
      </c>
      <c r="H267" s="12" t="s">
        <v>1190</v>
      </c>
      <c r="I267" s="12" t="s">
        <v>1242</v>
      </c>
      <c r="J267" s="12" t="s">
        <v>1615</v>
      </c>
      <c r="K267" s="37" t="s">
        <v>1757</v>
      </c>
      <c r="L267" s="13">
        <v>45</v>
      </c>
      <c r="M267" s="13" t="s">
        <v>1763</v>
      </c>
      <c r="N267" s="14">
        <v>0</v>
      </c>
      <c r="O267" s="14">
        <v>0</v>
      </c>
      <c r="P267" s="14">
        <v>0</v>
      </c>
      <c r="Q267" s="14">
        <v>0</v>
      </c>
      <c r="R267" s="14">
        <v>19</v>
      </c>
      <c r="S267" s="14">
        <v>0</v>
      </c>
      <c r="T267" s="14">
        <v>24</v>
      </c>
      <c r="U267" s="14">
        <v>1</v>
      </c>
      <c r="V267" s="15">
        <f t="shared" si="26"/>
        <v>43</v>
      </c>
      <c r="W267" s="14">
        <f t="shared" si="26"/>
        <v>1</v>
      </c>
      <c r="X267" s="14">
        <f t="shared" si="27"/>
        <v>0</v>
      </c>
      <c r="Y267" s="14">
        <f t="shared" si="28"/>
        <v>2</v>
      </c>
      <c r="Z267" s="16">
        <f t="shared" si="29"/>
        <v>0</v>
      </c>
      <c r="AA267" s="14">
        <f t="shared" si="30"/>
        <v>0</v>
      </c>
      <c r="AB267" s="17"/>
      <c r="AC267" s="17"/>
    </row>
    <row r="268" spans="1:29" s="21" customFormat="1" ht="13.5" customHeight="1" x14ac:dyDescent="0.2">
      <c r="A268" s="9">
        <v>10</v>
      </c>
      <c r="B268" s="9">
        <v>28</v>
      </c>
      <c r="C268" s="10">
        <v>10044</v>
      </c>
      <c r="D268" s="9">
        <v>33187029</v>
      </c>
      <c r="E268" s="34" t="s">
        <v>620</v>
      </c>
      <c r="F268" s="10" t="s">
        <v>908</v>
      </c>
      <c r="G268" s="11" t="s">
        <v>392</v>
      </c>
      <c r="H268" s="12" t="s">
        <v>1191</v>
      </c>
      <c r="I268" s="12" t="s">
        <v>1340</v>
      </c>
      <c r="J268" s="12" t="s">
        <v>1616</v>
      </c>
      <c r="K268" s="37" t="s">
        <v>1753</v>
      </c>
      <c r="L268" s="13">
        <v>168</v>
      </c>
      <c r="M268" s="13" t="s">
        <v>1764</v>
      </c>
      <c r="N268" s="14">
        <v>0</v>
      </c>
      <c r="O268" s="14">
        <v>0</v>
      </c>
      <c r="P268" s="14">
        <v>51</v>
      </c>
      <c r="Q268" s="14">
        <v>0</v>
      </c>
      <c r="R268" s="14">
        <v>55</v>
      </c>
      <c r="S268" s="14">
        <v>0</v>
      </c>
      <c r="T268" s="14">
        <v>62</v>
      </c>
      <c r="U268" s="14">
        <v>0</v>
      </c>
      <c r="V268" s="15">
        <f t="shared" si="26"/>
        <v>168</v>
      </c>
      <c r="W268" s="14">
        <f t="shared" si="26"/>
        <v>0</v>
      </c>
      <c r="X268" s="14">
        <f t="shared" si="27"/>
        <v>0</v>
      </c>
      <c r="Y268" s="14">
        <f t="shared" si="28"/>
        <v>0</v>
      </c>
      <c r="Z268" s="16">
        <f t="shared" si="29"/>
        <v>0</v>
      </c>
      <c r="AA268" s="14">
        <f t="shared" si="30"/>
        <v>0</v>
      </c>
      <c r="AB268" s="17"/>
      <c r="AC268" s="17"/>
    </row>
    <row r="269" spans="1:29" s="21" customFormat="1" ht="13.5" customHeight="1" x14ac:dyDescent="0.2">
      <c r="A269" s="9">
        <v>10</v>
      </c>
      <c r="B269" s="9">
        <v>29</v>
      </c>
      <c r="C269" s="10">
        <v>10024</v>
      </c>
      <c r="D269" s="9">
        <v>33121575</v>
      </c>
      <c r="E269" s="34" t="s">
        <v>621</v>
      </c>
      <c r="F269" s="10" t="s">
        <v>909</v>
      </c>
      <c r="G269" s="11" t="s">
        <v>393</v>
      </c>
      <c r="H269" s="12" t="s">
        <v>1192</v>
      </c>
      <c r="I269" s="12" t="s">
        <v>1192</v>
      </c>
      <c r="J269" s="12" t="s">
        <v>1617</v>
      </c>
      <c r="K269" s="37" t="s">
        <v>1753</v>
      </c>
      <c r="L269" s="13">
        <v>140</v>
      </c>
      <c r="M269" s="13" t="s">
        <v>1764</v>
      </c>
      <c r="N269" s="14">
        <v>0</v>
      </c>
      <c r="O269" s="14">
        <v>0</v>
      </c>
      <c r="P269" s="14">
        <v>25</v>
      </c>
      <c r="Q269" s="14">
        <v>0</v>
      </c>
      <c r="R269" s="14">
        <v>54</v>
      </c>
      <c r="S269" s="14">
        <v>0</v>
      </c>
      <c r="T269" s="14">
        <v>62</v>
      </c>
      <c r="U269" s="14">
        <v>0</v>
      </c>
      <c r="V269" s="15">
        <f t="shared" si="26"/>
        <v>141</v>
      </c>
      <c r="W269" s="14">
        <f t="shared" si="26"/>
        <v>0</v>
      </c>
      <c r="X269" s="14">
        <f t="shared" si="27"/>
        <v>0</v>
      </c>
      <c r="Y269" s="14">
        <f t="shared" si="28"/>
        <v>0</v>
      </c>
      <c r="Z269" s="16">
        <f t="shared" si="29"/>
        <v>0</v>
      </c>
      <c r="AA269" s="14">
        <f t="shared" si="30"/>
        <v>-1</v>
      </c>
      <c r="AB269" s="17"/>
      <c r="AC269" s="17"/>
    </row>
    <row r="270" spans="1:29" s="21" customFormat="1" ht="13.5" customHeight="1" x14ac:dyDescent="0.2">
      <c r="A270" s="9">
        <v>10</v>
      </c>
      <c r="B270" s="9">
        <v>30</v>
      </c>
      <c r="C270" s="10">
        <v>10032</v>
      </c>
      <c r="D270" s="9">
        <v>33143404</v>
      </c>
      <c r="E270" s="34" t="s">
        <v>573</v>
      </c>
      <c r="F270" s="10" t="s">
        <v>910</v>
      </c>
      <c r="G270" s="11" t="s">
        <v>394</v>
      </c>
      <c r="H270" s="12" t="s">
        <v>1193</v>
      </c>
      <c r="I270" s="12" t="s">
        <v>87</v>
      </c>
      <c r="J270" s="12" t="s">
        <v>1618</v>
      </c>
      <c r="K270" s="37" t="s">
        <v>1753</v>
      </c>
      <c r="L270" s="13">
        <v>222</v>
      </c>
      <c r="M270" s="13" t="s">
        <v>1765</v>
      </c>
      <c r="N270" s="14">
        <v>43</v>
      </c>
      <c r="O270" s="14">
        <v>0</v>
      </c>
      <c r="P270" s="14">
        <v>56</v>
      </c>
      <c r="Q270" s="14">
        <v>0</v>
      </c>
      <c r="R270" s="14">
        <v>63</v>
      </c>
      <c r="S270" s="14">
        <v>1</v>
      </c>
      <c r="T270" s="14">
        <v>59</v>
      </c>
      <c r="U270" s="14">
        <v>0</v>
      </c>
      <c r="V270" s="15">
        <f t="shared" si="26"/>
        <v>221</v>
      </c>
      <c r="W270" s="14">
        <f t="shared" si="26"/>
        <v>1</v>
      </c>
      <c r="X270" s="14">
        <f t="shared" si="27"/>
        <v>0</v>
      </c>
      <c r="Y270" s="14">
        <f t="shared" si="28"/>
        <v>2</v>
      </c>
      <c r="Z270" s="16">
        <f t="shared" si="29"/>
        <v>0</v>
      </c>
      <c r="AA270" s="14">
        <f t="shared" si="30"/>
        <v>-1</v>
      </c>
      <c r="AB270" s="17"/>
      <c r="AC270" s="17"/>
    </row>
    <row r="271" spans="1:29" s="21" customFormat="1" ht="13.5" customHeight="1" x14ac:dyDescent="0.2">
      <c r="A271" s="9">
        <v>10</v>
      </c>
      <c r="B271" s="9">
        <v>31</v>
      </c>
      <c r="C271" s="10">
        <v>10059</v>
      </c>
      <c r="D271" s="9">
        <v>33192529</v>
      </c>
      <c r="E271" s="34" t="s">
        <v>622</v>
      </c>
      <c r="F271" s="10" t="s">
        <v>911</v>
      </c>
      <c r="G271" s="11" t="s">
        <v>395</v>
      </c>
      <c r="H271" s="12" t="s">
        <v>1194</v>
      </c>
      <c r="I271" s="12" t="s">
        <v>1194</v>
      </c>
      <c r="J271" s="12" t="s">
        <v>1619</v>
      </c>
      <c r="K271" s="37" t="s">
        <v>1753</v>
      </c>
      <c r="L271" s="13">
        <v>92</v>
      </c>
      <c r="M271" s="13" t="s">
        <v>1764</v>
      </c>
      <c r="N271" s="14">
        <v>0</v>
      </c>
      <c r="O271" s="14">
        <v>0</v>
      </c>
      <c r="P271" s="14">
        <v>25</v>
      </c>
      <c r="Q271" s="14">
        <v>0</v>
      </c>
      <c r="R271" s="14">
        <v>25</v>
      </c>
      <c r="S271" s="14">
        <v>0</v>
      </c>
      <c r="T271" s="14">
        <v>40</v>
      </c>
      <c r="U271" s="14">
        <v>1</v>
      </c>
      <c r="V271" s="15">
        <f t="shared" si="26"/>
        <v>90</v>
      </c>
      <c r="W271" s="14">
        <f t="shared" si="26"/>
        <v>1</v>
      </c>
      <c r="X271" s="14">
        <f t="shared" si="27"/>
        <v>0</v>
      </c>
      <c r="Y271" s="14">
        <f t="shared" si="28"/>
        <v>2</v>
      </c>
      <c r="Z271" s="16">
        <f t="shared" si="29"/>
        <v>0</v>
      </c>
      <c r="AA271" s="14">
        <f t="shared" si="30"/>
        <v>0</v>
      </c>
      <c r="AB271" s="17"/>
      <c r="AC271" s="17" t="s">
        <v>48</v>
      </c>
    </row>
    <row r="272" spans="1:29" s="21" customFormat="1" ht="13.5" customHeight="1" x14ac:dyDescent="0.2">
      <c r="A272" s="9">
        <v>10</v>
      </c>
      <c r="B272" s="9">
        <v>32</v>
      </c>
      <c r="C272" s="10">
        <v>10014</v>
      </c>
      <c r="D272" s="9">
        <v>33096724</v>
      </c>
      <c r="E272" s="34" t="s">
        <v>538</v>
      </c>
      <c r="F272" s="10" t="s">
        <v>912</v>
      </c>
      <c r="G272" s="11" t="s">
        <v>396</v>
      </c>
      <c r="H272" s="12" t="s">
        <v>1195</v>
      </c>
      <c r="I272" s="12" t="s">
        <v>1242</v>
      </c>
      <c r="J272" s="12" t="s">
        <v>1620</v>
      </c>
      <c r="K272" s="37" t="s">
        <v>1757</v>
      </c>
      <c r="L272" s="13">
        <v>30</v>
      </c>
      <c r="M272" s="13" t="s">
        <v>1763</v>
      </c>
      <c r="N272" s="14">
        <v>0</v>
      </c>
      <c r="O272" s="14">
        <v>0</v>
      </c>
      <c r="P272" s="14">
        <v>0</v>
      </c>
      <c r="Q272" s="14">
        <v>0</v>
      </c>
      <c r="R272" s="14">
        <v>15</v>
      </c>
      <c r="S272" s="14">
        <v>0</v>
      </c>
      <c r="T272" s="14">
        <v>15</v>
      </c>
      <c r="U272" s="14">
        <v>0</v>
      </c>
      <c r="V272" s="15">
        <f t="shared" si="26"/>
        <v>30</v>
      </c>
      <c r="W272" s="14">
        <f t="shared" si="26"/>
        <v>0</v>
      </c>
      <c r="X272" s="14">
        <f t="shared" si="27"/>
        <v>0</v>
      </c>
      <c r="Y272" s="14">
        <f t="shared" si="28"/>
        <v>0</v>
      </c>
      <c r="Z272" s="16">
        <f t="shared" si="29"/>
        <v>0</v>
      </c>
      <c r="AA272" s="14">
        <f t="shared" si="30"/>
        <v>0</v>
      </c>
      <c r="AB272" s="17"/>
      <c r="AC272" s="17"/>
    </row>
    <row r="273" spans="1:29" s="21" customFormat="1" ht="13.5" customHeight="1" x14ac:dyDescent="0.2">
      <c r="A273" s="9">
        <v>10</v>
      </c>
      <c r="B273" s="9">
        <v>33</v>
      </c>
      <c r="C273" s="10">
        <v>10068</v>
      </c>
      <c r="D273" s="9" t="s">
        <v>132</v>
      </c>
      <c r="E273" s="34" t="s">
        <v>592</v>
      </c>
      <c r="F273" s="10" t="s">
        <v>913</v>
      </c>
      <c r="G273" s="11" t="s">
        <v>397</v>
      </c>
      <c r="H273" s="12" t="s">
        <v>1196</v>
      </c>
      <c r="I273" s="12" t="s">
        <v>1341</v>
      </c>
      <c r="J273" s="12" t="s">
        <v>1621</v>
      </c>
      <c r="K273" s="37" t="s">
        <v>1755</v>
      </c>
      <c r="L273" s="13">
        <v>140</v>
      </c>
      <c r="M273" s="13" t="s">
        <v>1764</v>
      </c>
      <c r="N273" s="14">
        <v>0</v>
      </c>
      <c r="O273" s="14">
        <v>0</v>
      </c>
      <c r="P273" s="14">
        <v>29</v>
      </c>
      <c r="Q273" s="14">
        <v>0</v>
      </c>
      <c r="R273" s="14">
        <v>45</v>
      </c>
      <c r="S273" s="14">
        <v>0</v>
      </c>
      <c r="T273" s="14">
        <v>36</v>
      </c>
      <c r="U273" s="14">
        <v>1</v>
      </c>
      <c r="V273" s="15">
        <f t="shared" si="26"/>
        <v>110</v>
      </c>
      <c r="W273" s="14">
        <f t="shared" si="26"/>
        <v>1</v>
      </c>
      <c r="X273" s="14">
        <f t="shared" si="27"/>
        <v>0</v>
      </c>
      <c r="Y273" s="14">
        <f t="shared" si="28"/>
        <v>2</v>
      </c>
      <c r="Z273" s="16">
        <f t="shared" si="29"/>
        <v>28</v>
      </c>
      <c r="AA273" s="14">
        <f t="shared" si="30"/>
        <v>0</v>
      </c>
      <c r="AB273" s="17"/>
      <c r="AC273" s="17" t="s">
        <v>48</v>
      </c>
    </row>
    <row r="274" spans="1:29" s="21" customFormat="1" ht="13.5" customHeight="1" x14ac:dyDescent="0.2">
      <c r="A274" s="9">
        <v>10</v>
      </c>
      <c r="B274" s="9">
        <v>34</v>
      </c>
      <c r="C274" s="10">
        <v>10063</v>
      </c>
      <c r="D274" s="9">
        <v>33192910</v>
      </c>
      <c r="E274" s="34" t="s">
        <v>623</v>
      </c>
      <c r="F274" s="10" t="s">
        <v>914</v>
      </c>
      <c r="G274" s="11" t="s">
        <v>398</v>
      </c>
      <c r="H274" s="12" t="s">
        <v>1197</v>
      </c>
      <c r="I274" s="12" t="s">
        <v>1197</v>
      </c>
      <c r="J274" s="12" t="s">
        <v>1622</v>
      </c>
      <c r="K274" s="37" t="s">
        <v>1755</v>
      </c>
      <c r="L274" s="13">
        <v>130</v>
      </c>
      <c r="M274" s="13" t="s">
        <v>1764</v>
      </c>
      <c r="N274" s="14">
        <v>0</v>
      </c>
      <c r="O274" s="14">
        <v>0</v>
      </c>
      <c r="P274" s="14">
        <v>50</v>
      </c>
      <c r="Q274" s="14">
        <v>0</v>
      </c>
      <c r="R274" s="14">
        <v>53</v>
      </c>
      <c r="S274" s="14">
        <v>0</v>
      </c>
      <c r="T274" s="14">
        <v>27</v>
      </c>
      <c r="U274" s="14">
        <v>0</v>
      </c>
      <c r="V274" s="15">
        <f t="shared" si="26"/>
        <v>130</v>
      </c>
      <c r="W274" s="14">
        <f t="shared" si="26"/>
        <v>0</v>
      </c>
      <c r="X274" s="14">
        <f t="shared" si="27"/>
        <v>0</v>
      </c>
      <c r="Y274" s="14">
        <f t="shared" si="28"/>
        <v>0</v>
      </c>
      <c r="Z274" s="16">
        <f t="shared" si="29"/>
        <v>0</v>
      </c>
      <c r="AA274" s="14">
        <f t="shared" si="30"/>
        <v>0</v>
      </c>
      <c r="AB274" s="17"/>
      <c r="AC274" s="17" t="s">
        <v>48</v>
      </c>
    </row>
    <row r="275" spans="1:29" s="21" customFormat="1" ht="13.5" customHeight="1" x14ac:dyDescent="0.2">
      <c r="A275" s="9">
        <v>10</v>
      </c>
      <c r="B275" s="9">
        <v>35</v>
      </c>
      <c r="C275" s="10">
        <v>10026</v>
      </c>
      <c r="D275" s="9">
        <v>33121931</v>
      </c>
      <c r="E275" s="34" t="s">
        <v>624</v>
      </c>
      <c r="F275" s="10" t="s">
        <v>915</v>
      </c>
      <c r="G275" s="11" t="s">
        <v>399</v>
      </c>
      <c r="H275" s="12" t="s">
        <v>1198</v>
      </c>
      <c r="I275" s="12" t="s">
        <v>1198</v>
      </c>
      <c r="J275" s="12" t="s">
        <v>1623</v>
      </c>
      <c r="K275" s="37" t="s">
        <v>1754</v>
      </c>
      <c r="L275" s="13">
        <v>145</v>
      </c>
      <c r="M275" s="13" t="s">
        <v>1763</v>
      </c>
      <c r="N275" s="14">
        <v>0</v>
      </c>
      <c r="O275" s="14">
        <v>0</v>
      </c>
      <c r="P275" s="14">
        <v>0</v>
      </c>
      <c r="Q275" s="14">
        <v>0</v>
      </c>
      <c r="R275" s="14">
        <v>69</v>
      </c>
      <c r="S275" s="14">
        <v>3</v>
      </c>
      <c r="T275" s="14">
        <v>74</v>
      </c>
      <c r="U275" s="14">
        <v>0</v>
      </c>
      <c r="V275" s="15">
        <f t="shared" ref="V275:W311" si="31">SUM(N275,P275,R275,T275)</f>
        <v>143</v>
      </c>
      <c r="W275" s="14">
        <f t="shared" si="31"/>
        <v>3</v>
      </c>
      <c r="X275" s="14">
        <f t="shared" si="27"/>
        <v>0</v>
      </c>
      <c r="Y275" s="14">
        <f t="shared" si="28"/>
        <v>2</v>
      </c>
      <c r="Z275" s="16">
        <f t="shared" si="29"/>
        <v>0</v>
      </c>
      <c r="AA275" s="14">
        <f t="shared" si="30"/>
        <v>0</v>
      </c>
      <c r="AB275" s="17"/>
      <c r="AC275" s="17"/>
    </row>
    <row r="276" spans="1:29" s="21" customFormat="1" ht="13.5" customHeight="1" x14ac:dyDescent="0.2">
      <c r="A276" s="9">
        <v>10</v>
      </c>
      <c r="B276" s="9">
        <v>36</v>
      </c>
      <c r="C276" s="10">
        <v>10069</v>
      </c>
      <c r="D276" s="9">
        <v>33193169</v>
      </c>
      <c r="E276" s="34" t="s">
        <v>624</v>
      </c>
      <c r="F276" s="10" t="s">
        <v>916</v>
      </c>
      <c r="G276" s="11" t="s">
        <v>400</v>
      </c>
      <c r="H276" s="12" t="s">
        <v>1199</v>
      </c>
      <c r="I276" s="12" t="s">
        <v>1198</v>
      </c>
      <c r="J276" s="12" t="s">
        <v>1624</v>
      </c>
      <c r="K276" s="37" t="s">
        <v>1754</v>
      </c>
      <c r="L276" s="13">
        <v>75</v>
      </c>
      <c r="M276" s="13" t="s">
        <v>1763</v>
      </c>
      <c r="N276" s="14">
        <v>0</v>
      </c>
      <c r="O276" s="14">
        <v>0</v>
      </c>
      <c r="P276" s="14">
        <v>16</v>
      </c>
      <c r="Q276" s="14">
        <v>0</v>
      </c>
      <c r="R276" s="14">
        <v>17</v>
      </c>
      <c r="S276" s="14">
        <v>0</v>
      </c>
      <c r="T276" s="14">
        <v>42</v>
      </c>
      <c r="U276" s="14">
        <v>3</v>
      </c>
      <c r="V276" s="15">
        <f t="shared" si="31"/>
        <v>75</v>
      </c>
      <c r="W276" s="14">
        <f t="shared" si="31"/>
        <v>3</v>
      </c>
      <c r="X276" s="14">
        <f t="shared" si="27"/>
        <v>0</v>
      </c>
      <c r="Y276" s="14">
        <f t="shared" si="28"/>
        <v>2</v>
      </c>
      <c r="Z276" s="16">
        <f t="shared" si="29"/>
        <v>0</v>
      </c>
      <c r="AA276" s="14">
        <f t="shared" si="30"/>
        <v>-2</v>
      </c>
      <c r="AB276" s="17"/>
      <c r="AC276" s="17" t="s">
        <v>48</v>
      </c>
    </row>
    <row r="277" spans="1:29" s="21" customFormat="1" ht="13.5" customHeight="1" x14ac:dyDescent="0.2">
      <c r="A277" s="9">
        <v>10</v>
      </c>
      <c r="B277" s="9">
        <v>37</v>
      </c>
      <c r="C277" s="10">
        <v>10006</v>
      </c>
      <c r="D277" s="9">
        <v>33094586</v>
      </c>
      <c r="E277" s="34" t="s">
        <v>625</v>
      </c>
      <c r="F277" s="10" t="s">
        <v>917</v>
      </c>
      <c r="G277" s="11" t="s">
        <v>401</v>
      </c>
      <c r="H277" s="12" t="s">
        <v>1200</v>
      </c>
      <c r="I277" s="12" t="s">
        <v>1342</v>
      </c>
      <c r="J277" s="12" t="s">
        <v>1625</v>
      </c>
      <c r="K277" s="37" t="s">
        <v>1753</v>
      </c>
      <c r="L277" s="13">
        <v>115</v>
      </c>
      <c r="M277" s="13" t="s">
        <v>1763</v>
      </c>
      <c r="N277" s="14">
        <v>0</v>
      </c>
      <c r="O277" s="14">
        <v>0</v>
      </c>
      <c r="P277" s="14">
        <v>0</v>
      </c>
      <c r="Q277" s="14">
        <v>0</v>
      </c>
      <c r="R277" s="14">
        <v>38</v>
      </c>
      <c r="S277" s="14">
        <v>1</v>
      </c>
      <c r="T277" s="14">
        <v>78</v>
      </c>
      <c r="U277" s="14">
        <v>2</v>
      </c>
      <c r="V277" s="15">
        <f t="shared" si="31"/>
        <v>116</v>
      </c>
      <c r="W277" s="14">
        <f t="shared" si="31"/>
        <v>3</v>
      </c>
      <c r="X277" s="14">
        <f t="shared" si="27"/>
        <v>0</v>
      </c>
      <c r="Y277" s="14">
        <f t="shared" si="28"/>
        <v>2</v>
      </c>
      <c r="Z277" s="16">
        <f t="shared" si="29"/>
        <v>0</v>
      </c>
      <c r="AA277" s="14">
        <f t="shared" si="30"/>
        <v>-3</v>
      </c>
      <c r="AB277" s="17"/>
      <c r="AC277" s="17"/>
    </row>
    <row r="278" spans="1:29" s="21" customFormat="1" ht="13.5" customHeight="1" x14ac:dyDescent="0.2">
      <c r="A278" s="9">
        <v>10</v>
      </c>
      <c r="B278" s="9">
        <v>38</v>
      </c>
      <c r="C278" s="10">
        <v>10058</v>
      </c>
      <c r="D278" s="9" t="s">
        <v>133</v>
      </c>
      <c r="E278" s="34" t="s">
        <v>626</v>
      </c>
      <c r="F278" s="10" t="s">
        <v>918</v>
      </c>
      <c r="G278" s="11" t="s">
        <v>402</v>
      </c>
      <c r="H278" s="12" t="s">
        <v>1201</v>
      </c>
      <c r="I278" s="12" t="s">
        <v>1201</v>
      </c>
      <c r="J278" s="12" t="s">
        <v>1626</v>
      </c>
      <c r="K278" s="37" t="s">
        <v>1756</v>
      </c>
      <c r="L278" s="13">
        <v>280</v>
      </c>
      <c r="M278" s="13" t="s">
        <v>1764</v>
      </c>
      <c r="N278" s="14">
        <v>49</v>
      </c>
      <c r="O278" s="14">
        <v>0</v>
      </c>
      <c r="P278" s="14">
        <v>75</v>
      </c>
      <c r="Q278" s="14">
        <v>0</v>
      </c>
      <c r="R278" s="14">
        <v>91</v>
      </c>
      <c r="S278" s="14">
        <v>0</v>
      </c>
      <c r="T278" s="14">
        <v>51</v>
      </c>
      <c r="U278" s="14">
        <v>0</v>
      </c>
      <c r="V278" s="15">
        <f t="shared" si="31"/>
        <v>266</v>
      </c>
      <c r="W278" s="14">
        <f t="shared" si="31"/>
        <v>0</v>
      </c>
      <c r="X278" s="14">
        <f t="shared" si="27"/>
        <v>0</v>
      </c>
      <c r="Y278" s="14">
        <f t="shared" si="28"/>
        <v>0</v>
      </c>
      <c r="Z278" s="16">
        <f t="shared" si="29"/>
        <v>14</v>
      </c>
      <c r="AA278" s="14">
        <f t="shared" si="30"/>
        <v>0</v>
      </c>
      <c r="AB278" s="17"/>
      <c r="AC278" s="17" t="s">
        <v>48</v>
      </c>
    </row>
    <row r="279" spans="1:29" s="21" customFormat="1" ht="13.5" customHeight="1" x14ac:dyDescent="0.2">
      <c r="A279" s="9">
        <v>10</v>
      </c>
      <c r="B279" s="9">
        <v>39</v>
      </c>
      <c r="C279" s="10">
        <v>10018</v>
      </c>
      <c r="D279" s="9">
        <v>33114897</v>
      </c>
      <c r="E279" s="34" t="s">
        <v>627</v>
      </c>
      <c r="F279" s="10" t="s">
        <v>919</v>
      </c>
      <c r="G279" s="11" t="s">
        <v>403</v>
      </c>
      <c r="H279" s="12" t="s">
        <v>1202</v>
      </c>
      <c r="I279" s="12" t="s">
        <v>1202</v>
      </c>
      <c r="J279" s="12" t="s">
        <v>1627</v>
      </c>
      <c r="K279" s="37" t="s">
        <v>1756</v>
      </c>
      <c r="L279" s="13">
        <v>220</v>
      </c>
      <c r="M279" s="13" t="s">
        <v>1764</v>
      </c>
      <c r="N279" s="14">
        <v>0</v>
      </c>
      <c r="O279" s="14">
        <v>0</v>
      </c>
      <c r="P279" s="14">
        <v>51</v>
      </c>
      <c r="Q279" s="14">
        <v>0</v>
      </c>
      <c r="R279" s="14">
        <v>87</v>
      </c>
      <c r="S279" s="14">
        <v>1</v>
      </c>
      <c r="T279" s="14">
        <v>81</v>
      </c>
      <c r="U279" s="14">
        <v>0</v>
      </c>
      <c r="V279" s="15">
        <f t="shared" si="31"/>
        <v>219</v>
      </c>
      <c r="W279" s="14">
        <f t="shared" si="31"/>
        <v>1</v>
      </c>
      <c r="X279" s="14">
        <f t="shared" si="27"/>
        <v>0</v>
      </c>
      <c r="Y279" s="14">
        <f t="shared" si="28"/>
        <v>2</v>
      </c>
      <c r="Z279" s="16">
        <f t="shared" si="29"/>
        <v>0</v>
      </c>
      <c r="AA279" s="14">
        <f t="shared" si="30"/>
        <v>-1</v>
      </c>
      <c r="AB279" s="17"/>
      <c r="AC279" s="17"/>
    </row>
    <row r="280" spans="1:29" s="21" customFormat="1" ht="13.5" customHeight="1" x14ac:dyDescent="0.2">
      <c r="A280" s="9">
        <v>10</v>
      </c>
      <c r="B280" s="9">
        <v>40</v>
      </c>
      <c r="C280" s="10">
        <v>10023</v>
      </c>
      <c r="D280" s="9">
        <v>33121567</v>
      </c>
      <c r="E280" s="34" t="s">
        <v>628</v>
      </c>
      <c r="F280" s="10" t="s">
        <v>920</v>
      </c>
      <c r="G280" s="11" t="s">
        <v>404</v>
      </c>
      <c r="H280" s="12" t="s">
        <v>1203</v>
      </c>
      <c r="I280" s="12" t="s">
        <v>1203</v>
      </c>
      <c r="J280" s="12" t="s">
        <v>1628</v>
      </c>
      <c r="K280" s="37" t="s">
        <v>1753</v>
      </c>
      <c r="L280" s="13">
        <v>100</v>
      </c>
      <c r="M280" s="13" t="s">
        <v>1764</v>
      </c>
      <c r="N280" s="14">
        <v>0</v>
      </c>
      <c r="O280" s="14">
        <v>0</v>
      </c>
      <c r="P280" s="14">
        <v>22</v>
      </c>
      <c r="Q280" s="14">
        <v>0</v>
      </c>
      <c r="R280" s="14">
        <v>51</v>
      </c>
      <c r="S280" s="14">
        <v>1</v>
      </c>
      <c r="T280" s="14">
        <v>27</v>
      </c>
      <c r="U280" s="14">
        <v>0</v>
      </c>
      <c r="V280" s="15">
        <f t="shared" si="31"/>
        <v>100</v>
      </c>
      <c r="W280" s="14">
        <f t="shared" si="31"/>
        <v>1</v>
      </c>
      <c r="X280" s="14">
        <f t="shared" si="27"/>
        <v>0</v>
      </c>
      <c r="Y280" s="14">
        <f t="shared" si="28"/>
        <v>2</v>
      </c>
      <c r="Z280" s="16">
        <f t="shared" si="29"/>
        <v>0</v>
      </c>
      <c r="AA280" s="14">
        <f t="shared" si="30"/>
        <v>-2</v>
      </c>
      <c r="AB280" s="17"/>
      <c r="AC280" s="17"/>
    </row>
    <row r="281" spans="1:29" s="21" customFormat="1" ht="13.5" customHeight="1" x14ac:dyDescent="0.2">
      <c r="A281" s="9">
        <v>10</v>
      </c>
      <c r="B281" s="9">
        <v>41</v>
      </c>
      <c r="C281" s="10">
        <v>10065</v>
      </c>
      <c r="D281" s="9">
        <v>33192731</v>
      </c>
      <c r="E281" s="34" t="s">
        <v>620</v>
      </c>
      <c r="F281" s="10" t="s">
        <v>921</v>
      </c>
      <c r="G281" s="11" t="s">
        <v>405</v>
      </c>
      <c r="H281" s="12" t="s">
        <v>1204</v>
      </c>
      <c r="I281" s="12" t="s">
        <v>1340</v>
      </c>
      <c r="J281" s="12" t="s">
        <v>1629</v>
      </c>
      <c r="K281" s="37" t="s">
        <v>1756</v>
      </c>
      <c r="L281" s="13">
        <v>131</v>
      </c>
      <c r="M281" s="13" t="s">
        <v>1765</v>
      </c>
      <c r="N281" s="14">
        <v>0</v>
      </c>
      <c r="O281" s="14">
        <v>0</v>
      </c>
      <c r="P281" s="14">
        <v>45</v>
      </c>
      <c r="Q281" s="14">
        <v>0</v>
      </c>
      <c r="R281" s="14">
        <v>42</v>
      </c>
      <c r="S281" s="14">
        <v>0</v>
      </c>
      <c r="T281" s="14">
        <v>38</v>
      </c>
      <c r="U281" s="14">
        <v>0</v>
      </c>
      <c r="V281" s="15">
        <f t="shared" si="31"/>
        <v>125</v>
      </c>
      <c r="W281" s="14">
        <f t="shared" si="31"/>
        <v>0</v>
      </c>
      <c r="X281" s="14">
        <f t="shared" si="27"/>
        <v>0</v>
      </c>
      <c r="Y281" s="14">
        <f t="shared" si="28"/>
        <v>0</v>
      </c>
      <c r="Z281" s="16">
        <f t="shared" si="29"/>
        <v>6</v>
      </c>
      <c r="AA281" s="14">
        <f t="shared" si="30"/>
        <v>0</v>
      </c>
      <c r="AB281" s="17"/>
      <c r="AC281" s="17" t="s">
        <v>48</v>
      </c>
    </row>
    <row r="282" spans="1:29" s="21" customFormat="1" ht="13.5" customHeight="1" x14ac:dyDescent="0.2">
      <c r="A282" s="9">
        <v>10</v>
      </c>
      <c r="B282" s="9">
        <v>42</v>
      </c>
      <c r="C282" s="10">
        <v>10056</v>
      </c>
      <c r="D282" s="9">
        <v>33191786</v>
      </c>
      <c r="E282" s="34" t="s">
        <v>629</v>
      </c>
      <c r="F282" s="10" t="s">
        <v>922</v>
      </c>
      <c r="G282" s="11" t="s">
        <v>406</v>
      </c>
      <c r="H282" s="12" t="s">
        <v>1205</v>
      </c>
      <c r="I282" s="12" t="s">
        <v>1343</v>
      </c>
      <c r="J282" s="12" t="s">
        <v>1630</v>
      </c>
      <c r="K282" s="37" t="s">
        <v>1753</v>
      </c>
      <c r="L282" s="13">
        <v>100</v>
      </c>
      <c r="M282" s="13" t="s">
        <v>1764</v>
      </c>
      <c r="N282" s="14">
        <v>0</v>
      </c>
      <c r="O282" s="14">
        <v>0</v>
      </c>
      <c r="P282" s="14">
        <v>24</v>
      </c>
      <c r="Q282" s="14">
        <v>0</v>
      </c>
      <c r="R282" s="14">
        <v>42</v>
      </c>
      <c r="S282" s="14">
        <v>0</v>
      </c>
      <c r="T282" s="14">
        <v>34</v>
      </c>
      <c r="U282" s="14">
        <v>1</v>
      </c>
      <c r="V282" s="15">
        <f t="shared" si="31"/>
        <v>100</v>
      </c>
      <c r="W282" s="14">
        <f t="shared" si="31"/>
        <v>1</v>
      </c>
      <c r="X282" s="14">
        <f t="shared" si="27"/>
        <v>0</v>
      </c>
      <c r="Y282" s="14">
        <f t="shared" si="28"/>
        <v>2</v>
      </c>
      <c r="Z282" s="16">
        <f t="shared" si="29"/>
        <v>0</v>
      </c>
      <c r="AA282" s="14">
        <f t="shared" si="30"/>
        <v>-2</v>
      </c>
      <c r="AB282" s="17"/>
      <c r="AC282" s="17" t="s">
        <v>48</v>
      </c>
    </row>
    <row r="283" spans="1:29" s="21" customFormat="1" ht="13.5" customHeight="1" x14ac:dyDescent="0.2">
      <c r="A283" s="9">
        <v>10</v>
      </c>
      <c r="B283" s="9">
        <v>43</v>
      </c>
      <c r="C283" s="10">
        <v>10013</v>
      </c>
      <c r="D283" s="9">
        <v>33096562</v>
      </c>
      <c r="E283" s="34" t="s">
        <v>630</v>
      </c>
      <c r="F283" s="10" t="s">
        <v>923</v>
      </c>
      <c r="G283" s="11" t="s">
        <v>407</v>
      </c>
      <c r="H283" s="12" t="s">
        <v>1206</v>
      </c>
      <c r="I283" s="12" t="s">
        <v>1206</v>
      </c>
      <c r="J283" s="12" t="s">
        <v>1631</v>
      </c>
      <c r="K283" s="37" t="s">
        <v>1753</v>
      </c>
      <c r="L283" s="13">
        <v>90</v>
      </c>
      <c r="M283" s="13" t="s">
        <v>1764</v>
      </c>
      <c r="N283" s="14">
        <v>0</v>
      </c>
      <c r="O283" s="14">
        <v>0</v>
      </c>
      <c r="P283" s="14">
        <v>23</v>
      </c>
      <c r="Q283" s="14">
        <v>2</v>
      </c>
      <c r="R283" s="14">
        <v>27</v>
      </c>
      <c r="S283" s="14">
        <v>0</v>
      </c>
      <c r="T283" s="14">
        <v>22</v>
      </c>
      <c r="U283" s="14">
        <v>0</v>
      </c>
      <c r="V283" s="15">
        <f t="shared" si="31"/>
        <v>72</v>
      </c>
      <c r="W283" s="14">
        <f t="shared" si="31"/>
        <v>2</v>
      </c>
      <c r="X283" s="14">
        <f t="shared" si="27"/>
        <v>2</v>
      </c>
      <c r="Y283" s="14">
        <f t="shared" si="28"/>
        <v>0</v>
      </c>
      <c r="Z283" s="16">
        <f t="shared" si="29"/>
        <v>16</v>
      </c>
      <c r="AA283" s="14">
        <f t="shared" si="30"/>
        <v>0</v>
      </c>
      <c r="AB283" s="17"/>
      <c r="AC283" s="17"/>
    </row>
    <row r="284" spans="1:29" s="21" customFormat="1" ht="13.5" customHeight="1" x14ac:dyDescent="0.2">
      <c r="A284" s="9">
        <v>10</v>
      </c>
      <c r="B284" s="9">
        <v>44</v>
      </c>
      <c r="C284" s="10">
        <v>10019</v>
      </c>
      <c r="D284" s="9">
        <v>33114900</v>
      </c>
      <c r="E284" s="34" t="s">
        <v>631</v>
      </c>
      <c r="F284" s="10" t="s">
        <v>924</v>
      </c>
      <c r="G284" s="11" t="s">
        <v>408</v>
      </c>
      <c r="H284" s="12" t="s">
        <v>1207</v>
      </c>
      <c r="I284" s="12" t="s">
        <v>1207</v>
      </c>
      <c r="J284" s="12" t="s">
        <v>1632</v>
      </c>
      <c r="K284" s="37" t="s">
        <v>1753</v>
      </c>
      <c r="L284" s="13">
        <v>175</v>
      </c>
      <c r="M284" s="13" t="s">
        <v>1765</v>
      </c>
      <c r="N284" s="14">
        <v>0</v>
      </c>
      <c r="O284" s="14">
        <v>0</v>
      </c>
      <c r="P284" s="14">
        <v>50</v>
      </c>
      <c r="Q284" s="14">
        <v>0</v>
      </c>
      <c r="R284" s="14">
        <v>52</v>
      </c>
      <c r="S284" s="14">
        <v>1</v>
      </c>
      <c r="T284" s="14">
        <v>71</v>
      </c>
      <c r="U284" s="14">
        <v>3</v>
      </c>
      <c r="V284" s="15">
        <f t="shared" si="31"/>
        <v>173</v>
      </c>
      <c r="W284" s="14">
        <f t="shared" si="31"/>
        <v>4</v>
      </c>
      <c r="X284" s="14">
        <f t="shared" si="27"/>
        <v>0</v>
      </c>
      <c r="Y284" s="14">
        <f t="shared" si="28"/>
        <v>2</v>
      </c>
      <c r="Z284" s="16">
        <f t="shared" si="29"/>
        <v>0</v>
      </c>
      <c r="AA284" s="14">
        <f t="shared" si="30"/>
        <v>0</v>
      </c>
      <c r="AB284" s="17"/>
      <c r="AC284" s="17"/>
    </row>
    <row r="285" spans="1:29" s="21" customFormat="1" ht="13.5" customHeight="1" x14ac:dyDescent="0.2">
      <c r="A285" s="9">
        <v>10</v>
      </c>
      <c r="B285" s="9">
        <v>45</v>
      </c>
      <c r="C285" s="10">
        <v>10010</v>
      </c>
      <c r="D285" s="9">
        <v>33095680</v>
      </c>
      <c r="E285" s="34" t="s">
        <v>499</v>
      </c>
      <c r="F285" s="10" t="s">
        <v>925</v>
      </c>
      <c r="G285" s="11" t="s">
        <v>409</v>
      </c>
      <c r="H285" s="12" t="s">
        <v>1208</v>
      </c>
      <c r="I285" s="12" t="s">
        <v>1208</v>
      </c>
      <c r="J285" s="12" t="s">
        <v>1633</v>
      </c>
      <c r="K285" s="37" t="s">
        <v>1753</v>
      </c>
      <c r="L285" s="13">
        <v>118</v>
      </c>
      <c r="M285" s="13" t="s">
        <v>1763</v>
      </c>
      <c r="N285" s="14">
        <v>0</v>
      </c>
      <c r="O285" s="14">
        <v>0</v>
      </c>
      <c r="P285" s="14">
        <v>0</v>
      </c>
      <c r="Q285" s="14">
        <v>0</v>
      </c>
      <c r="R285" s="14">
        <v>43</v>
      </c>
      <c r="S285" s="14">
        <v>0</v>
      </c>
      <c r="T285" s="14">
        <v>68</v>
      </c>
      <c r="U285" s="14">
        <v>1</v>
      </c>
      <c r="V285" s="15">
        <f t="shared" si="31"/>
        <v>111</v>
      </c>
      <c r="W285" s="14">
        <f t="shared" si="31"/>
        <v>1</v>
      </c>
      <c r="X285" s="14">
        <f t="shared" si="27"/>
        <v>0</v>
      </c>
      <c r="Y285" s="14">
        <f t="shared" si="28"/>
        <v>2</v>
      </c>
      <c r="Z285" s="16">
        <f t="shared" si="29"/>
        <v>5</v>
      </c>
      <c r="AA285" s="14">
        <f t="shared" si="30"/>
        <v>0</v>
      </c>
      <c r="AB285" s="17"/>
      <c r="AC285" s="17"/>
    </row>
    <row r="286" spans="1:29" s="21" customFormat="1" ht="13.5" customHeight="1" x14ac:dyDescent="0.2">
      <c r="A286" s="9">
        <v>10</v>
      </c>
      <c r="B286" s="9">
        <v>46</v>
      </c>
      <c r="C286" s="10">
        <v>10004</v>
      </c>
      <c r="D286" s="9">
        <v>33084556</v>
      </c>
      <c r="E286" s="34" t="s">
        <v>632</v>
      </c>
      <c r="F286" s="10" t="s">
        <v>926</v>
      </c>
      <c r="G286" s="11" t="s">
        <v>410</v>
      </c>
      <c r="H286" s="12" t="s">
        <v>1209</v>
      </c>
      <c r="I286" s="12" t="s">
        <v>1209</v>
      </c>
      <c r="J286" s="12" t="s">
        <v>1634</v>
      </c>
      <c r="K286" s="37" t="s">
        <v>1753</v>
      </c>
      <c r="L286" s="13">
        <v>90</v>
      </c>
      <c r="M286" s="13" t="s">
        <v>1764</v>
      </c>
      <c r="N286" s="14">
        <v>0</v>
      </c>
      <c r="O286" s="14">
        <v>0</v>
      </c>
      <c r="P286" s="14">
        <v>37</v>
      </c>
      <c r="Q286" s="14">
        <v>0</v>
      </c>
      <c r="R286" s="14">
        <v>30</v>
      </c>
      <c r="S286" s="14">
        <v>0</v>
      </c>
      <c r="T286" s="14">
        <v>23</v>
      </c>
      <c r="U286" s="14">
        <v>0</v>
      </c>
      <c r="V286" s="15">
        <f t="shared" si="31"/>
        <v>90</v>
      </c>
      <c r="W286" s="14">
        <f t="shared" si="31"/>
        <v>0</v>
      </c>
      <c r="X286" s="14">
        <f t="shared" si="27"/>
        <v>0</v>
      </c>
      <c r="Y286" s="14">
        <f t="shared" si="28"/>
        <v>0</v>
      </c>
      <c r="Z286" s="16">
        <f t="shared" si="29"/>
        <v>0</v>
      </c>
      <c r="AA286" s="14">
        <f t="shared" si="30"/>
        <v>0</v>
      </c>
      <c r="AB286" s="17"/>
      <c r="AC286" s="17"/>
    </row>
    <row r="287" spans="1:29" s="21" customFormat="1" ht="13.5" customHeight="1" x14ac:dyDescent="0.2">
      <c r="A287" s="9">
        <v>10</v>
      </c>
      <c r="B287" s="9">
        <v>47</v>
      </c>
      <c r="C287" s="10">
        <v>10035</v>
      </c>
      <c r="D287" s="9">
        <v>33114935</v>
      </c>
      <c r="E287" s="34" t="s">
        <v>633</v>
      </c>
      <c r="F287" s="10" t="s">
        <v>927</v>
      </c>
      <c r="G287" s="11" t="s">
        <v>411</v>
      </c>
      <c r="H287" s="12" t="s">
        <v>1210</v>
      </c>
      <c r="I287" s="12" t="s">
        <v>1210</v>
      </c>
      <c r="J287" s="12" t="s">
        <v>1635</v>
      </c>
      <c r="K287" s="37" t="s">
        <v>1756</v>
      </c>
      <c r="L287" s="13">
        <v>160</v>
      </c>
      <c r="M287" s="13" t="s">
        <v>1765</v>
      </c>
      <c r="N287" s="14">
        <v>15</v>
      </c>
      <c r="O287" s="14">
        <v>0</v>
      </c>
      <c r="P287" s="14">
        <v>20</v>
      </c>
      <c r="Q287" s="14">
        <v>0</v>
      </c>
      <c r="R287" s="14">
        <v>37</v>
      </c>
      <c r="S287" s="14">
        <v>0</v>
      </c>
      <c r="T287" s="14">
        <v>56</v>
      </c>
      <c r="U287" s="14">
        <v>0</v>
      </c>
      <c r="V287" s="15">
        <f t="shared" si="31"/>
        <v>128</v>
      </c>
      <c r="W287" s="14">
        <f t="shared" si="31"/>
        <v>0</v>
      </c>
      <c r="X287" s="14">
        <f t="shared" si="27"/>
        <v>0</v>
      </c>
      <c r="Y287" s="14">
        <f t="shared" si="28"/>
        <v>0</v>
      </c>
      <c r="Z287" s="16">
        <f t="shared" si="29"/>
        <v>32</v>
      </c>
      <c r="AA287" s="14">
        <f t="shared" si="30"/>
        <v>0</v>
      </c>
      <c r="AB287" s="17"/>
      <c r="AC287" s="17"/>
    </row>
    <row r="288" spans="1:29" s="21" customFormat="1" ht="13.5" customHeight="1" x14ac:dyDescent="0.2">
      <c r="A288" s="9">
        <v>10</v>
      </c>
      <c r="B288" s="9">
        <v>48</v>
      </c>
      <c r="C288" s="10">
        <v>10001</v>
      </c>
      <c r="D288" s="9">
        <v>33084513</v>
      </c>
      <c r="E288" s="34" t="s">
        <v>634</v>
      </c>
      <c r="F288" s="10" t="s">
        <v>928</v>
      </c>
      <c r="G288" s="11" t="s">
        <v>412</v>
      </c>
      <c r="H288" s="12" t="s">
        <v>1211</v>
      </c>
      <c r="I288" s="12" t="s">
        <v>1211</v>
      </c>
      <c r="J288" s="12" t="s">
        <v>1636</v>
      </c>
      <c r="K288" s="37" t="s">
        <v>1753</v>
      </c>
      <c r="L288" s="13">
        <v>137</v>
      </c>
      <c r="M288" s="13" t="s">
        <v>1764</v>
      </c>
      <c r="N288" s="14">
        <v>0</v>
      </c>
      <c r="O288" s="14">
        <v>0</v>
      </c>
      <c r="P288" s="14">
        <v>33</v>
      </c>
      <c r="Q288" s="14">
        <v>0</v>
      </c>
      <c r="R288" s="14">
        <v>52</v>
      </c>
      <c r="S288" s="14">
        <v>1</v>
      </c>
      <c r="T288" s="14">
        <v>51</v>
      </c>
      <c r="U288" s="14">
        <v>1</v>
      </c>
      <c r="V288" s="15">
        <f t="shared" si="31"/>
        <v>136</v>
      </c>
      <c r="W288" s="14">
        <f t="shared" si="31"/>
        <v>2</v>
      </c>
      <c r="X288" s="14">
        <f t="shared" si="27"/>
        <v>0</v>
      </c>
      <c r="Y288" s="14">
        <f t="shared" si="28"/>
        <v>2</v>
      </c>
      <c r="Z288" s="16">
        <f t="shared" si="29"/>
        <v>0</v>
      </c>
      <c r="AA288" s="14">
        <f t="shared" si="30"/>
        <v>-1</v>
      </c>
      <c r="AB288" s="17"/>
      <c r="AC288" s="17"/>
    </row>
    <row r="289" spans="1:29" s="21" customFormat="1" ht="13.5" customHeight="1" x14ac:dyDescent="0.2">
      <c r="A289" s="9">
        <v>10</v>
      </c>
      <c r="B289" s="9">
        <v>49</v>
      </c>
      <c r="C289" s="10">
        <v>10045</v>
      </c>
      <c r="D289" s="9">
        <v>33187720</v>
      </c>
      <c r="E289" s="34" t="s">
        <v>635</v>
      </c>
      <c r="F289" s="10" t="s">
        <v>929</v>
      </c>
      <c r="G289" s="11" t="s">
        <v>413</v>
      </c>
      <c r="H289" s="12" t="s">
        <v>1212</v>
      </c>
      <c r="I289" s="12" t="s">
        <v>1212</v>
      </c>
      <c r="J289" s="12" t="s">
        <v>1637</v>
      </c>
      <c r="K289" s="37" t="s">
        <v>1753</v>
      </c>
      <c r="L289" s="13">
        <v>135</v>
      </c>
      <c r="M289" s="13" t="s">
        <v>1764</v>
      </c>
      <c r="N289" s="14">
        <v>0</v>
      </c>
      <c r="O289" s="14">
        <v>0</v>
      </c>
      <c r="P289" s="14">
        <v>19</v>
      </c>
      <c r="Q289" s="14">
        <v>0</v>
      </c>
      <c r="R289" s="14">
        <v>42</v>
      </c>
      <c r="S289" s="14">
        <v>1</v>
      </c>
      <c r="T289" s="14">
        <v>71</v>
      </c>
      <c r="U289" s="14">
        <v>2</v>
      </c>
      <c r="V289" s="15">
        <f t="shared" si="31"/>
        <v>132</v>
      </c>
      <c r="W289" s="14">
        <f t="shared" si="31"/>
        <v>3</v>
      </c>
      <c r="X289" s="14">
        <f t="shared" si="27"/>
        <v>0</v>
      </c>
      <c r="Y289" s="14">
        <f t="shared" si="28"/>
        <v>2</v>
      </c>
      <c r="Z289" s="16">
        <f t="shared" si="29"/>
        <v>1</v>
      </c>
      <c r="AA289" s="14">
        <f t="shared" si="30"/>
        <v>0</v>
      </c>
      <c r="AB289" s="17"/>
      <c r="AC289" s="17"/>
    </row>
    <row r="290" spans="1:29" s="21" customFormat="1" ht="13.5" customHeight="1" x14ac:dyDescent="0.2">
      <c r="A290" s="9">
        <v>10</v>
      </c>
      <c r="B290" s="9">
        <v>50</v>
      </c>
      <c r="C290" s="10">
        <v>10055</v>
      </c>
      <c r="D290" s="9">
        <v>33192758</v>
      </c>
      <c r="E290" s="34" t="s">
        <v>636</v>
      </c>
      <c r="F290" s="10" t="s">
        <v>930</v>
      </c>
      <c r="G290" s="11" t="s">
        <v>414</v>
      </c>
      <c r="H290" s="12" t="s">
        <v>1213</v>
      </c>
      <c r="I290" s="12" t="s">
        <v>1213</v>
      </c>
      <c r="J290" s="12" t="s">
        <v>1638</v>
      </c>
      <c r="K290" s="37" t="s">
        <v>1756</v>
      </c>
      <c r="L290" s="13">
        <v>150</v>
      </c>
      <c r="M290" s="13" t="s">
        <v>1764</v>
      </c>
      <c r="N290" s="14">
        <v>0</v>
      </c>
      <c r="O290" s="14">
        <v>0</v>
      </c>
      <c r="P290" s="14">
        <v>28</v>
      </c>
      <c r="Q290" s="14">
        <v>0</v>
      </c>
      <c r="R290" s="14">
        <v>74</v>
      </c>
      <c r="S290" s="14">
        <v>1</v>
      </c>
      <c r="T290" s="14">
        <v>43</v>
      </c>
      <c r="U290" s="14">
        <v>1</v>
      </c>
      <c r="V290" s="15">
        <f t="shared" si="31"/>
        <v>145</v>
      </c>
      <c r="W290" s="14">
        <f t="shared" si="31"/>
        <v>2</v>
      </c>
      <c r="X290" s="14">
        <f t="shared" si="27"/>
        <v>0</v>
      </c>
      <c r="Y290" s="14">
        <f t="shared" si="28"/>
        <v>2</v>
      </c>
      <c r="Z290" s="16">
        <f t="shared" si="29"/>
        <v>3</v>
      </c>
      <c r="AA290" s="14">
        <f t="shared" si="30"/>
        <v>0</v>
      </c>
      <c r="AB290" s="17"/>
      <c r="AC290" s="17" t="s">
        <v>48</v>
      </c>
    </row>
    <row r="291" spans="1:29" s="21" customFormat="1" ht="13.5" customHeight="1" x14ac:dyDescent="0.2">
      <c r="A291" s="9">
        <v>10</v>
      </c>
      <c r="B291" s="9">
        <v>51</v>
      </c>
      <c r="C291" s="10">
        <v>10039</v>
      </c>
      <c r="D291" s="9">
        <v>33121850</v>
      </c>
      <c r="E291" s="34" t="s">
        <v>637</v>
      </c>
      <c r="F291" s="10" t="s">
        <v>931</v>
      </c>
      <c r="G291" s="11" t="s">
        <v>415</v>
      </c>
      <c r="H291" s="12" t="s">
        <v>1214</v>
      </c>
      <c r="I291" s="12" t="s">
        <v>1344</v>
      </c>
      <c r="J291" s="12" t="s">
        <v>1639</v>
      </c>
      <c r="K291" s="37" t="s">
        <v>1753</v>
      </c>
      <c r="L291" s="13">
        <v>350</v>
      </c>
      <c r="M291" s="13" t="s">
        <v>1764</v>
      </c>
      <c r="N291" s="14">
        <v>0</v>
      </c>
      <c r="O291" s="14">
        <v>0</v>
      </c>
      <c r="P291" s="14">
        <v>70</v>
      </c>
      <c r="Q291" s="14">
        <v>0</v>
      </c>
      <c r="R291" s="14">
        <v>132</v>
      </c>
      <c r="S291" s="14">
        <v>0</v>
      </c>
      <c r="T291" s="14">
        <v>148</v>
      </c>
      <c r="U291" s="14">
        <v>0</v>
      </c>
      <c r="V291" s="15">
        <f t="shared" si="31"/>
        <v>350</v>
      </c>
      <c r="W291" s="14">
        <f t="shared" si="31"/>
        <v>0</v>
      </c>
      <c r="X291" s="14">
        <f t="shared" si="27"/>
        <v>0</v>
      </c>
      <c r="Y291" s="14">
        <f t="shared" si="28"/>
        <v>0</v>
      </c>
      <c r="Z291" s="16">
        <f t="shared" si="29"/>
        <v>0</v>
      </c>
      <c r="AA291" s="14">
        <f t="shared" si="30"/>
        <v>0</v>
      </c>
      <c r="AB291" s="17"/>
      <c r="AC291" s="17"/>
    </row>
    <row r="292" spans="1:29" s="21" customFormat="1" ht="13.5" customHeight="1" x14ac:dyDescent="0.2">
      <c r="A292" s="9">
        <v>10</v>
      </c>
      <c r="B292" s="9">
        <v>52</v>
      </c>
      <c r="C292" s="10">
        <v>10030</v>
      </c>
      <c r="D292" s="9">
        <v>33198209</v>
      </c>
      <c r="E292" s="34" t="s">
        <v>596</v>
      </c>
      <c r="F292" s="10" t="s">
        <v>932</v>
      </c>
      <c r="G292" s="11" t="s">
        <v>416</v>
      </c>
      <c r="H292" s="12" t="s">
        <v>1215</v>
      </c>
      <c r="I292" s="12" t="s">
        <v>1333</v>
      </c>
      <c r="J292" s="12" t="s">
        <v>1640</v>
      </c>
      <c r="K292" s="37" t="s">
        <v>1757</v>
      </c>
      <c r="L292" s="13">
        <v>142</v>
      </c>
      <c r="M292" s="13" t="s">
        <v>1764</v>
      </c>
      <c r="N292" s="14">
        <v>0</v>
      </c>
      <c r="O292" s="14">
        <v>0</v>
      </c>
      <c r="P292" s="14">
        <v>38</v>
      </c>
      <c r="Q292" s="14">
        <v>0</v>
      </c>
      <c r="R292" s="14">
        <v>40</v>
      </c>
      <c r="S292" s="14">
        <v>0</v>
      </c>
      <c r="T292" s="14">
        <v>65</v>
      </c>
      <c r="U292" s="14">
        <v>0</v>
      </c>
      <c r="V292" s="15">
        <f t="shared" si="31"/>
        <v>143</v>
      </c>
      <c r="W292" s="14">
        <f t="shared" si="31"/>
        <v>0</v>
      </c>
      <c r="X292" s="14">
        <f t="shared" si="27"/>
        <v>0</v>
      </c>
      <c r="Y292" s="14">
        <f t="shared" si="28"/>
        <v>0</v>
      </c>
      <c r="Z292" s="16">
        <f t="shared" si="29"/>
        <v>0</v>
      </c>
      <c r="AA292" s="14">
        <f t="shared" si="30"/>
        <v>-1</v>
      </c>
      <c r="AB292" s="17"/>
      <c r="AC292" s="17"/>
    </row>
    <row r="293" spans="1:29" s="21" customFormat="1" ht="13.5" customHeight="1" x14ac:dyDescent="0.2">
      <c r="A293" s="9">
        <v>10</v>
      </c>
      <c r="B293" s="9">
        <v>53</v>
      </c>
      <c r="C293" s="10">
        <v>10009</v>
      </c>
      <c r="D293" s="9">
        <v>33095248</v>
      </c>
      <c r="E293" s="34" t="s">
        <v>638</v>
      </c>
      <c r="F293" s="10" t="s">
        <v>933</v>
      </c>
      <c r="G293" s="11" t="s">
        <v>417</v>
      </c>
      <c r="H293" s="12" t="s">
        <v>1216</v>
      </c>
      <c r="I293" s="12" t="s">
        <v>1216</v>
      </c>
      <c r="J293" s="12" t="s">
        <v>1641</v>
      </c>
      <c r="K293" s="37" t="s">
        <v>1756</v>
      </c>
      <c r="L293" s="13">
        <v>70</v>
      </c>
      <c r="M293" s="13" t="s">
        <v>1764</v>
      </c>
      <c r="N293" s="14">
        <v>0</v>
      </c>
      <c r="O293" s="14">
        <v>0</v>
      </c>
      <c r="P293" s="14">
        <v>21</v>
      </c>
      <c r="Q293" s="14">
        <v>1</v>
      </c>
      <c r="R293" s="14">
        <v>18</v>
      </c>
      <c r="S293" s="14">
        <v>1</v>
      </c>
      <c r="T293" s="14">
        <v>30</v>
      </c>
      <c r="U293" s="14">
        <v>0</v>
      </c>
      <c r="V293" s="15">
        <f t="shared" si="31"/>
        <v>69</v>
      </c>
      <c r="W293" s="14">
        <f t="shared" si="31"/>
        <v>2</v>
      </c>
      <c r="X293" s="14">
        <f t="shared" si="27"/>
        <v>2</v>
      </c>
      <c r="Y293" s="14">
        <f t="shared" si="28"/>
        <v>2</v>
      </c>
      <c r="Z293" s="16">
        <f t="shared" si="29"/>
        <v>0</v>
      </c>
      <c r="AA293" s="14">
        <f t="shared" si="30"/>
        <v>-3</v>
      </c>
      <c r="AB293" s="17"/>
      <c r="AC293" s="17"/>
    </row>
    <row r="294" spans="1:29" s="21" customFormat="1" ht="13.5" customHeight="1" x14ac:dyDescent="0.2">
      <c r="A294" s="9">
        <v>10</v>
      </c>
      <c r="B294" s="9">
        <v>54</v>
      </c>
      <c r="C294" s="10">
        <v>10034</v>
      </c>
      <c r="D294" s="9">
        <v>33096260</v>
      </c>
      <c r="E294" s="34" t="s">
        <v>639</v>
      </c>
      <c r="F294" s="10" t="s">
        <v>934</v>
      </c>
      <c r="G294" s="11" t="s">
        <v>418</v>
      </c>
      <c r="H294" s="12" t="s">
        <v>1217</v>
      </c>
      <c r="I294" s="12" t="s">
        <v>1345</v>
      </c>
      <c r="J294" s="12" t="s">
        <v>1642</v>
      </c>
      <c r="K294" s="37" t="s">
        <v>1753</v>
      </c>
      <c r="L294" s="13">
        <v>135</v>
      </c>
      <c r="M294" s="13" t="s">
        <v>1764</v>
      </c>
      <c r="N294" s="14">
        <v>0</v>
      </c>
      <c r="O294" s="14">
        <v>0</v>
      </c>
      <c r="P294" s="14">
        <v>22</v>
      </c>
      <c r="Q294" s="14">
        <v>0</v>
      </c>
      <c r="R294" s="14">
        <v>45</v>
      </c>
      <c r="S294" s="14">
        <v>1</v>
      </c>
      <c r="T294" s="14">
        <v>71</v>
      </c>
      <c r="U294" s="14">
        <v>0</v>
      </c>
      <c r="V294" s="15">
        <f t="shared" si="31"/>
        <v>138</v>
      </c>
      <c r="W294" s="14">
        <f t="shared" si="31"/>
        <v>1</v>
      </c>
      <c r="X294" s="14">
        <f t="shared" si="27"/>
        <v>0</v>
      </c>
      <c r="Y294" s="14">
        <f t="shared" si="28"/>
        <v>2</v>
      </c>
      <c r="Z294" s="16">
        <f t="shared" si="29"/>
        <v>0</v>
      </c>
      <c r="AA294" s="14">
        <f t="shared" si="30"/>
        <v>-5</v>
      </c>
      <c r="AB294" s="17"/>
      <c r="AC294" s="17"/>
    </row>
    <row r="295" spans="1:29" s="21" customFormat="1" ht="13.5" customHeight="1" x14ac:dyDescent="0.2">
      <c r="A295" s="9">
        <v>10</v>
      </c>
      <c r="B295" s="9">
        <v>55</v>
      </c>
      <c r="C295" s="10">
        <v>10070</v>
      </c>
      <c r="D295" s="9">
        <v>33192960</v>
      </c>
      <c r="E295" s="34" t="s">
        <v>640</v>
      </c>
      <c r="F295" s="10" t="s">
        <v>935</v>
      </c>
      <c r="G295" s="11" t="s">
        <v>419</v>
      </c>
      <c r="H295" s="12" t="s">
        <v>1218</v>
      </c>
      <c r="I295" s="12" t="s">
        <v>1346</v>
      </c>
      <c r="J295" s="12" t="s">
        <v>1643</v>
      </c>
      <c r="K295" s="37" t="s">
        <v>1753</v>
      </c>
      <c r="L295" s="13">
        <v>37</v>
      </c>
      <c r="M295" s="13" t="s">
        <v>1764</v>
      </c>
      <c r="N295" s="14">
        <v>0</v>
      </c>
      <c r="O295" s="14">
        <v>0</v>
      </c>
      <c r="P295" s="14">
        <v>10</v>
      </c>
      <c r="Q295" s="14">
        <v>0</v>
      </c>
      <c r="R295" s="14">
        <v>7</v>
      </c>
      <c r="S295" s="14">
        <v>0</v>
      </c>
      <c r="T295" s="14">
        <v>20</v>
      </c>
      <c r="U295" s="14">
        <v>0</v>
      </c>
      <c r="V295" s="15">
        <f t="shared" si="31"/>
        <v>37</v>
      </c>
      <c r="W295" s="14">
        <f t="shared" si="31"/>
        <v>0</v>
      </c>
      <c r="X295" s="14">
        <f t="shared" si="27"/>
        <v>0</v>
      </c>
      <c r="Y295" s="14">
        <f t="shared" si="28"/>
        <v>0</v>
      </c>
      <c r="Z295" s="16">
        <f t="shared" si="29"/>
        <v>0</v>
      </c>
      <c r="AA295" s="14">
        <f t="shared" si="30"/>
        <v>0</v>
      </c>
      <c r="AB295" s="17"/>
      <c r="AC295" s="17" t="s">
        <v>55</v>
      </c>
    </row>
    <row r="296" spans="1:29" s="21" customFormat="1" ht="13.5" customHeight="1" x14ac:dyDescent="0.2">
      <c r="A296" s="9">
        <v>10</v>
      </c>
      <c r="B296" s="9">
        <v>56</v>
      </c>
      <c r="C296" s="10">
        <v>10033</v>
      </c>
      <c r="D296" s="9">
        <v>33143412</v>
      </c>
      <c r="E296" s="34" t="s">
        <v>641</v>
      </c>
      <c r="F296" s="10" t="s">
        <v>936</v>
      </c>
      <c r="G296" s="11" t="s">
        <v>420</v>
      </c>
      <c r="H296" s="12" t="s">
        <v>1219</v>
      </c>
      <c r="I296" s="12" t="s">
        <v>1347</v>
      </c>
      <c r="J296" s="12" t="s">
        <v>1644</v>
      </c>
      <c r="K296" s="37" t="s">
        <v>1756</v>
      </c>
      <c r="L296" s="13">
        <v>117</v>
      </c>
      <c r="M296" s="13" t="s">
        <v>1764</v>
      </c>
      <c r="N296" s="14">
        <v>0</v>
      </c>
      <c r="O296" s="14">
        <v>0</v>
      </c>
      <c r="P296" s="14">
        <v>29</v>
      </c>
      <c r="Q296" s="14">
        <v>0</v>
      </c>
      <c r="R296" s="14">
        <v>39</v>
      </c>
      <c r="S296" s="14">
        <v>0</v>
      </c>
      <c r="T296" s="14">
        <v>32</v>
      </c>
      <c r="U296" s="14">
        <v>0</v>
      </c>
      <c r="V296" s="15">
        <f t="shared" si="31"/>
        <v>100</v>
      </c>
      <c r="W296" s="14">
        <f t="shared" si="31"/>
        <v>0</v>
      </c>
      <c r="X296" s="14">
        <f t="shared" si="27"/>
        <v>0</v>
      </c>
      <c r="Y296" s="14">
        <f t="shared" si="28"/>
        <v>0</v>
      </c>
      <c r="Z296" s="16">
        <f t="shared" si="29"/>
        <v>17</v>
      </c>
      <c r="AA296" s="14">
        <f t="shared" si="30"/>
        <v>0</v>
      </c>
      <c r="AB296" s="17"/>
      <c r="AC296" s="17"/>
    </row>
    <row r="297" spans="1:29" s="21" customFormat="1" ht="13.5" customHeight="1" x14ac:dyDescent="0.2">
      <c r="A297" s="9">
        <v>10</v>
      </c>
      <c r="B297" s="9">
        <v>57</v>
      </c>
      <c r="C297" s="10">
        <v>10011</v>
      </c>
      <c r="D297" s="9">
        <v>33095779</v>
      </c>
      <c r="E297" s="34" t="s">
        <v>642</v>
      </c>
      <c r="F297" s="10" t="s">
        <v>937</v>
      </c>
      <c r="G297" s="11" t="s">
        <v>421</v>
      </c>
      <c r="H297" s="12" t="s">
        <v>1220</v>
      </c>
      <c r="I297" s="12" t="s">
        <v>1348</v>
      </c>
      <c r="J297" s="12" t="s">
        <v>1645</v>
      </c>
      <c r="K297" s="37" t="s">
        <v>1753</v>
      </c>
      <c r="L297" s="13">
        <v>118</v>
      </c>
      <c r="M297" s="13" t="s">
        <v>1764</v>
      </c>
      <c r="N297" s="14">
        <v>0</v>
      </c>
      <c r="O297" s="14">
        <v>0</v>
      </c>
      <c r="P297" s="14">
        <v>43</v>
      </c>
      <c r="Q297" s="14">
        <v>0</v>
      </c>
      <c r="R297" s="14">
        <v>50</v>
      </c>
      <c r="S297" s="14">
        <v>0</v>
      </c>
      <c r="T297" s="14">
        <v>25</v>
      </c>
      <c r="U297" s="14">
        <v>0</v>
      </c>
      <c r="V297" s="15">
        <f t="shared" si="31"/>
        <v>118</v>
      </c>
      <c r="W297" s="14">
        <f t="shared" si="31"/>
        <v>0</v>
      </c>
      <c r="X297" s="14">
        <f t="shared" si="27"/>
        <v>0</v>
      </c>
      <c r="Y297" s="14">
        <f t="shared" si="28"/>
        <v>0</v>
      </c>
      <c r="Z297" s="16">
        <f t="shared" si="29"/>
        <v>0</v>
      </c>
      <c r="AA297" s="14">
        <f t="shared" si="30"/>
        <v>0</v>
      </c>
      <c r="AB297" s="17"/>
      <c r="AC297" s="17"/>
    </row>
    <row r="298" spans="1:29" s="21" customFormat="1" ht="13.5" customHeight="1" x14ac:dyDescent="0.2">
      <c r="A298" s="9">
        <v>10</v>
      </c>
      <c r="B298" s="9">
        <v>58</v>
      </c>
      <c r="C298" s="10">
        <v>10071</v>
      </c>
      <c r="D298" s="9" t="s">
        <v>134</v>
      </c>
      <c r="E298" s="34" t="s">
        <v>614</v>
      </c>
      <c r="F298" s="10" t="s">
        <v>938</v>
      </c>
      <c r="G298" s="11" t="s">
        <v>422</v>
      </c>
      <c r="H298" s="12" t="s">
        <v>1221</v>
      </c>
      <c r="I298" s="12" t="s">
        <v>1349</v>
      </c>
      <c r="J298" s="12" t="s">
        <v>1646</v>
      </c>
      <c r="K298" s="37" t="s">
        <v>1757</v>
      </c>
      <c r="L298" s="13">
        <v>250</v>
      </c>
      <c r="M298" s="13" t="s">
        <v>1764</v>
      </c>
      <c r="N298" s="14">
        <v>0</v>
      </c>
      <c r="O298" s="14">
        <v>0</v>
      </c>
      <c r="P298" s="14">
        <v>73</v>
      </c>
      <c r="Q298" s="14">
        <v>0</v>
      </c>
      <c r="R298" s="14">
        <v>125</v>
      </c>
      <c r="S298" s="14">
        <v>0</v>
      </c>
      <c r="T298" s="14">
        <v>50</v>
      </c>
      <c r="U298" s="14">
        <v>0</v>
      </c>
      <c r="V298" s="15">
        <f t="shared" si="31"/>
        <v>248</v>
      </c>
      <c r="W298" s="14">
        <f t="shared" si="31"/>
        <v>0</v>
      </c>
      <c r="X298" s="14">
        <f t="shared" si="27"/>
        <v>0</v>
      </c>
      <c r="Y298" s="14">
        <f t="shared" si="28"/>
        <v>0</v>
      </c>
      <c r="Z298" s="16">
        <f t="shared" si="29"/>
        <v>2</v>
      </c>
      <c r="AA298" s="14">
        <f t="shared" si="30"/>
        <v>0</v>
      </c>
      <c r="AB298" s="17"/>
      <c r="AC298" s="17" t="s">
        <v>61</v>
      </c>
    </row>
    <row r="299" spans="1:29" s="21" customFormat="1" ht="13.5" customHeight="1" x14ac:dyDescent="0.2">
      <c r="A299" s="9">
        <v>10</v>
      </c>
      <c r="B299" s="9">
        <v>59</v>
      </c>
      <c r="C299" s="10">
        <v>10072</v>
      </c>
      <c r="D299" s="9">
        <v>33192987</v>
      </c>
      <c r="E299" s="34" t="s">
        <v>616</v>
      </c>
      <c r="F299" s="10" t="s">
        <v>939</v>
      </c>
      <c r="G299" s="11" t="s">
        <v>423</v>
      </c>
      <c r="H299" s="12" t="s">
        <v>1222</v>
      </c>
      <c r="I299" s="12" t="s">
        <v>1350</v>
      </c>
      <c r="J299" s="12" t="s">
        <v>1647</v>
      </c>
      <c r="K299" s="37" t="s">
        <v>1757</v>
      </c>
      <c r="L299" s="13">
        <v>125</v>
      </c>
      <c r="M299" s="13" t="s">
        <v>1764</v>
      </c>
      <c r="N299" s="14">
        <v>0</v>
      </c>
      <c r="O299" s="14">
        <v>0</v>
      </c>
      <c r="P299" s="14">
        <v>24</v>
      </c>
      <c r="Q299" s="14">
        <v>0</v>
      </c>
      <c r="R299" s="14">
        <v>26</v>
      </c>
      <c r="S299" s="14">
        <v>0</v>
      </c>
      <c r="T299" s="14">
        <v>73</v>
      </c>
      <c r="U299" s="14">
        <v>0</v>
      </c>
      <c r="V299" s="15">
        <f t="shared" si="31"/>
        <v>123</v>
      </c>
      <c r="W299" s="14">
        <f t="shared" si="31"/>
        <v>0</v>
      </c>
      <c r="X299" s="14">
        <f t="shared" si="27"/>
        <v>0</v>
      </c>
      <c r="Y299" s="14">
        <f t="shared" si="28"/>
        <v>0</v>
      </c>
      <c r="Z299" s="16">
        <f t="shared" si="29"/>
        <v>2</v>
      </c>
      <c r="AA299" s="14">
        <f t="shared" si="30"/>
        <v>0</v>
      </c>
      <c r="AB299" s="17"/>
      <c r="AC299" s="17" t="s">
        <v>61</v>
      </c>
    </row>
    <row r="300" spans="1:29" s="21" customFormat="1" ht="13.5" customHeight="1" x14ac:dyDescent="0.2">
      <c r="A300" s="9">
        <v>10</v>
      </c>
      <c r="B300" s="9">
        <v>60</v>
      </c>
      <c r="C300" s="10">
        <v>10074</v>
      </c>
      <c r="D300" s="9">
        <v>33194823</v>
      </c>
      <c r="E300" s="34" t="s">
        <v>573</v>
      </c>
      <c r="F300" s="10" t="s">
        <v>940</v>
      </c>
      <c r="G300" s="11" t="s">
        <v>424</v>
      </c>
      <c r="H300" s="12" t="s">
        <v>964</v>
      </c>
      <c r="I300" s="12" t="s">
        <v>87</v>
      </c>
      <c r="J300" s="12" t="s">
        <v>1648</v>
      </c>
      <c r="K300" s="37" t="s">
        <v>1754</v>
      </c>
      <c r="L300" s="13">
        <v>120</v>
      </c>
      <c r="M300" s="13" t="s">
        <v>1764</v>
      </c>
      <c r="N300" s="14">
        <v>0</v>
      </c>
      <c r="O300" s="14">
        <v>0</v>
      </c>
      <c r="P300" s="14">
        <v>34</v>
      </c>
      <c r="Q300" s="14">
        <v>0</v>
      </c>
      <c r="R300" s="14">
        <v>68</v>
      </c>
      <c r="S300" s="14">
        <v>0</v>
      </c>
      <c r="T300" s="14">
        <v>18</v>
      </c>
      <c r="U300" s="14">
        <v>0</v>
      </c>
      <c r="V300" s="15">
        <f t="shared" si="31"/>
        <v>120</v>
      </c>
      <c r="W300" s="14">
        <f t="shared" si="31"/>
        <v>0</v>
      </c>
      <c r="X300" s="14">
        <f t="shared" si="27"/>
        <v>0</v>
      </c>
      <c r="Y300" s="14">
        <f t="shared" si="28"/>
        <v>0</v>
      </c>
      <c r="Z300" s="16">
        <f t="shared" si="29"/>
        <v>0</v>
      </c>
      <c r="AA300" s="14">
        <f t="shared" si="30"/>
        <v>0</v>
      </c>
      <c r="AB300" s="17"/>
      <c r="AC300" s="17" t="s">
        <v>52</v>
      </c>
    </row>
    <row r="301" spans="1:29" s="21" customFormat="1" ht="13.5" customHeight="1" x14ac:dyDescent="0.2">
      <c r="A301" s="9">
        <v>10</v>
      </c>
      <c r="B301" s="9">
        <v>61</v>
      </c>
      <c r="C301" s="10">
        <v>10073</v>
      </c>
      <c r="D301" s="9">
        <v>33196060</v>
      </c>
      <c r="E301" s="34" t="s">
        <v>643</v>
      </c>
      <c r="F301" s="10" t="s">
        <v>941</v>
      </c>
      <c r="G301" s="11" t="s">
        <v>425</v>
      </c>
      <c r="H301" s="12" t="s">
        <v>106</v>
      </c>
      <c r="I301" s="12" t="s">
        <v>107</v>
      </c>
      <c r="J301" s="12" t="s">
        <v>1649</v>
      </c>
      <c r="K301" s="37" t="s">
        <v>1755</v>
      </c>
      <c r="L301" s="13">
        <v>152</v>
      </c>
      <c r="M301" s="13" t="s">
        <v>1764</v>
      </c>
      <c r="N301" s="14">
        <v>0</v>
      </c>
      <c r="O301" s="14">
        <v>0</v>
      </c>
      <c r="P301" s="14">
        <v>18</v>
      </c>
      <c r="Q301" s="14">
        <v>0</v>
      </c>
      <c r="R301" s="14">
        <v>59</v>
      </c>
      <c r="S301" s="14">
        <v>2</v>
      </c>
      <c r="T301" s="14">
        <v>75</v>
      </c>
      <c r="U301" s="14">
        <v>2</v>
      </c>
      <c r="V301" s="15">
        <f t="shared" si="31"/>
        <v>152</v>
      </c>
      <c r="W301" s="14">
        <f t="shared" si="31"/>
        <v>4</v>
      </c>
      <c r="X301" s="14">
        <f t="shared" si="27"/>
        <v>0</v>
      </c>
      <c r="Y301" s="14">
        <f t="shared" si="28"/>
        <v>2</v>
      </c>
      <c r="Z301" s="16">
        <f t="shared" si="29"/>
        <v>0</v>
      </c>
      <c r="AA301" s="14">
        <f t="shared" si="30"/>
        <v>-2</v>
      </c>
      <c r="AB301" s="17"/>
      <c r="AC301" s="17" t="s">
        <v>52</v>
      </c>
    </row>
    <row r="302" spans="1:29" s="21" customFormat="1" ht="13.5" customHeight="1" x14ac:dyDescent="0.2">
      <c r="A302" s="9">
        <v>10</v>
      </c>
      <c r="B302" s="9">
        <v>62</v>
      </c>
      <c r="C302" s="10">
        <v>10075</v>
      </c>
      <c r="D302" s="9">
        <v>33194815</v>
      </c>
      <c r="E302" s="34" t="s">
        <v>644</v>
      </c>
      <c r="F302" s="10" t="s">
        <v>942</v>
      </c>
      <c r="G302" s="11" t="s">
        <v>426</v>
      </c>
      <c r="H302" s="12" t="s">
        <v>109</v>
      </c>
      <c r="I302" s="12" t="s">
        <v>108</v>
      </c>
      <c r="J302" s="12" t="s">
        <v>1650</v>
      </c>
      <c r="K302" s="37" t="s">
        <v>1753</v>
      </c>
      <c r="L302" s="13">
        <v>60</v>
      </c>
      <c r="M302" s="13" t="s">
        <v>1765</v>
      </c>
      <c r="N302" s="14">
        <v>0</v>
      </c>
      <c r="O302" s="14">
        <v>0</v>
      </c>
      <c r="P302" s="14">
        <v>0</v>
      </c>
      <c r="Q302" s="14">
        <v>0</v>
      </c>
      <c r="R302" s="14">
        <v>41</v>
      </c>
      <c r="S302" s="14">
        <v>0</v>
      </c>
      <c r="T302" s="14">
        <v>19</v>
      </c>
      <c r="U302" s="14">
        <v>0</v>
      </c>
      <c r="V302" s="15">
        <f t="shared" si="31"/>
        <v>60</v>
      </c>
      <c r="W302" s="14">
        <f t="shared" si="31"/>
        <v>0</v>
      </c>
      <c r="X302" s="14">
        <f t="shared" si="27"/>
        <v>0</v>
      </c>
      <c r="Y302" s="14">
        <f t="shared" si="28"/>
        <v>0</v>
      </c>
      <c r="Z302" s="16">
        <f t="shared" si="29"/>
        <v>0</v>
      </c>
      <c r="AA302" s="14">
        <f t="shared" si="30"/>
        <v>0</v>
      </c>
      <c r="AB302" s="17"/>
      <c r="AC302" s="17" t="s">
        <v>54</v>
      </c>
    </row>
    <row r="303" spans="1:29" s="21" customFormat="1" ht="13.5" customHeight="1" x14ac:dyDescent="0.2">
      <c r="A303" s="9">
        <v>10</v>
      </c>
      <c r="B303" s="9">
        <v>63</v>
      </c>
      <c r="C303" s="10">
        <v>10076</v>
      </c>
      <c r="D303" s="9">
        <v>33195056</v>
      </c>
      <c r="E303" s="34" t="s">
        <v>636</v>
      </c>
      <c r="F303" s="10" t="s">
        <v>943</v>
      </c>
      <c r="G303" s="11" t="s">
        <v>427</v>
      </c>
      <c r="H303" s="12" t="s">
        <v>110</v>
      </c>
      <c r="I303" s="12" t="s">
        <v>111</v>
      </c>
      <c r="J303" s="12" t="s">
        <v>1651</v>
      </c>
      <c r="K303" s="37" t="s">
        <v>1753</v>
      </c>
      <c r="L303" s="13">
        <v>60</v>
      </c>
      <c r="M303" s="13" t="s">
        <v>1764</v>
      </c>
      <c r="N303" s="14">
        <v>0</v>
      </c>
      <c r="O303" s="14">
        <v>0</v>
      </c>
      <c r="P303" s="14">
        <v>18</v>
      </c>
      <c r="Q303" s="14">
        <v>0</v>
      </c>
      <c r="R303" s="14">
        <v>20</v>
      </c>
      <c r="S303" s="14">
        <v>0</v>
      </c>
      <c r="T303" s="14">
        <v>20</v>
      </c>
      <c r="U303" s="14">
        <v>0</v>
      </c>
      <c r="V303" s="15">
        <f t="shared" si="31"/>
        <v>58</v>
      </c>
      <c r="W303" s="14">
        <f t="shared" si="31"/>
        <v>0</v>
      </c>
      <c r="X303" s="14">
        <f t="shared" si="27"/>
        <v>0</v>
      </c>
      <c r="Y303" s="14">
        <f t="shared" si="28"/>
        <v>0</v>
      </c>
      <c r="Z303" s="16">
        <f t="shared" si="29"/>
        <v>2</v>
      </c>
      <c r="AA303" s="14">
        <f t="shared" si="30"/>
        <v>0</v>
      </c>
      <c r="AB303" s="17"/>
      <c r="AC303" s="17" t="s">
        <v>54</v>
      </c>
    </row>
    <row r="304" spans="1:29" s="21" customFormat="1" ht="13.5" customHeight="1" x14ac:dyDescent="0.2">
      <c r="A304" s="9">
        <v>10</v>
      </c>
      <c r="B304" s="9">
        <v>64</v>
      </c>
      <c r="C304" s="10">
        <v>10077</v>
      </c>
      <c r="D304" s="9">
        <v>33194963</v>
      </c>
      <c r="E304" s="34" t="s">
        <v>645</v>
      </c>
      <c r="F304" s="10" t="s">
        <v>944</v>
      </c>
      <c r="G304" s="11" t="s">
        <v>428</v>
      </c>
      <c r="H304" s="12" t="s">
        <v>112</v>
      </c>
      <c r="I304" s="12" t="s">
        <v>112</v>
      </c>
      <c r="J304" s="12" t="s">
        <v>1652</v>
      </c>
      <c r="K304" s="37" t="s">
        <v>1753</v>
      </c>
      <c r="L304" s="13">
        <v>40</v>
      </c>
      <c r="M304" s="13" t="s">
        <v>1764</v>
      </c>
      <c r="N304" s="14">
        <v>0</v>
      </c>
      <c r="O304" s="14">
        <v>0</v>
      </c>
      <c r="P304" s="14">
        <v>15</v>
      </c>
      <c r="Q304" s="14">
        <v>0</v>
      </c>
      <c r="R304" s="14">
        <v>19</v>
      </c>
      <c r="S304" s="14">
        <v>0</v>
      </c>
      <c r="T304" s="14">
        <v>6</v>
      </c>
      <c r="U304" s="14">
        <v>0</v>
      </c>
      <c r="V304" s="15">
        <f t="shared" si="31"/>
        <v>40</v>
      </c>
      <c r="W304" s="14">
        <f t="shared" si="31"/>
        <v>0</v>
      </c>
      <c r="X304" s="14">
        <f t="shared" si="27"/>
        <v>0</v>
      </c>
      <c r="Y304" s="14">
        <f t="shared" si="28"/>
        <v>0</v>
      </c>
      <c r="Z304" s="16">
        <f t="shared" si="29"/>
        <v>0</v>
      </c>
      <c r="AA304" s="14">
        <f t="shared" si="30"/>
        <v>0</v>
      </c>
      <c r="AB304" s="17"/>
      <c r="AC304" s="17" t="s">
        <v>54</v>
      </c>
    </row>
    <row r="305" spans="1:29" s="21" customFormat="1" ht="13.5" customHeight="1" x14ac:dyDescent="0.2">
      <c r="A305" s="9">
        <v>10</v>
      </c>
      <c r="B305" s="9">
        <v>65</v>
      </c>
      <c r="C305" s="10">
        <v>10078</v>
      </c>
      <c r="D305" s="9">
        <v>33194998</v>
      </c>
      <c r="E305" s="34" t="s">
        <v>646</v>
      </c>
      <c r="F305" s="10" t="s">
        <v>945</v>
      </c>
      <c r="G305" s="11" t="s">
        <v>429</v>
      </c>
      <c r="H305" s="12" t="s">
        <v>1223</v>
      </c>
      <c r="I305" s="12" t="s">
        <v>113</v>
      </c>
      <c r="J305" s="12" t="s">
        <v>1653</v>
      </c>
      <c r="K305" s="37" t="s">
        <v>1753</v>
      </c>
      <c r="L305" s="13">
        <v>40</v>
      </c>
      <c r="M305" s="13" t="s">
        <v>1765</v>
      </c>
      <c r="N305" s="14">
        <v>9</v>
      </c>
      <c r="O305" s="14">
        <v>0</v>
      </c>
      <c r="P305" s="14">
        <v>25</v>
      </c>
      <c r="Q305" s="14">
        <v>0</v>
      </c>
      <c r="R305" s="14">
        <v>15</v>
      </c>
      <c r="S305" s="14">
        <v>0</v>
      </c>
      <c r="T305" s="14">
        <v>0</v>
      </c>
      <c r="U305" s="14">
        <v>0</v>
      </c>
      <c r="V305" s="15">
        <f t="shared" si="31"/>
        <v>49</v>
      </c>
      <c r="W305" s="14">
        <f t="shared" si="31"/>
        <v>0</v>
      </c>
      <c r="X305" s="14">
        <f t="shared" si="27"/>
        <v>0</v>
      </c>
      <c r="Y305" s="14">
        <f t="shared" si="28"/>
        <v>0</v>
      </c>
      <c r="Z305" s="16">
        <f t="shared" si="29"/>
        <v>0</v>
      </c>
      <c r="AA305" s="14">
        <f t="shared" si="30"/>
        <v>-9</v>
      </c>
      <c r="AB305" s="17"/>
      <c r="AC305" s="17" t="s">
        <v>54</v>
      </c>
    </row>
    <row r="306" spans="1:29" s="21" customFormat="1" ht="13.5" customHeight="1" x14ac:dyDescent="0.2">
      <c r="A306" s="9">
        <v>11</v>
      </c>
      <c r="B306" s="9">
        <v>1</v>
      </c>
      <c r="C306" s="10">
        <v>11003</v>
      </c>
      <c r="D306" s="9">
        <v>33096279</v>
      </c>
      <c r="E306" s="34" t="s">
        <v>647</v>
      </c>
      <c r="F306" s="10" t="s">
        <v>946</v>
      </c>
      <c r="G306" s="11" t="s">
        <v>114</v>
      </c>
      <c r="H306" s="12" t="s">
        <v>1224</v>
      </c>
      <c r="I306" s="12" t="s">
        <v>1224</v>
      </c>
      <c r="J306" s="12" t="s">
        <v>1654</v>
      </c>
      <c r="K306" s="37" t="s">
        <v>1758</v>
      </c>
      <c r="L306" s="13">
        <v>110</v>
      </c>
      <c r="M306" s="13" t="s">
        <v>1765</v>
      </c>
      <c r="N306" s="14">
        <v>0</v>
      </c>
      <c r="O306" s="14">
        <v>0</v>
      </c>
      <c r="P306" s="14">
        <v>15</v>
      </c>
      <c r="Q306" s="14">
        <v>0</v>
      </c>
      <c r="R306" s="14">
        <v>34</v>
      </c>
      <c r="S306" s="14">
        <v>1</v>
      </c>
      <c r="T306" s="14">
        <v>56</v>
      </c>
      <c r="U306" s="14">
        <v>4</v>
      </c>
      <c r="V306" s="15">
        <f t="shared" si="31"/>
        <v>105</v>
      </c>
      <c r="W306" s="14">
        <f t="shared" si="31"/>
        <v>5</v>
      </c>
      <c r="X306" s="14">
        <f t="shared" si="27"/>
        <v>0</v>
      </c>
      <c r="Y306" s="14">
        <f t="shared" si="28"/>
        <v>2</v>
      </c>
      <c r="Z306" s="16">
        <f t="shared" si="29"/>
        <v>3</v>
      </c>
      <c r="AA306" s="14">
        <f t="shared" si="30"/>
        <v>0</v>
      </c>
      <c r="AB306" s="17"/>
      <c r="AC306" s="17"/>
    </row>
    <row r="307" spans="1:29" s="21" customFormat="1" ht="13.5" customHeight="1" x14ac:dyDescent="0.2">
      <c r="A307" s="9">
        <v>11</v>
      </c>
      <c r="B307" s="9">
        <v>2</v>
      </c>
      <c r="C307" s="10">
        <v>11004</v>
      </c>
      <c r="D307" s="9">
        <v>33122733</v>
      </c>
      <c r="E307" s="34" t="s">
        <v>648</v>
      </c>
      <c r="F307" s="10" t="s">
        <v>947</v>
      </c>
      <c r="G307" s="11" t="s">
        <v>115</v>
      </c>
      <c r="H307" s="12" t="s">
        <v>1225</v>
      </c>
      <c r="I307" s="12" t="s">
        <v>1225</v>
      </c>
      <c r="J307" s="12" t="s">
        <v>1655</v>
      </c>
      <c r="K307" s="37" t="s">
        <v>1759</v>
      </c>
      <c r="L307" s="13">
        <v>135</v>
      </c>
      <c r="M307" s="13" t="s">
        <v>1764</v>
      </c>
      <c r="N307" s="14">
        <v>0</v>
      </c>
      <c r="O307" s="14">
        <v>0</v>
      </c>
      <c r="P307" s="14">
        <v>32</v>
      </c>
      <c r="Q307" s="14">
        <v>0</v>
      </c>
      <c r="R307" s="14">
        <v>44</v>
      </c>
      <c r="S307" s="14">
        <v>0</v>
      </c>
      <c r="T307" s="14">
        <v>59</v>
      </c>
      <c r="U307" s="14">
        <v>0</v>
      </c>
      <c r="V307" s="15">
        <f t="shared" si="31"/>
        <v>135</v>
      </c>
      <c r="W307" s="14">
        <f t="shared" si="31"/>
        <v>0</v>
      </c>
      <c r="X307" s="14">
        <f t="shared" si="27"/>
        <v>0</v>
      </c>
      <c r="Y307" s="14">
        <f t="shared" si="28"/>
        <v>0</v>
      </c>
      <c r="Z307" s="16">
        <f t="shared" si="29"/>
        <v>0</v>
      </c>
      <c r="AA307" s="14">
        <f t="shared" si="30"/>
        <v>0</v>
      </c>
      <c r="AB307" s="17"/>
      <c r="AC307" s="17"/>
    </row>
    <row r="308" spans="1:29" s="21" customFormat="1" ht="13.5" customHeight="1" x14ac:dyDescent="0.2">
      <c r="A308" s="9">
        <v>11</v>
      </c>
      <c r="B308" s="9">
        <v>3</v>
      </c>
      <c r="C308" s="10">
        <v>11006</v>
      </c>
      <c r="D308" s="9">
        <v>33162123</v>
      </c>
      <c r="E308" s="34" t="s">
        <v>432</v>
      </c>
      <c r="F308" s="10" t="s">
        <v>948</v>
      </c>
      <c r="G308" s="11" t="s">
        <v>116</v>
      </c>
      <c r="H308" s="12" t="s">
        <v>1226</v>
      </c>
      <c r="I308" s="12" t="s">
        <v>1271</v>
      </c>
      <c r="J308" s="12" t="s">
        <v>1656</v>
      </c>
      <c r="K308" s="37" t="s">
        <v>1760</v>
      </c>
      <c r="L308" s="13">
        <v>310</v>
      </c>
      <c r="M308" s="13" t="s">
        <v>1764</v>
      </c>
      <c r="N308" s="14">
        <v>0</v>
      </c>
      <c r="O308" s="14">
        <v>0</v>
      </c>
      <c r="P308" s="14">
        <v>93</v>
      </c>
      <c r="Q308" s="14">
        <v>0</v>
      </c>
      <c r="R308" s="14">
        <v>122</v>
      </c>
      <c r="S308" s="14">
        <v>0</v>
      </c>
      <c r="T308" s="14">
        <v>94</v>
      </c>
      <c r="U308" s="14">
        <v>0</v>
      </c>
      <c r="V308" s="15">
        <f t="shared" si="31"/>
        <v>309</v>
      </c>
      <c r="W308" s="14">
        <f t="shared" si="31"/>
        <v>0</v>
      </c>
      <c r="X308" s="14">
        <f t="shared" si="27"/>
        <v>0</v>
      </c>
      <c r="Y308" s="14">
        <f t="shared" si="28"/>
        <v>0</v>
      </c>
      <c r="Z308" s="16">
        <f t="shared" si="29"/>
        <v>1</v>
      </c>
      <c r="AA308" s="14">
        <f t="shared" si="30"/>
        <v>0</v>
      </c>
      <c r="AB308" s="17"/>
      <c r="AC308" s="17"/>
    </row>
    <row r="309" spans="1:29" s="21" customFormat="1" ht="13.5" customHeight="1" x14ac:dyDescent="0.2">
      <c r="A309" s="9">
        <v>11</v>
      </c>
      <c r="B309" s="9">
        <v>4</v>
      </c>
      <c r="C309" s="10">
        <v>11001</v>
      </c>
      <c r="D309" s="9">
        <v>33095728</v>
      </c>
      <c r="E309" s="34" t="s">
        <v>649</v>
      </c>
      <c r="F309" s="10" t="s">
        <v>949</v>
      </c>
      <c r="G309" s="11" t="s">
        <v>117</v>
      </c>
      <c r="H309" s="12" t="s">
        <v>1227</v>
      </c>
      <c r="I309" s="12" t="s">
        <v>1351</v>
      </c>
      <c r="J309" s="12" t="s">
        <v>1657</v>
      </c>
      <c r="K309" s="37" t="s">
        <v>1761</v>
      </c>
      <c r="L309" s="13">
        <v>105</v>
      </c>
      <c r="M309" s="13" t="s">
        <v>1764</v>
      </c>
      <c r="N309" s="14">
        <v>0</v>
      </c>
      <c r="O309" s="14">
        <v>0</v>
      </c>
      <c r="P309" s="14">
        <v>19</v>
      </c>
      <c r="Q309" s="14">
        <v>0</v>
      </c>
      <c r="R309" s="14">
        <v>42</v>
      </c>
      <c r="S309" s="14">
        <v>0</v>
      </c>
      <c r="T309" s="14">
        <v>44</v>
      </c>
      <c r="U309" s="14">
        <v>1</v>
      </c>
      <c r="V309" s="15">
        <f t="shared" si="31"/>
        <v>105</v>
      </c>
      <c r="W309" s="14">
        <f t="shared" si="31"/>
        <v>1</v>
      </c>
      <c r="X309" s="14">
        <f t="shared" si="27"/>
        <v>0</v>
      </c>
      <c r="Y309" s="14">
        <f t="shared" si="28"/>
        <v>2</v>
      </c>
      <c r="Z309" s="16">
        <f t="shared" si="29"/>
        <v>0</v>
      </c>
      <c r="AA309" s="14">
        <f t="shared" si="30"/>
        <v>-2</v>
      </c>
      <c r="AB309" s="17"/>
      <c r="AC309" s="17"/>
    </row>
    <row r="310" spans="1:29" s="21" customFormat="1" ht="13.5" customHeight="1" x14ac:dyDescent="0.2">
      <c r="A310" s="9">
        <v>11</v>
      </c>
      <c r="B310" s="9">
        <v>5</v>
      </c>
      <c r="C310" s="10">
        <v>11007</v>
      </c>
      <c r="D310" s="9">
        <v>33179328</v>
      </c>
      <c r="E310" s="34" t="s">
        <v>650</v>
      </c>
      <c r="F310" s="10" t="s">
        <v>950</v>
      </c>
      <c r="G310" s="11" t="s">
        <v>118</v>
      </c>
      <c r="H310" s="12" t="s">
        <v>1228</v>
      </c>
      <c r="I310" s="12" t="s">
        <v>1352</v>
      </c>
      <c r="J310" s="12" t="s">
        <v>1658</v>
      </c>
      <c r="K310" s="37" t="s">
        <v>1762</v>
      </c>
      <c r="L310" s="13">
        <v>78</v>
      </c>
      <c r="M310" s="13" t="s">
        <v>1764</v>
      </c>
      <c r="N310" s="14">
        <v>0</v>
      </c>
      <c r="O310" s="14">
        <v>0</v>
      </c>
      <c r="P310" s="14">
        <v>26</v>
      </c>
      <c r="Q310" s="14">
        <v>0</v>
      </c>
      <c r="R310" s="14">
        <v>25</v>
      </c>
      <c r="S310" s="14">
        <v>1</v>
      </c>
      <c r="T310" s="14">
        <v>26</v>
      </c>
      <c r="U310" s="14">
        <v>0</v>
      </c>
      <c r="V310" s="15">
        <f t="shared" si="31"/>
        <v>77</v>
      </c>
      <c r="W310" s="14">
        <f t="shared" si="31"/>
        <v>1</v>
      </c>
      <c r="X310" s="14">
        <f t="shared" si="27"/>
        <v>0</v>
      </c>
      <c r="Y310" s="14">
        <f t="shared" si="28"/>
        <v>2</v>
      </c>
      <c r="Z310" s="16">
        <f t="shared" si="29"/>
        <v>0</v>
      </c>
      <c r="AA310" s="14">
        <f t="shared" si="30"/>
        <v>-1</v>
      </c>
      <c r="AB310" s="17"/>
      <c r="AC310" s="17"/>
    </row>
    <row r="311" spans="1:29" s="21" customFormat="1" ht="13.5" customHeight="1" x14ac:dyDescent="0.2">
      <c r="A311" s="9">
        <v>11</v>
      </c>
      <c r="B311" s="9">
        <v>6</v>
      </c>
      <c r="C311" s="10">
        <v>11008</v>
      </c>
      <c r="D311" s="9">
        <v>33192510</v>
      </c>
      <c r="E311" s="34" t="s">
        <v>432</v>
      </c>
      <c r="F311" s="10" t="s">
        <v>951</v>
      </c>
      <c r="G311" s="11" t="s">
        <v>119</v>
      </c>
      <c r="H311" s="12" t="s">
        <v>1229</v>
      </c>
      <c r="I311" s="12" t="s">
        <v>1271</v>
      </c>
      <c r="J311" s="12" t="s">
        <v>1659</v>
      </c>
      <c r="K311" s="37" t="s">
        <v>1762</v>
      </c>
      <c r="L311" s="13">
        <v>104</v>
      </c>
      <c r="M311" s="13" t="s">
        <v>1764</v>
      </c>
      <c r="N311" s="14">
        <v>0</v>
      </c>
      <c r="O311" s="14">
        <v>0</v>
      </c>
      <c r="P311" s="14">
        <v>24</v>
      </c>
      <c r="Q311" s="14">
        <v>0</v>
      </c>
      <c r="R311" s="14">
        <v>60</v>
      </c>
      <c r="S311" s="14">
        <v>0</v>
      </c>
      <c r="T311" s="14">
        <v>20</v>
      </c>
      <c r="U311" s="14">
        <v>0</v>
      </c>
      <c r="V311" s="15">
        <f t="shared" si="31"/>
        <v>104</v>
      </c>
      <c r="W311" s="14">
        <f t="shared" si="31"/>
        <v>0</v>
      </c>
      <c r="X311" s="14">
        <f t="shared" si="27"/>
        <v>0</v>
      </c>
      <c r="Y311" s="14">
        <f t="shared" si="28"/>
        <v>0</v>
      </c>
      <c r="Z311" s="16">
        <f t="shared" si="29"/>
        <v>0</v>
      </c>
      <c r="AA311" s="14">
        <f t="shared" si="30"/>
        <v>0</v>
      </c>
      <c r="AB311" s="17"/>
      <c r="AC311" s="17" t="s">
        <v>48</v>
      </c>
    </row>
    <row r="312" spans="1:29" x14ac:dyDescent="0.25">
      <c r="K312" s="19"/>
      <c r="L312" s="19"/>
      <c r="M312" s="19"/>
      <c r="Q312"/>
    </row>
    <row r="313" spans="1:29" x14ac:dyDescent="0.25">
      <c r="H313" s="20" t="s">
        <v>1768</v>
      </c>
      <c r="K313" s="19"/>
      <c r="L313" s="19"/>
      <c r="M313" s="19"/>
      <c r="Q313"/>
    </row>
    <row r="314" spans="1:29" x14ac:dyDescent="0.25">
      <c r="K314" s="19"/>
      <c r="L314" s="19"/>
      <c r="M314" s="19"/>
      <c r="Q314"/>
    </row>
    <row r="315" spans="1:29" x14ac:dyDescent="0.25">
      <c r="K315" s="19"/>
      <c r="L315" s="19"/>
      <c r="M315" s="19"/>
      <c r="Q315"/>
    </row>
    <row r="316" spans="1:29" x14ac:dyDescent="0.25">
      <c r="K316" s="19"/>
      <c r="L316" s="19"/>
      <c r="M316" s="19"/>
      <c r="Q316"/>
    </row>
    <row r="317" spans="1:29" x14ac:dyDescent="0.25">
      <c r="K317" s="19"/>
      <c r="L317" s="19"/>
      <c r="M317" s="19"/>
      <c r="Q317"/>
    </row>
    <row r="324" ht="26.25" customHeight="1" x14ac:dyDescent="0.25"/>
    <row r="327" ht="39" customHeight="1" x14ac:dyDescent="0.25"/>
  </sheetData>
  <autoFilter ref="A2:AC311" xr:uid="{70056E75-4AD1-4329-A193-36E31634B6AA}">
    <sortState xmlns:xlrd2="http://schemas.microsoft.com/office/spreadsheetml/2017/richdata2" ref="A196:AC218">
      <sortCondition ref="G2:G311"/>
    </sortState>
  </autoFilter>
  <phoneticPr fontId="6" type="noConversion"/>
  <conditionalFormatting sqref="G1 C3:C1048576 G3:G1048576">
    <cfRule type="duplicateValues" dxfId="1" priority="10"/>
  </conditionalFormatting>
  <conditionalFormatting sqref="H3:H1048576">
    <cfRule type="duplicateValues" dxfId="0" priority="8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Farias Correia dos Santos</dc:creator>
  <cp:keywords/>
  <dc:description/>
  <cp:lastModifiedBy>Gabrielle Freire Domingues</cp:lastModifiedBy>
  <cp:revision/>
  <cp:lastPrinted>2023-06-21T11:03:18Z</cp:lastPrinted>
  <dcterms:created xsi:type="dcterms:W3CDTF">2022-12-29T12:23:41Z</dcterms:created>
  <dcterms:modified xsi:type="dcterms:W3CDTF">2026-08-26T00:19:18Z</dcterms:modified>
  <cp:category/>
  <cp:contentStatus/>
</cp:coreProperties>
</file>