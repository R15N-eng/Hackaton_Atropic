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779890\Downloads\"/>
    </mc:Choice>
  </mc:AlternateContent>
  <xr:revisionPtr revIDLastSave="0" documentId="13_ncr:1_{08B9B42C-1BDA-43EB-9787-66950A5612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U5" i="1" s="1"/>
  <c r="T6" i="1"/>
  <c r="T8" i="1"/>
  <c r="T9" i="1"/>
  <c r="T10" i="1"/>
  <c r="U10" i="1" s="1"/>
  <c r="T11" i="1"/>
  <c r="T12" i="1"/>
  <c r="T13" i="1"/>
  <c r="T14" i="1"/>
  <c r="T15" i="1"/>
  <c r="T16" i="1"/>
  <c r="T17" i="1"/>
  <c r="T18" i="1"/>
  <c r="T19" i="1"/>
  <c r="T20" i="1"/>
  <c r="T21" i="1"/>
  <c r="T22" i="1"/>
  <c r="U22" i="1" s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U38" i="1" s="1"/>
  <c r="T39" i="1"/>
  <c r="T40" i="1"/>
  <c r="T41" i="1"/>
  <c r="U41" i="1" s="1"/>
  <c r="T42" i="1"/>
  <c r="T43" i="1"/>
  <c r="T44" i="1"/>
  <c r="T45" i="1"/>
  <c r="T46" i="1"/>
  <c r="T47" i="1"/>
  <c r="U47" i="1" s="1"/>
  <c r="T48" i="1"/>
  <c r="U48" i="1" s="1"/>
  <c r="T49" i="1"/>
  <c r="U49" i="1" s="1"/>
  <c r="T50" i="1"/>
  <c r="T51" i="1"/>
  <c r="T52" i="1"/>
  <c r="T53" i="1"/>
  <c r="T54" i="1"/>
  <c r="U54" i="1" s="1"/>
  <c r="T55" i="1"/>
  <c r="T56" i="1"/>
  <c r="T58" i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T68" i="1"/>
  <c r="T69" i="1"/>
  <c r="T70" i="1"/>
  <c r="U70" i="1" s="1"/>
  <c r="T71" i="1"/>
  <c r="T72" i="1"/>
  <c r="U72" i="1" s="1"/>
  <c r="T73" i="1"/>
  <c r="U73" i="1" s="1"/>
  <c r="T74" i="1"/>
  <c r="U74" i="1" s="1"/>
  <c r="T75" i="1"/>
  <c r="U75" i="1" s="1"/>
  <c r="T76" i="1"/>
  <c r="T77" i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6" i="1"/>
  <c r="U86" i="1" s="1"/>
  <c r="T87" i="1"/>
  <c r="U87" i="1" s="1"/>
  <c r="T88" i="1"/>
  <c r="T89" i="1"/>
  <c r="T90" i="1"/>
  <c r="T91" i="1"/>
  <c r="U91" i="1" s="1"/>
  <c r="T92" i="1"/>
  <c r="T93" i="1"/>
  <c r="T94" i="1"/>
  <c r="T95" i="1"/>
  <c r="U95" i="1" s="1"/>
  <c r="T96" i="1"/>
  <c r="U96" i="1" s="1"/>
  <c r="T97" i="1"/>
  <c r="T98" i="1"/>
  <c r="T99" i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T109" i="1"/>
  <c r="T110" i="1"/>
  <c r="T111" i="1"/>
  <c r="U111" i="1" s="1"/>
  <c r="T112" i="1"/>
  <c r="T113" i="1"/>
  <c r="U113" i="1" s="1"/>
  <c r="T115" i="1"/>
  <c r="U115" i="1" s="1"/>
  <c r="T116" i="1"/>
  <c r="T117" i="1"/>
  <c r="U117" i="1" s="1"/>
  <c r="T118" i="1"/>
  <c r="T119" i="1"/>
  <c r="T120" i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1" i="1"/>
  <c r="T132" i="1"/>
  <c r="U132" i="1" s="1"/>
  <c r="T133" i="1"/>
  <c r="U133" i="1" s="1"/>
  <c r="T134" i="1"/>
  <c r="U134" i="1" s="1"/>
  <c r="T135" i="1"/>
  <c r="T136" i="1"/>
  <c r="T137" i="1"/>
  <c r="T138" i="1"/>
  <c r="T139" i="1"/>
  <c r="U139" i="1" s="1"/>
  <c r="T140" i="1"/>
  <c r="T141" i="1"/>
  <c r="T142" i="1"/>
  <c r="T143" i="1"/>
  <c r="U143" i="1" s="1"/>
  <c r="T144" i="1"/>
  <c r="U144" i="1" s="1"/>
  <c r="T145" i="1"/>
  <c r="U145" i="1" s="1"/>
  <c r="T146" i="1"/>
  <c r="U146" i="1" s="1"/>
  <c r="T147" i="1"/>
  <c r="U147" i="1" s="1"/>
  <c r="T149" i="1"/>
  <c r="U149" i="1" s="1"/>
  <c r="T150" i="1"/>
  <c r="U150" i="1" s="1"/>
  <c r="T151" i="1"/>
  <c r="U151" i="1" s="1"/>
  <c r="T152" i="1"/>
  <c r="T153" i="1"/>
  <c r="U153" i="1" s="1"/>
  <c r="T154" i="1"/>
  <c r="T155" i="1"/>
  <c r="U155" i="1" s="1"/>
  <c r="T156" i="1"/>
  <c r="T157" i="1"/>
  <c r="T158" i="1"/>
  <c r="T160" i="1"/>
  <c r="U160" i="1" s="1"/>
  <c r="T161" i="1"/>
  <c r="U161" i="1" s="1"/>
  <c r="T162" i="1"/>
  <c r="T163" i="1"/>
  <c r="T164" i="1"/>
  <c r="U164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T175" i="1"/>
  <c r="T176" i="1"/>
  <c r="T177" i="1"/>
  <c r="T178" i="1"/>
  <c r="T179" i="1"/>
  <c r="T180" i="1"/>
  <c r="U180" i="1" s="1"/>
  <c r="T181" i="1"/>
  <c r="U181" i="1" s="1"/>
  <c r="T182" i="1"/>
  <c r="U182" i="1" s="1"/>
  <c r="T183" i="1"/>
  <c r="T184" i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T195" i="1"/>
  <c r="T196" i="1"/>
  <c r="T197" i="1"/>
  <c r="U197" i="1" s="1"/>
  <c r="T198" i="1"/>
  <c r="T199" i="1"/>
  <c r="T200" i="1"/>
  <c r="T201" i="1"/>
  <c r="U201" i="1" s="1"/>
  <c r="T202" i="1"/>
  <c r="U202" i="1" s="1"/>
  <c r="T203" i="1"/>
  <c r="T204" i="1"/>
  <c r="T205" i="1"/>
  <c r="T207" i="1"/>
  <c r="U207" i="1" s="1"/>
  <c r="T208" i="1"/>
  <c r="U208" i="1" s="1"/>
  <c r="T209" i="1"/>
  <c r="U209" i="1" s="1"/>
  <c r="T210" i="1"/>
  <c r="U210" i="1" s="1"/>
  <c r="T211" i="1"/>
  <c r="U211" i="1" s="1"/>
  <c r="U8" i="1"/>
  <c r="T4" i="1"/>
  <c r="U4" i="1" s="1"/>
  <c r="U11" i="1"/>
  <c r="U12" i="1"/>
  <c r="U13" i="1"/>
  <c r="U14" i="1"/>
  <c r="U15" i="1"/>
  <c r="U16" i="1"/>
  <c r="U26" i="1"/>
  <c r="U27" i="1"/>
  <c r="U28" i="1"/>
  <c r="U29" i="1"/>
  <c r="U31" i="1"/>
  <c r="U32" i="1"/>
  <c r="U33" i="1"/>
  <c r="U34" i="1"/>
  <c r="U35" i="1"/>
  <c r="U36" i="1"/>
  <c r="U37" i="1"/>
  <c r="U46" i="1"/>
  <c r="U50" i="1"/>
  <c r="U51" i="1"/>
  <c r="U52" i="1"/>
  <c r="U53" i="1"/>
  <c r="U55" i="1"/>
  <c r="U56" i="1"/>
  <c r="U58" i="1"/>
  <c r="U67" i="1"/>
  <c r="U68" i="1"/>
  <c r="U69" i="1"/>
  <c r="U71" i="1"/>
  <c r="U76" i="1"/>
  <c r="U77" i="1"/>
  <c r="U88" i="1"/>
  <c r="U89" i="1"/>
  <c r="U90" i="1"/>
  <c r="U92" i="1"/>
  <c r="U93" i="1"/>
  <c r="U94" i="1"/>
  <c r="U97" i="1"/>
  <c r="U98" i="1"/>
  <c r="U99" i="1"/>
  <c r="U108" i="1"/>
  <c r="U109" i="1"/>
  <c r="U110" i="1"/>
  <c r="U112" i="1"/>
  <c r="U116" i="1"/>
  <c r="U118" i="1"/>
  <c r="U119" i="1"/>
  <c r="U120" i="1"/>
  <c r="U131" i="1"/>
  <c r="U135" i="1"/>
  <c r="U136" i="1"/>
  <c r="U137" i="1"/>
  <c r="U138" i="1"/>
  <c r="U140" i="1"/>
  <c r="U141" i="1"/>
  <c r="U142" i="1"/>
  <c r="U152" i="1"/>
  <c r="U154" i="1"/>
  <c r="U156" i="1"/>
  <c r="U157" i="1"/>
  <c r="U158" i="1"/>
  <c r="U162" i="1"/>
  <c r="U163" i="1"/>
  <c r="U174" i="1"/>
  <c r="U175" i="1"/>
  <c r="U176" i="1"/>
  <c r="U177" i="1"/>
  <c r="U178" i="1"/>
  <c r="U179" i="1"/>
  <c r="U183" i="1"/>
  <c r="U184" i="1"/>
  <c r="U194" i="1"/>
  <c r="U195" i="1"/>
  <c r="U196" i="1"/>
  <c r="U198" i="1"/>
  <c r="U199" i="1"/>
  <c r="U200" i="1"/>
  <c r="U203" i="1"/>
  <c r="U204" i="1"/>
  <c r="U205" i="1"/>
  <c r="U30" i="1" l="1"/>
  <c r="U40" i="1"/>
  <c r="U20" i="1"/>
  <c r="U21" i="1"/>
  <c r="U9" i="1"/>
  <c r="U6" i="1"/>
  <c r="U17" i="1"/>
  <c r="U42" i="1"/>
  <c r="U23" i="1"/>
  <c r="U43" i="1"/>
  <c r="U19" i="1"/>
  <c r="U18" i="1"/>
  <c r="U39" i="1"/>
  <c r="U45" i="1"/>
  <c r="U25" i="1"/>
  <c r="U44" i="1"/>
  <c r="U24" i="1"/>
</calcChain>
</file>

<file path=xl/sharedStrings.xml><?xml version="1.0" encoding="utf-8"?>
<sst xmlns="http://schemas.openxmlformats.org/spreadsheetml/2006/main" count="1821" uniqueCount="835">
  <si>
    <t>CRE</t>
  </si>
  <si>
    <t>Nº </t>
  </si>
  <si>
    <t>Mantenedora </t>
  </si>
  <si>
    <t>Unidade Escolar </t>
  </si>
  <si>
    <t>Endereço </t>
  </si>
  <si>
    <t>Bairro </t>
  </si>
  <si>
    <t>Nº do Fomento </t>
  </si>
  <si>
    <t>Meta </t>
  </si>
  <si>
    <t>Faixa etária </t>
  </si>
  <si>
    <t>Vigência</t>
  </si>
  <si>
    <t>Meta</t>
  </si>
  <si>
    <t>B I</t>
  </si>
  <si>
    <t>B II</t>
  </si>
  <si>
    <t>M I</t>
  </si>
  <si>
    <t>M II</t>
  </si>
  <si>
    <t>Total</t>
  </si>
  <si>
    <t>Vagas</t>
  </si>
  <si>
    <t>Excedente</t>
  </si>
  <si>
    <t>Incluídos</t>
  </si>
  <si>
    <t>Turmas</t>
  </si>
  <si>
    <t>Alunos</t>
  </si>
  <si>
    <t>1ª</t>
  </si>
  <si>
    <t>01 </t>
  </si>
  <si>
    <t>Instituto Marquês de Salamanca </t>
  </si>
  <si>
    <t>Creche Cantinho Feliz de Santa Teresa </t>
  </si>
  <si>
    <t>Rua Almirante Alexandrina, 2495 </t>
  </si>
  <si>
    <t>Santa Teresa </t>
  </si>
  <si>
    <t>08 </t>
  </si>
  <si>
    <t>50 </t>
  </si>
  <si>
    <t>2 anos </t>
  </si>
  <si>
    <t xml:space="preserve">01/07/2019 a 30/06/2021 </t>
  </si>
  <si>
    <t>02 </t>
  </si>
  <si>
    <t>Núcleo de Ação Comunitária e Desenvolvimento Social-NACODES  </t>
  </si>
  <si>
    <t>Creche Tuiuti </t>
  </si>
  <si>
    <t>Rua São Luiz Gonzaga, nº 1612-fundos </t>
  </si>
  <si>
    <t>Benfica </t>
  </si>
  <si>
    <t>07 </t>
  </si>
  <si>
    <t>147 </t>
  </si>
  <si>
    <t>1 ano </t>
  </si>
  <si>
    <t>01/07/2019 a 30/06/2021</t>
  </si>
  <si>
    <t>03 </t>
  </si>
  <si>
    <t>Instituto Missionário Comunhão e Participação </t>
  </si>
  <si>
    <t>Casa Maternal Coração de Mãe </t>
  </si>
  <si>
    <t>Rua Conceição, nº 01 </t>
  </si>
  <si>
    <t>Rio Comprido </t>
  </si>
  <si>
    <t>09 </t>
  </si>
  <si>
    <t>40 </t>
  </si>
  <si>
    <t>2ª</t>
  </si>
  <si>
    <t>Abrigo Teresa de Jesus </t>
  </si>
  <si>
    <t>Rua Ibituruna, 53 </t>
  </si>
  <si>
    <t>Tijuca </t>
  </si>
  <si>
    <t>53 </t>
  </si>
  <si>
    <t>6 m </t>
  </si>
  <si>
    <t>01/07/2019 a 30/06/2021 </t>
  </si>
  <si>
    <t>Ação Social Padre Anchieta ASPA </t>
  </si>
  <si>
    <t>Travessa Luz, 13 </t>
  </si>
  <si>
    <t>Rocinha </t>
  </si>
  <si>
    <t>25 </t>
  </si>
  <si>
    <t>179 </t>
  </si>
  <si>
    <t>Casa da Criança </t>
  </si>
  <si>
    <t>Rua Fernandes Guimarães, 85 </t>
  </si>
  <si>
    <t>Botafogo </t>
  </si>
  <si>
    <t>36 </t>
  </si>
  <si>
    <t>192 </t>
  </si>
  <si>
    <t>04 </t>
  </si>
  <si>
    <t>Casa Espírita Cristã Maria de Nazaré </t>
  </si>
  <si>
    <t>Estr. da Gávea, 262, quarteirão 21, R. Um s/nº </t>
  </si>
  <si>
    <t>33 </t>
  </si>
  <si>
    <t>120 </t>
  </si>
  <si>
    <t>0 m </t>
  </si>
  <si>
    <t>05 </t>
  </si>
  <si>
    <t>Associação Tutelar de Menores </t>
  </si>
  <si>
    <t>Casa Maternal Mello Mattos </t>
  </si>
  <si>
    <t>Rua Faro, 80 </t>
  </si>
  <si>
    <t>Jardim Botânico </t>
  </si>
  <si>
    <t>30 </t>
  </si>
  <si>
    <t>2 a </t>
  </si>
  <si>
    <t>06 </t>
  </si>
  <si>
    <t>Centro Comunitário Alegria das Crianças </t>
  </si>
  <si>
    <t>Rua Dois, 431 </t>
  </si>
  <si>
    <t>55 </t>
  </si>
  <si>
    <t>72 </t>
  </si>
  <si>
    <t>Centro Comunitário da Rua Um – União Faz a Força </t>
  </si>
  <si>
    <t>Estr. da Gávea, 259 - parte </t>
  </si>
  <si>
    <t>37 </t>
  </si>
  <si>
    <t>140 </t>
  </si>
  <si>
    <t>1 a </t>
  </si>
  <si>
    <t>Associação Palotinas </t>
  </si>
  <si>
    <t>Centro de Educação Infantil Cristo Redentor </t>
  </si>
  <si>
    <t>Rua Indiana, 59 </t>
  </si>
  <si>
    <t>Cosme Velho </t>
  </si>
  <si>
    <t>21 </t>
  </si>
  <si>
    <t>65 </t>
  </si>
  <si>
    <t>Centro Social da Mulher Uêga </t>
  </si>
  <si>
    <t>Rua Esperança, 37 – 2º andar </t>
  </si>
  <si>
    <t>38 </t>
  </si>
  <si>
    <t>100 </t>
  </si>
  <si>
    <t>10 </t>
  </si>
  <si>
    <t>Centro Social E Aí Como É Que Fica? </t>
  </si>
  <si>
    <t>Estr. da Gávea, 229 – casa 1 </t>
  </si>
  <si>
    <t>22 </t>
  </si>
  <si>
    <t>11 </t>
  </si>
  <si>
    <t>Grupo Comunitário Creche Berçário Nova Jerusalém </t>
  </si>
  <si>
    <t>Creche Berçário Maria Helena da Rocinha </t>
  </si>
  <si>
    <t>Trav. Esperança, 12 </t>
  </si>
  <si>
    <t>58 </t>
  </si>
  <si>
    <t>75 </t>
  </si>
  <si>
    <t>12 </t>
  </si>
  <si>
    <t>Centro Espírita Cristófilos </t>
  </si>
  <si>
    <t>Creche Bezerra de Menezes </t>
  </si>
  <si>
    <t>Rua Martins Ferreira, 57 </t>
  </si>
  <si>
    <t>18 </t>
  </si>
  <si>
    <t>13 </t>
  </si>
  <si>
    <t>Obra Social da Paróquia Santa Cruz de Copacabana </t>
  </si>
  <si>
    <t>Creche Cantinho da Natureza </t>
  </si>
  <si>
    <t>Rua Euclides da Rocha, 370 </t>
  </si>
  <si>
    <t>Copacabana </t>
  </si>
  <si>
    <t>150 </t>
  </si>
  <si>
    <t>14 </t>
  </si>
  <si>
    <t>Ação Comunitária Pró-Favela Dr. Marcello Cândia </t>
  </si>
  <si>
    <t>Creche Chácara do Céu </t>
  </si>
  <si>
    <t>Estr. da Independência, 161 </t>
  </si>
  <si>
    <t>Borel </t>
  </si>
  <si>
    <t>28 </t>
  </si>
  <si>
    <t>60 </t>
  </si>
  <si>
    <t>15 </t>
  </si>
  <si>
    <t>Mitra Arquiepiscopal do Rio de Janeiro </t>
  </si>
  <si>
    <t>Creche Chapeuzinho Marrom </t>
  </si>
  <si>
    <t>Rua Joaquim Pizarro, 63 </t>
  </si>
  <si>
    <t>Turano/Rio Comprido </t>
  </si>
  <si>
    <t>27 </t>
  </si>
  <si>
    <t>42 </t>
  </si>
  <si>
    <t>16 </t>
  </si>
  <si>
    <t>Associação de Moradores do Tijuaçu - AMOTI </t>
  </si>
  <si>
    <t>Creche Escadinha do Saber </t>
  </si>
  <si>
    <t>Estr. do Tijuaçu, 32 </t>
  </si>
  <si>
    <t>Alto da Boa Vista </t>
  </si>
  <si>
    <t>56 </t>
  </si>
  <si>
    <t>45 </t>
  </si>
  <si>
    <t>17 </t>
  </si>
  <si>
    <t>Lar Paulo de Tarso </t>
  </si>
  <si>
    <t>Creche Escola Meninos de Luz </t>
  </si>
  <si>
    <t>Rua Saint Romain, 142 </t>
  </si>
  <si>
    <t>39 </t>
  </si>
  <si>
    <t>88 </t>
  </si>
  <si>
    <t>Grupo Comunitário Maria Maria da Rocinha </t>
  </si>
  <si>
    <t>Creche Maria Maria </t>
  </si>
  <si>
    <t>Estr. da Gávea, 259, R. Um casa 52 </t>
  </si>
  <si>
    <t>47 </t>
  </si>
  <si>
    <t>19 </t>
  </si>
  <si>
    <t>Creche Monsenhor Franca </t>
  </si>
  <si>
    <t>Rua Tavares Bastos, 296 </t>
  </si>
  <si>
    <t>Catete </t>
  </si>
  <si>
    <t>23 </t>
  </si>
  <si>
    <t>20 </t>
  </si>
  <si>
    <r>
      <t>INATOS – Instituto Nacional de Assis. Trabalho, Oportunidades e Saúde</t>
    </r>
    <r>
      <rPr>
        <sz val="10"/>
        <rFont val="Calibri"/>
        <family val="2"/>
      </rPr>
      <t> </t>
    </r>
  </si>
  <si>
    <t>Creche Patinho Feliz </t>
  </si>
  <si>
    <t>Rua Armando de Albuquerque, 30 </t>
  </si>
  <si>
    <t>Vila Isabel </t>
  </si>
  <si>
    <t>41 </t>
  </si>
  <si>
    <t>170 </t>
  </si>
  <si>
    <t>Creche Pré Escola Comunitária do 199 Pingo de Gente </t>
  </si>
  <si>
    <t>Estr. da Gávea, 199-Beco 1/5/65 casa 34 </t>
  </si>
  <si>
    <t>32 </t>
  </si>
  <si>
    <t>Creche Pré-Escola Comunitária Dois Irmãos </t>
  </si>
  <si>
    <t>Est. da Gávea, 325 – Beco 1-casa 30 </t>
  </si>
  <si>
    <t>51 </t>
  </si>
  <si>
    <t>Casa de São Francisco de Assis </t>
  </si>
  <si>
    <t>Creche Santa Clara </t>
  </si>
  <si>
    <t>Rua Alice, 308 </t>
  </si>
  <si>
    <t>Laranjeiras </t>
  </si>
  <si>
    <t>24 </t>
  </si>
  <si>
    <t>Ação Comunitária Pró-Favela Dr. Marcello Cândia </t>
  </si>
  <si>
    <t>Creche Santa Mônica </t>
  </si>
  <si>
    <t>Estr. da Independência, 56 </t>
  </si>
  <si>
    <t>Borel/Tijuca </t>
  </si>
  <si>
    <t>29 </t>
  </si>
  <si>
    <t>Creche São Cosme e São Damião </t>
  </si>
  <si>
    <t>Rua Leopoldo, 434 </t>
  </si>
  <si>
    <t>Andaraí </t>
  </si>
  <si>
    <t>26 </t>
  </si>
  <si>
    <t>86 </t>
  </si>
  <si>
    <t>CREI – Centro de Recuperação Infantil </t>
  </si>
  <si>
    <t>Rua Joana Angélica, 203 </t>
  </si>
  <si>
    <t>Ipanema  </t>
  </si>
  <si>
    <t>Cruzada pela Infância do Leme </t>
  </si>
  <si>
    <t>Rua Coelho Cintra, 380 </t>
  </si>
  <si>
    <t>Casa de Jacira Auxílio à Infância </t>
  </si>
  <si>
    <t>Educandário Casa de Jacira  </t>
  </si>
  <si>
    <t>Rua Aguiar, 72 </t>
  </si>
  <si>
    <t>3 a </t>
  </si>
  <si>
    <t>Escola Comunitária do Cantagalo </t>
  </si>
  <si>
    <t>Rua Saint Romain, 200 </t>
  </si>
  <si>
    <t>48 </t>
  </si>
  <si>
    <t>Fundação Casa Santa Ignez </t>
  </si>
  <si>
    <t>Rua Mary Pessoa, 91 </t>
  </si>
  <si>
    <t>Gávea </t>
  </si>
  <si>
    <t>46 </t>
  </si>
  <si>
    <t>96 </t>
  </si>
  <si>
    <t>31 </t>
  </si>
  <si>
    <t>Grupo Comunitário Creche Escola Tia Maura </t>
  </si>
  <si>
    <t>Estr. das Canoas, 720 </t>
  </si>
  <si>
    <t>São Conrado </t>
  </si>
  <si>
    <t>44 </t>
  </si>
  <si>
    <t>70 </t>
  </si>
  <si>
    <t>Grupo Morro da Alegria </t>
  </si>
  <si>
    <t>Rua Um, 159 </t>
  </si>
  <si>
    <t>52 </t>
  </si>
  <si>
    <t>Obra do Berço </t>
  </si>
  <si>
    <t>Rua Cícero de Góis Monteiro, 19 </t>
  </si>
  <si>
    <t>Lagoa </t>
  </si>
  <si>
    <t>34 </t>
  </si>
  <si>
    <t>Obra Social Cristo Redentor </t>
  </si>
  <si>
    <t>Creche Sant’Anna </t>
  </si>
  <si>
    <t>Rua Professor Luiz Catanhede, 25 </t>
  </si>
  <si>
    <t>35 </t>
  </si>
  <si>
    <t>Obras Socias Padre Aleixo </t>
  </si>
  <si>
    <t>Rua Paulo VI, 62 </t>
  </si>
  <si>
    <t>Flamengo </t>
  </si>
  <si>
    <t>49 </t>
  </si>
  <si>
    <t>90 </t>
  </si>
  <si>
    <t>Obras Sociais Unidas de Santa Marta </t>
  </si>
  <si>
    <t>Beco do Jabuti, 09  - Morro Santa Marta </t>
  </si>
  <si>
    <t>43 </t>
  </si>
  <si>
    <t>Organização Creche Arte Tio João </t>
  </si>
  <si>
    <t>Rua Dois, 55 </t>
  </si>
  <si>
    <t>89 </t>
  </si>
  <si>
    <t>01/03/2019 a 28/02/2021 </t>
  </si>
  <si>
    <t>Patronato Operário da Gávea </t>
  </si>
  <si>
    <t>Av. Lineu de Paula Machado, 795 </t>
  </si>
  <si>
    <t>80 </t>
  </si>
  <si>
    <t>Sociedade Civil de Assistência a Menores-Casa da Dinda </t>
  </si>
  <si>
    <t>Rua Petrocochino, 74 </t>
  </si>
  <si>
    <t>Jovens Com Uma Missão – Jocum Borel </t>
  </si>
  <si>
    <t>Creche Espaço Semente </t>
  </si>
  <si>
    <t>Travessa São Luiz, 99 </t>
  </si>
  <si>
    <t>Sociedade Beneficente El Baida </t>
  </si>
  <si>
    <t>Recanto Infantil Nossa Senhora da Conceição </t>
  </si>
  <si>
    <t>Rua Jurema Machado, 60 </t>
  </si>
  <si>
    <t>Grajaú </t>
  </si>
  <si>
    <t>57 </t>
  </si>
  <si>
    <t>Dispensário Santa Terezinha do Menino Jesus da Gávea </t>
  </si>
  <si>
    <t>Rua General Rabelo, 09 </t>
  </si>
  <si>
    <t>Lar Cantinho Feliz </t>
  </si>
  <si>
    <t>Rua Torres Homem, 1024 </t>
  </si>
  <si>
    <t>54 </t>
  </si>
  <si>
    <t>110 </t>
  </si>
  <si>
    <t>SASP – Serviço de Assistência Social Pentecostal </t>
  </si>
  <si>
    <t>Creche Esperança </t>
  </si>
  <si>
    <t>Rua Adalberto Ferreira, 35 </t>
  </si>
  <si>
    <t>Leblon </t>
  </si>
  <si>
    <t>01/04/2019 a 31/03/2021 </t>
  </si>
  <si>
    <t>União de Mulheres Pró-Melhoramento da Roupa Suja </t>
  </si>
  <si>
    <t>Rua Um, 325 </t>
  </si>
  <si>
    <t>Associação dos Antigos Alunos dos Padres Jesuítas (ASIA) </t>
  </si>
  <si>
    <t>Casa Santa Marta </t>
  </si>
  <si>
    <t>Rua Marechal Francisco de Moura, 234 </t>
  </si>
  <si>
    <t>Casa do Pobre de Nossa Senhora de Copacabana </t>
  </si>
  <si>
    <t>Rua Hilário de Gouvêia, 36 </t>
  </si>
  <si>
    <t>03/20 </t>
  </si>
  <si>
    <t>03/02/2020 a 02/02/2022 </t>
  </si>
  <si>
    <t>Instituto Missionário Comunhão e Participação </t>
  </si>
  <si>
    <t> Creche Santa Clara de  Assis da Providência de Deus </t>
  </si>
  <si>
    <t>Rua Benedito Calixto, 92/94 </t>
  </si>
  <si>
    <t>Vidigal </t>
  </si>
  <si>
    <t>04/20 </t>
  </si>
  <si>
    <t>71 </t>
  </si>
  <si>
    <t>1 ano   </t>
  </si>
  <si>
    <r>
      <t>Primeira Igreja Batista do Alto da Boa Vista</t>
    </r>
    <r>
      <rPr>
        <sz val="10"/>
        <rFont val="Calibri"/>
        <family val="2"/>
      </rPr>
      <t> </t>
    </r>
  </si>
  <si>
    <t>Centro Educacional Esperança </t>
  </si>
  <si>
    <t>Estrada do Biguá, 336 </t>
  </si>
  <si>
    <t>05/20 </t>
  </si>
  <si>
    <t>3ª</t>
  </si>
  <si>
    <t>Associação Presbiteriana Cuidando do Amanhã - APCA </t>
  </si>
  <si>
    <t>Rua Vereador Iglesias, 25 </t>
  </si>
  <si>
    <t>Engenho de Dentro </t>
  </si>
  <si>
    <t>82 </t>
  </si>
  <si>
    <t>1 ano </t>
  </si>
  <si>
    <t>01/03/2019 a 28/02/2021 </t>
  </si>
  <si>
    <t>Instituto Protetor dos Pobres e Crianças Abrigo Maria Imaculada </t>
  </si>
  <si>
    <t>Abrigo Maria Imaculada </t>
  </si>
  <si>
    <t>Rua Ana Néri, 1422 </t>
  </si>
  <si>
    <t>Rocha </t>
  </si>
  <si>
    <t>390 </t>
  </si>
  <si>
    <t>01/03/2019  a 28/02/2021 </t>
  </si>
  <si>
    <t>Casa São Roque </t>
  </si>
  <si>
    <t>Rua Visconde de Tocantins, 34 </t>
  </si>
  <si>
    <t>200 </t>
  </si>
  <si>
    <t>2 anos </t>
  </si>
  <si>
    <t>Centro Comunitário Nossa Senhora Aparecida - Creche </t>
  </si>
  <si>
    <t>Rua Aristides Caire, 349 </t>
  </si>
  <si>
    <t>Cachambi </t>
  </si>
  <si>
    <t>01/03/2019  a 28/02/2021 </t>
  </si>
  <si>
    <t>Casa de Lázaro Educandário Social de Assistência e Amparo à Criança </t>
  </si>
  <si>
    <t>Colégio Ruth Sant’Anna/Jardim de Infância Ciranda Cirandinha </t>
  </si>
  <si>
    <t>Rua Torres Sobrinho, 57 </t>
  </si>
  <si>
    <t>Méier </t>
  </si>
  <si>
    <t>01/07/2019 a 30/06/2021 </t>
  </si>
  <si>
    <t>Sociedade Espírita Caboclo Sete Flechas  </t>
  </si>
  <si>
    <t>Creche Casa Viva </t>
  </si>
  <si>
    <t>Av. Amaro Cavalcanti, 2171 </t>
  </si>
  <si>
    <t>85 </t>
  </si>
  <si>
    <t>Ação Comunitária Sal da Terra </t>
  </si>
  <si>
    <t>Creche Chameguinho </t>
  </si>
  <si>
    <t>Rua São Francisco de Assis, 15 </t>
  </si>
  <si>
    <t>Lins de Vasconcelos </t>
  </si>
  <si>
    <t>Associação de Moradores do Morro da  Baiana </t>
  </si>
  <si>
    <t>Creche Comunitária Eliana Saturnino Braga </t>
  </si>
  <si>
    <t>Rua Vista Alegre, 17 </t>
  </si>
  <si>
    <t>Ramos </t>
  </si>
  <si>
    <t>104 </t>
  </si>
  <si>
    <t>01/03/2019 a 28/02/2021  </t>
  </si>
  <si>
    <t>Associação dos Moradores do Morro do Alemão </t>
  </si>
  <si>
    <t>Creche Comunitária João Ferreira </t>
  </si>
  <si>
    <t>Av. Central, 70 </t>
  </si>
  <si>
    <t>Creche e Escola Comunitária Mãe Social </t>
  </si>
  <si>
    <t>Rua Canitar, 749 </t>
  </si>
  <si>
    <t>Inhaúma </t>
  </si>
  <si>
    <t>76 </t>
  </si>
  <si>
    <t>Creche do Centro Pastoral Padre Justino Russolillo  </t>
  </si>
  <si>
    <t>Rua Valmir, s/nº </t>
  </si>
  <si>
    <t>Creche Mãe do Divino Salvador </t>
  </si>
  <si>
    <t>Rua Divino Salvador, 223 </t>
  </si>
  <si>
    <t>Piedade </t>
  </si>
  <si>
    <t>255 </t>
  </si>
  <si>
    <t>Instituição Maria de Nazareth – Casa da Mãe Pobre </t>
  </si>
  <si>
    <t>Creche Marietta Navarro Gaio </t>
  </si>
  <si>
    <t>Rua Frei Pinto, 75 </t>
  </si>
  <si>
    <t>ânc</t>
  </si>
  <si>
    <t>Creche Plantando o Amanhã </t>
  </si>
  <si>
    <t>Av. Marti Luther King Jr., 125 </t>
  </si>
  <si>
    <t>Del Castilho </t>
  </si>
  <si>
    <t>180 </t>
  </si>
  <si>
    <t>0 ano </t>
  </si>
  <si>
    <t>Associação Beneficente Nossa Senhora das Mercês </t>
  </si>
  <si>
    <t>Creche São Pedro Nolasco </t>
  </si>
  <si>
    <t>Rua Itaquiri, 248 </t>
  </si>
  <si>
    <t>Ramos  </t>
  </si>
  <si>
    <t>Creche Ternurinha </t>
  </si>
  <si>
    <t>Rua da Colher, 01 </t>
  </si>
  <si>
    <t>Fraternidade Assistencial Cristã </t>
  </si>
  <si>
    <t>Rua Propícia, 245 </t>
  </si>
  <si>
    <t>Engenho Novo </t>
  </si>
  <si>
    <t>Lar da Criança Jesus Bom Pastor </t>
  </si>
  <si>
    <t>Rua da Igreja, 01 </t>
  </si>
  <si>
    <t>125 </t>
  </si>
  <si>
    <t>Instituto Educacional Crescendo e Aprendendo - IECA </t>
  </si>
  <si>
    <t>Creche Algodão Doce </t>
  </si>
  <si>
    <t>Estrada do Itacaré, 480- complemento Rua Nova, 66 </t>
  </si>
  <si>
    <t>Núcleo de Ação Comunitária e Desenvolvimento Social - NACODES </t>
  </si>
  <si>
    <t>Creche  Jacarezinho  </t>
  </si>
  <si>
    <t>Rua Miguel Angelo, 541 </t>
  </si>
  <si>
    <t>211 </t>
  </si>
  <si>
    <t>01/07/2019 a  30/06/2021 </t>
  </si>
  <si>
    <t>Associação de Pais da Creche Comunitária Tia Alice </t>
  </si>
  <si>
    <t>Creche Comunitária Tia Alice </t>
  </si>
  <si>
    <t>Rua Camboriú, 205 - fundos </t>
  </si>
  <si>
    <t>Jacaré </t>
  </si>
  <si>
    <t>01/03/2019 a 28/02/2021</t>
  </si>
  <si>
    <t>Instituto Avante Elite do Futuro </t>
  </si>
  <si>
    <t>Rua Edmundo, 97 </t>
  </si>
  <si>
    <t>Pilares </t>
  </si>
  <si>
    <t>94 </t>
  </si>
  <si>
    <t>0 ano </t>
  </si>
  <si>
    <t>Creche Lar de Maria Dolores </t>
  </si>
  <si>
    <t>Lar de Maria Dolores</t>
  </si>
  <si>
    <t>Rua Nazário, 42 </t>
  </si>
  <si>
    <t>92 </t>
  </si>
  <si>
    <t>Cruzada do Menor </t>
  </si>
  <si>
    <t>Casa de Leylá </t>
  </si>
  <si>
    <t>Rua Ana Neri, 2400 </t>
  </si>
  <si>
    <t>Sampaio </t>
  </si>
  <si>
    <t>Centro Cultural Educar </t>
  </si>
  <si>
    <t>Centro Cultural Educar – Unidade II </t>
  </si>
  <si>
    <t>Rua Divino Salvador, 349 </t>
  </si>
  <si>
    <t>98 </t>
  </si>
  <si>
    <t>Associação Chalé Sementinhas </t>
  </si>
  <si>
    <t>Chalé Sementinha </t>
  </si>
  <si>
    <t>Rua José Rubino, 82 e 88 </t>
  </si>
  <si>
    <t>Higienópolis </t>
  </si>
  <si>
    <t xml:space="preserve">01/07/2019 a 30/06/2021  </t>
  </si>
  <si>
    <t>Centro Cultural Educar IV</t>
  </si>
  <si>
    <t>Creche Alfa Master </t>
  </si>
  <si>
    <t>Rua Mossoró, 107 </t>
  </si>
  <si>
    <t>04/2020 </t>
  </si>
  <si>
    <t>269 </t>
  </si>
  <si>
    <t>03/02/2020 a  02/02/2022 </t>
  </si>
  <si>
    <t>4ª</t>
  </si>
  <si>
    <t>Instituto Brasileiro de Ações, Pesquisas e Estudos - IBRAPES </t>
  </si>
  <si>
    <t>Comunidade Institucional Adulão Tempo Feliz </t>
  </si>
  <si>
    <t>Rua Cabo Reis, 15 </t>
  </si>
  <si>
    <t>26/19 </t>
  </si>
  <si>
    <t>Associação Centro Educacional Rebral </t>
  </si>
  <si>
    <t>Associação Centro Educacional Rebral  I (Rebral Brás de Pina)</t>
  </si>
  <si>
    <t>Rua Ourique, 73 </t>
  </si>
  <si>
    <t>Penha (Ourique)</t>
  </si>
  <si>
    <t>15/19 </t>
  </si>
  <si>
    <t>202 </t>
  </si>
  <si>
    <t>Creche Casulo Bom Jesus da Penha </t>
  </si>
  <si>
    <t>Av. Brás de Pina, 181 </t>
  </si>
  <si>
    <t>Penha </t>
  </si>
  <si>
    <t>18/19 </t>
  </si>
  <si>
    <t>84 </t>
  </si>
  <si>
    <t>01/07/2019 a     30/06/2021 </t>
  </si>
  <si>
    <t>Centro Comunitário da Vila Proletária da Penha </t>
  </si>
  <si>
    <t>Rua São Vicente de Paula, s/nº </t>
  </si>
  <si>
    <t>06/19 </t>
  </si>
  <si>
    <t>165 </t>
  </si>
  <si>
    <t>Associação Comunitária do Parque Proletário da Penha </t>
  </si>
  <si>
    <t>Casulo do Parque Proletário da Penha </t>
  </si>
  <si>
    <t>Praça São Lucas, 01 </t>
  </si>
  <si>
    <t>16/19 </t>
  </si>
  <si>
    <t>Creche Sagrado Coração de Maria e de Santo Antônio </t>
  </si>
  <si>
    <t>Rua Vicente Caneco, 03 </t>
  </si>
  <si>
    <t>Brás de Pina </t>
  </si>
  <si>
    <t>22/19 </t>
  </si>
  <si>
    <t>Instituto das Missionárias de Nossa Senhora de Fátima do Brasil </t>
  </si>
  <si>
    <t>Recanto da Criança Feliz </t>
  </si>
  <si>
    <t>Rua Ismael Rocha, lote 124 </t>
  </si>
  <si>
    <t>17/19 </t>
  </si>
  <si>
    <t>Associação Pedagógica Terapêutica Luiz Antonio  </t>
  </si>
  <si>
    <t>Instituto Educacional Luiz Antônio </t>
  </si>
  <si>
    <t>Rua Cabo Rocha, 230 </t>
  </si>
  <si>
    <t>Vila da Penha </t>
  </si>
  <si>
    <t>14/19 </t>
  </si>
  <si>
    <t>Centro Educacional Joel Mário </t>
  </si>
  <si>
    <t>Casa de Joel  </t>
  </si>
  <si>
    <t>Rua Antônio João, 1381 </t>
  </si>
  <si>
    <t>Cordovil </t>
  </si>
  <si>
    <t>21/19 </t>
  </si>
  <si>
    <t>220 </t>
  </si>
  <si>
    <t>Núcleo de Ação Comunitária e Desenv. Social - NACODES </t>
  </si>
  <si>
    <t>Aprendiz da Maré </t>
  </si>
  <si>
    <t>Rua Nilton Cordeiro, 19 </t>
  </si>
  <si>
    <t>Bonsucesso </t>
  </si>
  <si>
    <t>27/19 </t>
  </si>
  <si>
    <t>Associação Civil Centro Educacional Comunitário Estação do saber </t>
  </si>
  <si>
    <t xml:space="preserve"> Estação do Saber </t>
  </si>
  <si>
    <t>Rua da Democracia, 31 </t>
  </si>
  <si>
    <t>Parada de Lucas </t>
  </si>
  <si>
    <t>19/19 </t>
  </si>
  <si>
    <t>142 </t>
  </si>
  <si>
    <t>Sociedade Independente de Cultura e Aprendizagem de Manguinhos - SICAM </t>
  </si>
  <si>
    <t>Creche Comunitária de Manguinhos </t>
  </si>
  <si>
    <t>Rua Dr. Luiz Gregório de Sá, 33 </t>
  </si>
  <si>
    <t>Manguinhos </t>
  </si>
  <si>
    <t>24/19 </t>
  </si>
  <si>
    <t>Creche Escola Mimi </t>
  </si>
  <si>
    <t>Rua João Araujo, 237 </t>
  </si>
  <si>
    <t>05/19 </t>
  </si>
  <si>
    <t>Centro de Inclusões Sociais Canaã </t>
  </si>
  <si>
    <t>Creche Canaã </t>
  </si>
  <si>
    <t>Rua Artur Imbassaí, 172 </t>
  </si>
  <si>
    <t>28/19 </t>
  </si>
  <si>
    <t>Sociedade de Ensino Tereza Cristina </t>
  </si>
  <si>
    <t>Rua Negrão de Lima, 21 e 21A </t>
  </si>
  <si>
    <t>23/19 </t>
  </si>
  <si>
    <t>210 </t>
  </si>
  <si>
    <t>Lar Irmão Francisco </t>
  </si>
  <si>
    <t>Creche Lar Irmão Francisco </t>
  </si>
  <si>
    <t>Rua Sizenando Nabuco, 111 </t>
  </si>
  <si>
    <t>04/19 </t>
  </si>
  <si>
    <t>Creche Pré-escola Nova Jerusalém </t>
  </si>
  <si>
    <t>Rua Ourique, 1111 </t>
  </si>
  <si>
    <t>Penha Circular /Brás de Pina</t>
  </si>
  <si>
    <t>07/19 </t>
  </si>
  <si>
    <t>Sociedade Beneficente Sagrado Coração de Maria </t>
  </si>
  <si>
    <t>Creche Comunitária Sagrado Coração de Maria </t>
  </si>
  <si>
    <t>Rua Carmela Dutra, 24 </t>
  </si>
  <si>
    <t>20/19 </t>
  </si>
  <si>
    <t>RIOSOLIDÁRIO – Obra Social do Rio de Janeiro </t>
  </si>
  <si>
    <t>Espaço de Educação Infantil Vila do João </t>
  </si>
  <si>
    <t>Av. Brasil, 4040 </t>
  </si>
  <si>
    <t>36/19 </t>
  </si>
  <si>
    <t>217 </t>
  </si>
  <si>
    <t>6 meses </t>
  </si>
  <si>
    <t>20/09/2019 a 19/09/2021 </t>
  </si>
  <si>
    <t>Centro Cultural Educar I</t>
  </si>
  <si>
    <t>Rua Uranos, 529 </t>
  </si>
  <si>
    <t>Ramos /Bonsucesso</t>
  </si>
  <si>
    <t>08/19 </t>
  </si>
  <si>
    <t>215 </t>
  </si>
  <si>
    <t>Creche Pré-Escola Nova Jerusalém </t>
  </si>
  <si>
    <t>Creche Nova Jerusalém no Grotão </t>
  </si>
  <si>
    <t>Rua Ipojuca, 392 </t>
  </si>
  <si>
    <t>29/19 </t>
  </si>
  <si>
    <t>204 </t>
  </si>
  <si>
    <t>Centro Educacional Rebral II</t>
  </si>
  <si>
    <t>Rua Flora Lobo, 64 </t>
  </si>
  <si>
    <t>Penha Circular </t>
  </si>
  <si>
    <t>25/19 </t>
  </si>
  <si>
    <t>Creche e Pré-escola Nova Jerusalém </t>
  </si>
  <si>
    <t>Creche e Pré-escola Nova Jerusalém  </t>
  </si>
  <si>
    <t>Rua Otinga, 186 e 186 A </t>
  </si>
  <si>
    <t>39/19 </t>
  </si>
  <si>
    <t>14/10/2019 a 13/10/2021 </t>
  </si>
  <si>
    <t>Centro Educ. Vale do Sol </t>
  </si>
  <si>
    <t>Rua Major Rego, 300 </t>
  </si>
  <si>
    <t>Olaria </t>
  </si>
  <si>
    <t>37/2019 </t>
  </si>
  <si>
    <t>Centro Cultural Educar III</t>
  </si>
  <si>
    <t>Rua Nioac, 06 </t>
  </si>
  <si>
    <t>Maré </t>
  </si>
  <si>
    <t>38/2019 </t>
  </si>
  <si>
    <t>145 </t>
  </si>
  <si>
    <t>Centro Cultural Tia Name </t>
  </si>
  <si>
    <t>Rua Felisberto Freire, 135 </t>
  </si>
  <si>
    <t>05/2020 </t>
  </si>
  <si>
    <t>03/02/2020 a 02/02/2022 </t>
  </si>
  <si>
    <t>Centro Educacional Rebral </t>
  </si>
  <si>
    <t>Centro Educacional Rebral  III  (Rebral Vigário)</t>
  </si>
  <si>
    <t>Rua Xavier Pinheiro, 486 </t>
  </si>
  <si>
    <t>Vigário Geral </t>
  </si>
  <si>
    <t>02/2020 </t>
  </si>
  <si>
    <t>Centro Educacional Vale do Sol </t>
  </si>
  <si>
    <t>Creche Vale do Sol (Creche Solzinho)</t>
  </si>
  <si>
    <t>Rua Major Rego, 46 </t>
  </si>
  <si>
    <t>188 </t>
  </si>
  <si>
    <t>5ª</t>
  </si>
  <si>
    <t>Creche Apóstolo São Pedro </t>
  </si>
  <si>
    <t>Rua Antônio Saraiva, 23 </t>
  </si>
  <si>
    <t>Cavalcante </t>
  </si>
  <si>
    <t>Associação Amigos da Criança </t>
  </si>
  <si>
    <t>Creche Rocha Miranda </t>
  </si>
  <si>
    <t>Rua dos Diamantes, 113 - fundos </t>
  </si>
  <si>
    <t>Rocha Miranda </t>
  </si>
  <si>
    <t>115 </t>
  </si>
  <si>
    <t>Associação Servas dos Pobres </t>
  </si>
  <si>
    <t>Creche Cardeal Câmara </t>
  </si>
  <si>
    <t>Rua Ana Teles, 950 </t>
  </si>
  <si>
    <t>Campinho </t>
  </si>
  <si>
    <t>Associação Metodista de Ação Social de Irajá </t>
  </si>
  <si>
    <t>Creche Effatá </t>
  </si>
  <si>
    <t>Rua Carolina Amado, 1325 </t>
  </si>
  <si>
    <t>Irajá </t>
  </si>
  <si>
    <t>Creche Casulo São Rafael Arcanjo </t>
  </si>
  <si>
    <t>Rua Projetada B, 100 </t>
  </si>
  <si>
    <t>Vista Alegre </t>
  </si>
  <si>
    <t>Centro Comunitário Laureano Toledo </t>
  </si>
  <si>
    <t>Creche Pintinho Dourado </t>
  </si>
  <si>
    <t>Rua Urupema, 205 </t>
  </si>
  <si>
    <t>Quintino Bocaiúva </t>
  </si>
  <si>
    <t>6ª</t>
  </si>
  <si>
    <t>Centro Comunitário Parque Unidos de Acari </t>
  </si>
  <si>
    <t>Creche Comunitária Parque Unidos de Acari </t>
  </si>
  <si>
    <t>Rua Padre Lima, 482 </t>
  </si>
  <si>
    <t>Acari </t>
  </si>
  <si>
    <t>74 </t>
  </si>
  <si>
    <t>Abrindo Portas Sociedade Civil </t>
  </si>
  <si>
    <t>Creche Abrindo Portas </t>
  </si>
  <si>
    <t>Rua Ipuera, 331 </t>
  </si>
  <si>
    <t>Creche Guadalupe </t>
  </si>
  <si>
    <t>Rua Delegado Silvio Terra, 202 </t>
  </si>
  <si>
    <t>Guadalupe </t>
  </si>
  <si>
    <t>Creche Don Guanella </t>
  </si>
  <si>
    <t>Rua Caçarema, 63 </t>
  </si>
  <si>
    <t>Anchieta </t>
  </si>
  <si>
    <t>Associação Servos da Caridade </t>
  </si>
  <si>
    <t>Creche Escola Patronato Nossa Senhora Nazaré </t>
  </si>
  <si>
    <t>Rua José Lourenço, 181 </t>
  </si>
  <si>
    <t>112 </t>
  </si>
  <si>
    <t>Creche Nosso Lar </t>
  </si>
  <si>
    <t>Rua José Lourenço, 32 </t>
  </si>
  <si>
    <t>Creche Escola Comunitária Tio Patinhas </t>
  </si>
  <si>
    <t>Praça Roberto Carlos, 19 </t>
  </si>
  <si>
    <t>Associação Filhas de Santa Maria da Providência - AFISMAP </t>
  </si>
  <si>
    <t>Centro Educacional Nossa Senhora Aparecida-CENSA</t>
  </si>
  <si>
    <t>Rua Faustino Lins, 898 </t>
  </si>
  <si>
    <t>77 </t>
  </si>
  <si>
    <t>7ª</t>
  </si>
  <si>
    <t>Obra Social da Creche Cantinho Feliz </t>
  </si>
  <si>
    <t>Creche Cantinho Feliz </t>
  </si>
  <si>
    <t>Estr. Vereador Alceu de Carvalho, 461 </t>
  </si>
  <si>
    <t>Vargem Grande </t>
  </si>
  <si>
    <t>Creche Cantinho Feliz II </t>
  </si>
  <si>
    <t>Praça Vargem Grande, lote 02 </t>
  </si>
  <si>
    <t>Creche Casa Emilien Lacay </t>
  </si>
  <si>
    <t>Rua Edgard Werneck, 420 </t>
  </si>
  <si>
    <t>Freguesia/Jacarepaguá </t>
  </si>
  <si>
    <t>IBISS - Instituto Brasileiro de Inovações em Ações Sociais </t>
  </si>
  <si>
    <t>Creche da Casa São Francisco </t>
  </si>
  <si>
    <t>Rua Moisés, 33 </t>
  </si>
  <si>
    <t>Cidade de Deus </t>
  </si>
  <si>
    <t>Educandário Social Lar Frei Luiz </t>
  </si>
  <si>
    <t>Creche Escola Mãe Astéria </t>
  </si>
  <si>
    <t>Estr. da Boiúna, 1367 </t>
  </si>
  <si>
    <t>Taquara/Jacarepaguá </t>
  </si>
  <si>
    <t>261 </t>
  </si>
  <si>
    <t>0m </t>
  </si>
  <si>
    <t>MITRA/Paróquia de São Marcos </t>
  </si>
  <si>
    <t>Creche Raimunda Nonata da Silva </t>
  </si>
  <si>
    <t>Av. Célia Ribeiro da Silva Meneses, 92 </t>
  </si>
  <si>
    <t>Recreio dos Bandeirantes </t>
  </si>
  <si>
    <t>87 </t>
  </si>
  <si>
    <t>08/07/2019 a 07/07/2021 </t>
  </si>
  <si>
    <t>Congregação Mariana do Hospital Colônia de Curupaiti </t>
  </si>
  <si>
    <t>Creche Sant’Ana Irmã Ancila </t>
  </si>
  <si>
    <t>Rua Godofredo Viana, 64 </t>
  </si>
  <si>
    <t>Jacarepaguá </t>
  </si>
  <si>
    <t>OASE-Obras de Assistência Social Esperança </t>
  </si>
  <si>
    <t>Creche Nova Esperança  </t>
  </si>
  <si>
    <t>Rua Tirol, 1571 </t>
  </si>
  <si>
    <t>Obras Sociais Novos Palmares </t>
  </si>
  <si>
    <t>Creche  Novo Palmares </t>
  </si>
  <si>
    <t>Rua Ipê, 10 </t>
  </si>
  <si>
    <t>Vargem Pequena </t>
  </si>
  <si>
    <t>Creche Rita Alexandrina Ferreira </t>
  </si>
  <si>
    <t>Rua Servidão, 46 </t>
  </si>
  <si>
    <t>Movimento Educacional Josefa de Alcantara Goulart </t>
  </si>
  <si>
    <t>Centro Integrado São José </t>
  </si>
  <si>
    <t>Rua Edgard Werneck, 1615 </t>
  </si>
  <si>
    <t>117 </t>
  </si>
  <si>
    <t>MITRA/Paróquia Nossa Senhora do Sagrado Coração </t>
  </si>
  <si>
    <t>Creche São Paulo Apóstolo </t>
  </si>
  <si>
    <t>Rua 1, nº 02 </t>
  </si>
  <si>
    <t>Mato Alto / Jacarepaguá </t>
  </si>
  <si>
    <t>INPAR - Instituto Presbiteriano Álvaro Reis de Assistência à Criança e ao Adolescente </t>
  </si>
  <si>
    <t>Creche Semente do Amor </t>
  </si>
  <si>
    <t>Rua Edgard Werneck, 846 </t>
  </si>
  <si>
    <t>Freguesia / Jacarepaguá </t>
  </si>
  <si>
    <t>RIOSOLIDÁRIO Obra Social do Rio de Janeiro </t>
  </si>
  <si>
    <t>Espaço de Educação Infantil Cidade de Deus </t>
  </si>
  <si>
    <t>Av. Cidade de Deus, s/nº </t>
  </si>
  <si>
    <t>Cidade de Deus / Jacarepaguá </t>
  </si>
  <si>
    <t>207 </t>
  </si>
  <si>
    <t>Associação do Centro Educacional Evangélico Melo Costa </t>
  </si>
  <si>
    <t>Jardim Escola Turminha da Arca - JETA </t>
  </si>
  <si>
    <t>Av. Isabel Domingues, 78 </t>
  </si>
  <si>
    <t>Centro Educacional Crescendo e Aprendendo </t>
  </si>
  <si>
    <t>Jardim Escola Crescendo e Aprendendo </t>
  </si>
  <si>
    <t>Av. das Alagoas, 755, Canal Esperança, 23 </t>
  </si>
  <si>
    <t>Assembleia de Deus Global  </t>
  </si>
  <si>
    <t>Centro Educacional Dias Ferreira </t>
  </si>
  <si>
    <t>Estrada Santa Efigênia, 487 </t>
  </si>
  <si>
    <t>8ª</t>
  </si>
  <si>
    <t>Assoc. de Moradores do Conjunto  D. Pedro I e Adjacências-AMCOPA </t>
  </si>
  <si>
    <t>Associação de Moradores do Conjunto D. Pedro I e Adjacências - AMCOPA </t>
  </si>
  <si>
    <t>Rua Cítara, 138 </t>
  </si>
  <si>
    <t>Realengo </t>
  </si>
  <si>
    <t>3 anos </t>
  </si>
  <si>
    <t>01/07/2019 a       30/06/2021 </t>
  </si>
  <si>
    <t>Conselho de Moradores da Vila Kennedy </t>
  </si>
  <si>
    <t>Creche Comunitária Nino </t>
  </si>
  <si>
    <t>Rua Fort Lamy, s/nº, lote 01, quadra 32 </t>
  </si>
  <si>
    <t>Vila Kennedy </t>
  </si>
  <si>
    <t>3 meses </t>
  </si>
  <si>
    <t>01/07/2019 a       30/06/2021 </t>
  </si>
  <si>
    <t>Centro Social Gota de Esperança </t>
  </si>
  <si>
    <t>Creche Criança Jabour </t>
  </si>
  <si>
    <t>Rua Croácia, 05 casa 16 </t>
  </si>
  <si>
    <t>Jabour </t>
  </si>
  <si>
    <t>01/03/2019 a       28/02/2021 </t>
  </si>
  <si>
    <t>Creche e Escola Comunitária Gente Inocente </t>
  </si>
  <si>
    <t>Gente Inocente I</t>
  </si>
  <si>
    <t>Estr. da Água Branca, 4090 </t>
  </si>
  <si>
    <t>01/03/2019 a       28/02/2021 </t>
  </si>
  <si>
    <t>Creche Escola Comunitária Gente Inocente </t>
  </si>
  <si>
    <t>Gente Inocente II</t>
  </si>
  <si>
    <t>Estr. da Água Branca, 4296 </t>
  </si>
  <si>
    <t>Bangu </t>
  </si>
  <si>
    <t>214 </t>
  </si>
  <si>
    <t>Grupo Espírita Obreiros da Vida Eterna </t>
  </si>
  <si>
    <t>Creche Espírita Francisco de Assis </t>
  </si>
  <si>
    <t>Estr. do Engenho Novo, 235 </t>
  </si>
  <si>
    <t>Fundação Casa da Joaninha </t>
  </si>
  <si>
    <t>Estr. da Água Branca, 640 </t>
  </si>
  <si>
    <t>Magalhães Bastos </t>
  </si>
  <si>
    <t>Associação Recreativa Pinguinho de Gente </t>
  </si>
  <si>
    <t>Rua Dr. Augusto Figueiredo, 2002 </t>
  </si>
  <si>
    <t>Senador Camará </t>
  </si>
  <si>
    <t>Rua Imperador, 894 </t>
  </si>
  <si>
    <t>Espaço de Educação Infantil Batan </t>
  </si>
  <si>
    <t>Rua Raul Azedo Neto, s/nº </t>
  </si>
  <si>
    <t>9ª</t>
  </si>
  <si>
    <t>Creche Comunitária Santa Rita </t>
  </si>
  <si>
    <t>Rua Orlando Ricci, lote 12, quadra B </t>
  </si>
  <si>
    <t>Campo Grande </t>
  </si>
  <si>
    <t>Creche Comunitária São Jorge </t>
  </si>
  <si>
    <t>Rua Virgílio Bahia, 15 </t>
  </si>
  <si>
    <t>Vila São João </t>
  </si>
  <si>
    <t>Creche Comunitária Sagrada Família </t>
  </si>
  <si>
    <t>Rua Campos Altos, lote 16, quadra G </t>
  </si>
  <si>
    <t>Colégio Ferreira Motta </t>
  </si>
  <si>
    <t>Creche Cantinho do Saber </t>
  </si>
  <si>
    <t>Rua Itambaraça, lote 23, quadra 82, nº 670 </t>
  </si>
  <si>
    <t>Santa Margarida </t>
  </si>
  <si>
    <t>168 </t>
  </si>
  <si>
    <t>1ano </t>
  </si>
  <si>
    <t>Associação das Donas de Casa da Estrada da Pedra </t>
  </si>
  <si>
    <t>Instituto Avelino </t>
  </si>
  <si>
    <t>Rua Arcílio Papini, 17 </t>
  </si>
  <si>
    <t>10ª</t>
  </si>
  <si>
    <t>Escola Comunitária Souza Pinto </t>
  </si>
  <si>
    <t>Projeto Quebra Cabeça </t>
  </si>
  <si>
    <t>Rua Rio Grande do Sul, 136 </t>
  </si>
  <si>
    <t>Sepetiba </t>
  </si>
  <si>
    <t>Escola Comunitária Sementes do Amanhã </t>
  </si>
  <si>
    <t>Fundação Klingner para o Desenvolvimento Social </t>
  </si>
  <si>
    <t>Avenida Areia Branca, 2283 </t>
  </si>
  <si>
    <t>Santa Cruz </t>
  </si>
  <si>
    <t>350 </t>
  </si>
  <si>
    <t>Associação de Moradores e União das Bases de Urucânia e Adjacências </t>
  </si>
  <si>
    <t>Creche Comunitária Jardim Esperança </t>
  </si>
  <si>
    <t>Rua José Silton Pinheiro, 51 </t>
  </si>
  <si>
    <t>Escola Comunitária Jardim Balão Mágico </t>
  </si>
  <si>
    <t>Rua Alexandre da Silva Fagundes, 104 </t>
  </si>
  <si>
    <t>Jardim Escola Ernesto Fagundes Varela </t>
  </si>
  <si>
    <t>Estrada de Sepetiba, 172 </t>
  </si>
  <si>
    <t>Creche Escola Comunitária Sítio Alegre </t>
  </si>
  <si>
    <t>Estrada de Sepetiba, 144 </t>
  </si>
  <si>
    <t>160 </t>
  </si>
  <si>
    <t>Centro de Integração Social Isabel Maria de Nova Sepetiba </t>
  </si>
  <si>
    <t>CICIM </t>
  </si>
  <si>
    <t>Rua 39, s/nº - Conjunto Nova Sepetiba </t>
  </si>
  <si>
    <t>Sociedade dos Reunidos Pelo Bem Estar Social </t>
  </si>
  <si>
    <t>Creche Comunitária Mundo Mágico </t>
  </si>
  <si>
    <t>Rua Elizeu Gouveia, 12 </t>
  </si>
  <si>
    <t>181 </t>
  </si>
  <si>
    <t>Creche Pinguinho de Gente </t>
  </si>
  <si>
    <t>Rua Arnaldo Bastos, 22 </t>
  </si>
  <si>
    <t>Associação de Moradores das Moradas do Império </t>
  </si>
  <si>
    <t>Rua Ministro Adalberto Barreto, 473 </t>
  </si>
  <si>
    <t>Rua Professor Charley Lachmund, 290 </t>
  </si>
  <si>
    <t>Pedra de Guaratiba </t>
  </si>
  <si>
    <t>CAAD – Comitê de Atendimento à Criança e ao Adolescente </t>
  </si>
  <si>
    <t>ROLLAS</t>
  </si>
  <si>
    <t>Rua Projetada Mattos, 01 </t>
  </si>
  <si>
    <t>HERMES</t>
  </si>
  <si>
    <t>Rua Hermes da Silva, 03 </t>
  </si>
  <si>
    <t>Escola Comunitária Encanto de Maria </t>
  </si>
  <si>
    <t>Rua Sapucaí, Travessa Projetada, 55 </t>
  </si>
  <si>
    <t>Escola Comunitária Jardim de Infância Chave do Tamanho </t>
  </si>
  <si>
    <t>Rua Justo de Moraes, 90 </t>
  </si>
  <si>
    <t>Creche Comunitária Jardim Santa Cruz – Os Beneditinhos </t>
  </si>
  <si>
    <t>Os Beneditinhos </t>
  </si>
  <si>
    <t>Rua dos Rodoviários, 01 </t>
  </si>
  <si>
    <t>135 </t>
  </si>
  <si>
    <t>Escola Comunitária Jardim Arco Iris </t>
  </si>
  <si>
    <t>Rua Fernanda, 2562 </t>
  </si>
  <si>
    <t>118 </t>
  </si>
  <si>
    <t>Associação Filantrópica Cristã Espírita Ismênia Ribeiro </t>
  </si>
  <si>
    <t>Creche Escola Comunitária Ismênia Ribeiro  </t>
  </si>
  <si>
    <t>Travessa Aurora, 52 </t>
  </si>
  <si>
    <t>Creche Comunitária São João Batista </t>
  </si>
  <si>
    <t>Estrada dos Cabuis, 15 </t>
  </si>
  <si>
    <t>Escola Comunitária Jardim de Infância Tia Anastácia </t>
  </si>
  <si>
    <t>Rua Almadina, lote 10, quadra A </t>
  </si>
  <si>
    <t>137 </t>
  </si>
  <si>
    <t>Casa Maternal Nossa Senhora de Nazaré </t>
  </si>
  <si>
    <t>Rua São Gomário, 422 </t>
  </si>
  <si>
    <t>175 </t>
  </si>
  <si>
    <t>Creche Comunitária Jardim Pedra Azul </t>
  </si>
  <si>
    <t>Rua São Domingos, 15 </t>
  </si>
  <si>
    <t>Creche Comunitária Mundo Encantado da Criança </t>
  </si>
  <si>
    <t>Avenida João XXIII, 267 – Rua 20 – Conjunto Novo Mundo </t>
  </si>
  <si>
    <t>Creche Escola Sossego da Mamãe </t>
  </si>
  <si>
    <t>Rua Projetada Salles, 15, lote 23 </t>
  </si>
  <si>
    <t>Associação de Moradores e Amigos do Parque Estoril AMAPE </t>
  </si>
  <si>
    <t>Praça Celina,  s/nº - Parque Estoril </t>
  </si>
  <si>
    <t>Paciência </t>
  </si>
  <si>
    <t>Creche Casulo Agostinho </t>
  </si>
  <si>
    <t>VERIDIANA</t>
  </si>
  <si>
    <t>Estrada Santa Veridiana, 936 A </t>
  </si>
  <si>
    <t>Rua Batista, 51 </t>
  </si>
  <si>
    <t>Escola Comunitária Jardim Alexandrino </t>
  </si>
  <si>
    <t>Rua Projetada Isabel, 20 </t>
  </si>
  <si>
    <t>Creche e Escola Comunitária Gente Baixinha </t>
  </si>
  <si>
    <t>Rua Ouroana, 18 </t>
  </si>
  <si>
    <t>Creche Escola Comunitária Jardim Sonhar Conceição </t>
  </si>
  <si>
    <t>Rua Olivaldo Vila Nova, 20 – Conjunto Gerdau Pistoia </t>
  </si>
  <si>
    <t>Centro de Integração Social Isabel Maria de Nova Sepetiba </t>
  </si>
  <si>
    <t>CICIM - Nova Sepetiba</t>
  </si>
  <si>
    <t>Estrada de Sepetiba, s/nº,  Avenida 2, nº 400 </t>
  </si>
  <si>
    <t>128 </t>
  </si>
  <si>
    <t>Avenida Antares, 2991 </t>
  </si>
  <si>
    <t>Creche Cantinho Caslu </t>
  </si>
  <si>
    <t>Rua Serrolandia, 480, qd. 41, lote 26 </t>
  </si>
  <si>
    <t>Fios da Terra - Educação e Cultura, Ambiente e Energia, Trabalho e Participação </t>
  </si>
  <si>
    <t>Creche Comunitária Magia da Criança </t>
  </si>
  <si>
    <t>Estrada Vitor Dumas, 1268 </t>
  </si>
  <si>
    <t>Espaço Criativo Era Uma Vez </t>
  </si>
  <si>
    <t>Rua Córrego Novo, 17, quadra 14, lote 17 </t>
  </si>
  <si>
    <t>Creche Comunitária Deus é Fiel - CCDF </t>
  </si>
  <si>
    <t xml:space="preserve">Deus é Fiel </t>
  </si>
  <si>
    <t>Estrada de Sepetiba, 5974 </t>
  </si>
  <si>
    <t>317 </t>
  </si>
  <si>
    <t>Centro Cultural Montessori </t>
  </si>
  <si>
    <t>Av. João XXIII, 1388 </t>
  </si>
  <si>
    <t>Creche Comunitária Deus é Fiel </t>
  </si>
  <si>
    <t>Deus é Fiel II</t>
  </si>
  <si>
    <t>Estrada do Piaí, 5543 </t>
  </si>
  <si>
    <t>Sepetiba  </t>
  </si>
  <si>
    <t>03/2020 </t>
  </si>
  <si>
    <t>225 </t>
  </si>
  <si>
    <t>Creche Comunitária Deus é Fiel VI</t>
  </si>
  <si>
    <t>Rua Soldado Prim Canes, s/n Lote 22 Quadra 195</t>
  </si>
  <si>
    <t>Pedra de Guaratiba</t>
  </si>
  <si>
    <t>Santa Cruz-Pedra de Guiaratiba</t>
  </si>
  <si>
    <t>2 anos</t>
  </si>
  <si>
    <t>03/02/20 a 02/02/22</t>
  </si>
  <si>
    <t>Creche Comunitária Deus é Fiel VII</t>
  </si>
  <si>
    <t>RUA Buriti Braco, 255 Quadra 54 Lote 30</t>
  </si>
  <si>
    <t>Guaratiba</t>
  </si>
  <si>
    <t>Santa Cruz-Guaratiba</t>
  </si>
  <si>
    <t>03/02/2020 a 02/02/22</t>
  </si>
  <si>
    <t>11ª</t>
  </si>
  <si>
    <t>Creche Casulo do Dendê </t>
  </si>
  <si>
    <t>Estrada do Dendê, 205 </t>
  </si>
  <si>
    <t>Tauá / Ilha do Governador </t>
  </si>
  <si>
    <t>10/2016 </t>
  </si>
  <si>
    <t>230 </t>
  </si>
  <si>
    <t> Até 31/01/2020 </t>
  </si>
  <si>
    <t>AMIG – Associação dos Moradores da Ilha do Governador </t>
  </si>
  <si>
    <t>Praia das Pitangueiras, 234 </t>
  </si>
  <si>
    <t>Pitangueiras / </t>
  </si>
  <si>
    <t>10/2019 </t>
  </si>
  <si>
    <t>Centro de Atividades Educacionais e Culturais Arca de Noé - CAECAN </t>
  </si>
  <si>
    <t>Rua Mitá, 115 </t>
  </si>
  <si>
    <t>Guarabu / Ilha do Governador </t>
  </si>
  <si>
    <t>08/2019 </t>
  </si>
  <si>
    <t>Obra Social do Parque Royal </t>
  </si>
  <si>
    <t>Creche Comunitária Alegria da Criança </t>
  </si>
  <si>
    <t>Rua Jornalista Alaíde Pires, 35 </t>
  </si>
  <si>
    <t>Parque Royal / Ilha do Governador </t>
  </si>
  <si>
    <t>09/2019 </t>
  </si>
  <si>
    <t>105 </t>
  </si>
  <si>
    <t>Associação Resgate dos Valores Humanos - AREVAH </t>
  </si>
  <si>
    <t>Creche Esfera Kids </t>
  </si>
  <si>
    <t>Rua Dr. Bernardino Gomes, 280 </t>
  </si>
  <si>
    <t>Ilha do Governador </t>
  </si>
  <si>
    <t>03/2019 </t>
  </si>
  <si>
    <t>78 </t>
  </si>
  <si>
    <t xml:space="preserve"> </t>
  </si>
  <si>
    <t>*Justificativa - Conforme disposto no Edital E/5ª CRE Nº 6, de 6 de junho de 2019, publicado no DO de 07 de junho de 2019, página 108, no inciso III – havendo matrícula de alunos com necessidades especiais, desde que diagnosticado com a devida comprovação por profissionais da área, a meta de atendimento na parceria estabelecida sofrerá decréscimo, de no máximo 2 (dois) alunos por grupamento, sem alteração do valor total estimado da parceria.</t>
  </si>
  <si>
    <t>** Turma com redução de alunos de acordo com o Edital E/10ªCRE Nº9 de 06/06/2019, Publicado no D.O. Nº 57, página 145 de 07/06/2019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</si>
</sst>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2EFDA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2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 applyAlignment="1">
      <alignment horizontal="center" wrapText="1"/>
    </xf>
    <xf numFmtId="2" fontId="0" fillId="4" borderId="8" xfId="0" applyNumberFormat="1" applyFill="1" applyBorder="1" applyAlignment="1">
      <alignment horizontal="center" wrapText="1"/>
    </xf>
    <xf numFmtId="0" fontId="0" fillId="4" borderId="8" xfId="0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/>
    <xf numFmtId="0" fontId="11" fillId="4" borderId="1" xfId="0" applyFont="1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0" fillId="4" borderId="15" xfId="0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Alignment="1">
      <alignment horizontal="center"/>
    </xf>
    <xf numFmtId="0" fontId="0" fillId="4" borderId="9" xfId="0" applyFill="1" applyBorder="1"/>
    <xf numFmtId="0" fontId="0" fillId="4" borderId="16" xfId="0" applyFill="1" applyBorder="1" applyAlignment="1">
      <alignment horizontal="center"/>
    </xf>
    <xf numFmtId="0" fontId="0" fillId="4" borderId="8" xfId="0" applyFill="1" applyBorder="1"/>
    <xf numFmtId="0" fontId="12" fillId="3" borderId="8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9" xfId="0" applyFill="1" applyBorder="1" applyAlignment="1">
      <alignment horizontal="center"/>
    </xf>
    <xf numFmtId="0" fontId="0" fillId="4" borderId="2" xfId="0" applyFill="1" applyBorder="1"/>
    <xf numFmtId="0" fontId="0" fillId="4" borderId="6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2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6" fillId="0" borderId="5" xfId="0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/>
    <xf numFmtId="0" fontId="0" fillId="4" borderId="18" xfId="0" applyFill="1" applyBorder="1" applyAlignment="1">
      <alignment horizontal="left" wrapText="1"/>
    </xf>
    <xf numFmtId="0" fontId="0" fillId="4" borderId="19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top" wrapText="1" readingOrder="1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</sheetPr>
  <dimension ref="A1:Z218"/>
  <sheetViews>
    <sheetView tabSelected="1" showOutlineSymbols="0" zoomScale="70" zoomScaleNormal="70" workbookViewId="0">
      <pane ySplit="2" topLeftCell="A3" activePane="bottomLeft" state="frozen"/>
      <selection pane="bottomLeft" activeCell="G12" sqref="G12"/>
    </sheetView>
  </sheetViews>
  <sheetFormatPr defaultRowHeight="31.5" customHeight="1" outlineLevelRow="1" outlineLevelCol="2" x14ac:dyDescent="0.25"/>
  <cols>
    <col min="1" max="1" width="9.140625" style="15"/>
    <col min="2" max="2" width="5" style="13" customWidth="1"/>
    <col min="3" max="3" width="42.85546875" style="15" customWidth="1"/>
    <col min="4" max="4" width="26.7109375" style="15" customWidth="1"/>
    <col min="5" max="5" width="20.85546875" style="15" hidden="1" customWidth="1"/>
    <col min="6" max="6" width="20.28515625" style="15" customWidth="1"/>
    <col min="7" max="7" width="9.140625" style="13" customWidth="1"/>
    <col min="8" max="8" width="9.140625" style="18" customWidth="1"/>
    <col min="9" max="9" width="9.140625" style="13" customWidth="1"/>
    <col min="10" max="10" width="22" style="13" customWidth="1"/>
    <col min="11" max="12" width="9.140625" style="14" outlineLevel="1"/>
    <col min="13" max="19" width="9.140625" style="14" outlineLevel="2"/>
    <col min="20" max="20" width="9.140625" style="14" outlineLevel="1"/>
    <col min="21" max="21" width="9.140625" style="14" customWidth="1"/>
    <col min="22" max="22" width="10" style="13" customWidth="1"/>
    <col min="23" max="23" width="9.140625" style="15"/>
  </cols>
  <sheetData>
    <row r="1" spans="1:23" s="1" customFormat="1" ht="31.5" customHeight="1" thickBot="1" x14ac:dyDescent="0.3">
      <c r="A1" s="120" t="s">
        <v>0</v>
      </c>
      <c r="B1" s="113" t="s">
        <v>1</v>
      </c>
      <c r="C1" s="113" t="s">
        <v>2</v>
      </c>
      <c r="D1" s="113" t="s">
        <v>3</v>
      </c>
      <c r="E1" s="110" t="s">
        <v>4</v>
      </c>
      <c r="F1" s="113" t="s">
        <v>5</v>
      </c>
      <c r="G1" s="113" t="s">
        <v>6</v>
      </c>
      <c r="H1" s="113" t="s">
        <v>7</v>
      </c>
      <c r="I1" s="113" t="s">
        <v>8</v>
      </c>
      <c r="J1" s="113" t="s">
        <v>9</v>
      </c>
      <c r="K1" s="113" t="s">
        <v>10</v>
      </c>
      <c r="L1" s="129" t="s">
        <v>11</v>
      </c>
      <c r="M1" s="130"/>
      <c r="N1" s="131" t="s">
        <v>12</v>
      </c>
      <c r="O1" s="130"/>
      <c r="P1" s="129" t="s">
        <v>13</v>
      </c>
      <c r="Q1" s="130"/>
      <c r="R1" s="131" t="s">
        <v>14</v>
      </c>
      <c r="S1" s="130"/>
      <c r="T1" s="122" t="s">
        <v>15</v>
      </c>
      <c r="U1" s="124" t="s">
        <v>16</v>
      </c>
      <c r="V1" s="126" t="s">
        <v>17</v>
      </c>
      <c r="W1" s="127" t="s">
        <v>18</v>
      </c>
    </row>
    <row r="2" spans="1:23" s="1" customFormat="1" ht="31.5" customHeight="1" thickBot="1" x14ac:dyDescent="0.3">
      <c r="A2" s="121"/>
      <c r="B2" s="114"/>
      <c r="C2" s="114" t="s">
        <v>2</v>
      </c>
      <c r="D2" s="114" t="s">
        <v>3</v>
      </c>
      <c r="E2" s="110" t="s">
        <v>4</v>
      </c>
      <c r="F2" s="114" t="s">
        <v>5</v>
      </c>
      <c r="G2" s="114" t="s">
        <v>6</v>
      </c>
      <c r="H2" s="114" t="s">
        <v>7</v>
      </c>
      <c r="I2" s="114" t="s">
        <v>8</v>
      </c>
      <c r="J2" s="114" t="s">
        <v>9</v>
      </c>
      <c r="K2" s="114" t="s">
        <v>10</v>
      </c>
      <c r="L2" s="50" t="s">
        <v>19</v>
      </c>
      <c r="M2" s="50" t="s">
        <v>20</v>
      </c>
      <c r="N2" s="50" t="s">
        <v>19</v>
      </c>
      <c r="O2" s="50" t="s">
        <v>20</v>
      </c>
      <c r="P2" s="50" t="s">
        <v>19</v>
      </c>
      <c r="Q2" s="50" t="s">
        <v>20</v>
      </c>
      <c r="R2" s="50" t="s">
        <v>19</v>
      </c>
      <c r="S2" s="50" t="s">
        <v>20</v>
      </c>
      <c r="T2" s="123"/>
      <c r="U2" s="125"/>
      <c r="V2" s="123"/>
      <c r="W2" s="128"/>
    </row>
    <row r="3" spans="1:23" ht="9" customHeight="1" outlineLevel="1" thickBot="1" x14ac:dyDescent="0.3">
      <c r="A3" s="7"/>
      <c r="B3" s="8"/>
      <c r="C3" s="9"/>
      <c r="D3" s="9"/>
      <c r="E3" s="9"/>
      <c r="F3" s="9"/>
      <c r="G3" s="8"/>
      <c r="H3" s="10"/>
      <c r="I3" s="8"/>
      <c r="J3" s="8"/>
      <c r="K3" s="11"/>
      <c r="L3" s="11"/>
      <c r="M3" s="11"/>
      <c r="N3" s="11"/>
      <c r="O3" s="11"/>
      <c r="P3" s="11"/>
      <c r="Q3" s="11"/>
      <c r="R3" s="11"/>
      <c r="S3" s="11"/>
      <c r="T3" s="4"/>
      <c r="U3" s="3"/>
      <c r="V3" s="5"/>
      <c r="W3" s="6"/>
    </row>
    <row r="4" spans="1:23" ht="31.5" customHeight="1" outlineLevel="1" thickBot="1" x14ac:dyDescent="0.3">
      <c r="A4" s="117" t="s">
        <v>21</v>
      </c>
      <c r="B4" s="87" t="s">
        <v>22</v>
      </c>
      <c r="C4" s="23" t="s">
        <v>23</v>
      </c>
      <c r="D4" s="24" t="s">
        <v>24</v>
      </c>
      <c r="E4" s="23" t="s">
        <v>25</v>
      </c>
      <c r="F4" s="23" t="s">
        <v>26</v>
      </c>
      <c r="G4" s="25" t="s">
        <v>27</v>
      </c>
      <c r="H4" s="26" t="s">
        <v>28</v>
      </c>
      <c r="I4" s="25" t="s">
        <v>29</v>
      </c>
      <c r="J4" s="25" t="s">
        <v>30</v>
      </c>
      <c r="K4" s="27">
        <v>50</v>
      </c>
      <c r="L4" s="27"/>
      <c r="M4" s="27"/>
      <c r="N4" s="27"/>
      <c r="O4" s="27"/>
      <c r="P4" s="27">
        <v>1</v>
      </c>
      <c r="Q4" s="27">
        <v>25</v>
      </c>
      <c r="R4" s="27">
        <v>1</v>
      </c>
      <c r="S4" s="27">
        <v>25</v>
      </c>
      <c r="T4" s="28">
        <f>SUM(M4,O4,Q4,S4)</f>
        <v>50</v>
      </c>
      <c r="U4" s="27">
        <f>SUM(K4-T4-(W4*1))</f>
        <v>0</v>
      </c>
      <c r="V4" s="29"/>
      <c r="W4" s="30"/>
    </row>
    <row r="5" spans="1:23" ht="31.5" customHeight="1" outlineLevel="1" thickBot="1" x14ac:dyDescent="0.3">
      <c r="A5" s="117"/>
      <c r="B5" s="87" t="s">
        <v>31</v>
      </c>
      <c r="C5" s="23" t="s">
        <v>32</v>
      </c>
      <c r="D5" s="24" t="s">
        <v>33</v>
      </c>
      <c r="E5" s="23" t="s">
        <v>34</v>
      </c>
      <c r="F5" s="23" t="s">
        <v>35</v>
      </c>
      <c r="G5" s="25" t="s">
        <v>36</v>
      </c>
      <c r="H5" s="26" t="s">
        <v>37</v>
      </c>
      <c r="I5" s="25" t="s">
        <v>38</v>
      </c>
      <c r="J5" s="22" t="s">
        <v>39</v>
      </c>
      <c r="K5" s="27">
        <v>147</v>
      </c>
      <c r="L5" s="27"/>
      <c r="M5" s="27"/>
      <c r="N5" s="27">
        <v>2</v>
      </c>
      <c r="O5" s="27">
        <v>40</v>
      </c>
      <c r="P5" s="27">
        <v>2</v>
      </c>
      <c r="Q5" s="27">
        <v>39</v>
      </c>
      <c r="R5" s="27">
        <v>3</v>
      </c>
      <c r="S5" s="27">
        <v>68</v>
      </c>
      <c r="T5" s="28">
        <f t="shared" ref="T5:T68" si="0">SUM(M5,O5,Q5,S5)</f>
        <v>147</v>
      </c>
      <c r="U5" s="27">
        <f t="shared" ref="U5:U68" si="1">SUM(K5-T5-(W5*1))</f>
        <v>0</v>
      </c>
      <c r="V5" s="29"/>
      <c r="W5" s="30"/>
    </row>
    <row r="6" spans="1:23" ht="31.5" customHeight="1" outlineLevel="1" thickBot="1" x14ac:dyDescent="0.3">
      <c r="A6" s="117"/>
      <c r="B6" s="88" t="s">
        <v>40</v>
      </c>
      <c r="C6" s="31" t="s">
        <v>41</v>
      </c>
      <c r="D6" s="32" t="s">
        <v>42</v>
      </c>
      <c r="E6" s="31" t="s">
        <v>43</v>
      </c>
      <c r="F6" s="31" t="s">
        <v>44</v>
      </c>
      <c r="G6" s="33" t="s">
        <v>45</v>
      </c>
      <c r="H6" s="34" t="s">
        <v>46</v>
      </c>
      <c r="I6" s="33" t="s">
        <v>29</v>
      </c>
      <c r="J6" s="33" t="s">
        <v>39</v>
      </c>
      <c r="K6" s="35">
        <v>40</v>
      </c>
      <c r="L6" s="35"/>
      <c r="M6" s="35"/>
      <c r="N6" s="35"/>
      <c r="O6" s="35"/>
      <c r="P6" s="35">
        <v>1</v>
      </c>
      <c r="Q6" s="35">
        <v>20</v>
      </c>
      <c r="R6" s="35">
        <v>1</v>
      </c>
      <c r="S6" s="35">
        <v>20</v>
      </c>
      <c r="T6" s="28">
        <f t="shared" si="0"/>
        <v>40</v>
      </c>
      <c r="U6" s="27">
        <f t="shared" si="1"/>
        <v>0</v>
      </c>
      <c r="V6" s="29"/>
      <c r="W6" s="30"/>
    </row>
    <row r="7" spans="1:23" ht="9" customHeight="1" outlineLevel="1" thickBot="1" x14ac:dyDescent="0.3">
      <c r="A7" s="7"/>
      <c r="B7" s="60"/>
      <c r="C7" s="61"/>
      <c r="D7" s="61"/>
      <c r="E7" s="61"/>
      <c r="F7" s="61"/>
      <c r="G7" s="60"/>
      <c r="H7" s="62"/>
      <c r="I7" s="60"/>
      <c r="J7" s="60"/>
      <c r="K7" s="63"/>
      <c r="L7" s="63"/>
      <c r="M7" s="63"/>
      <c r="N7" s="63"/>
      <c r="O7" s="63"/>
      <c r="P7" s="63"/>
      <c r="Q7" s="63"/>
      <c r="R7" s="63"/>
      <c r="S7" s="63"/>
      <c r="T7" s="57"/>
      <c r="U7" s="56"/>
      <c r="V7" s="58"/>
      <c r="W7" s="59"/>
    </row>
    <row r="8" spans="1:23" ht="31.5" customHeight="1" outlineLevel="1" thickBot="1" x14ac:dyDescent="0.3">
      <c r="A8" s="116" t="s">
        <v>47</v>
      </c>
      <c r="B8" s="76" t="s">
        <v>22</v>
      </c>
      <c r="C8" s="77" t="s">
        <v>48</v>
      </c>
      <c r="D8" s="77" t="s">
        <v>48</v>
      </c>
      <c r="E8" s="77" t="s">
        <v>49</v>
      </c>
      <c r="F8" s="77" t="s">
        <v>50</v>
      </c>
      <c r="G8" s="78" t="s">
        <v>51</v>
      </c>
      <c r="H8" s="112">
        <v>150</v>
      </c>
      <c r="I8" s="78" t="s">
        <v>52</v>
      </c>
      <c r="J8" s="78" t="s">
        <v>53</v>
      </c>
      <c r="K8" s="38">
        <v>150</v>
      </c>
      <c r="L8" s="38"/>
      <c r="M8" s="38"/>
      <c r="N8" s="38"/>
      <c r="O8" s="38"/>
      <c r="P8" s="38">
        <v>3</v>
      </c>
      <c r="Q8" s="38">
        <v>68</v>
      </c>
      <c r="R8" s="38">
        <v>4</v>
      </c>
      <c r="S8" s="38">
        <v>86</v>
      </c>
      <c r="T8" s="28">
        <f t="shared" si="0"/>
        <v>154</v>
      </c>
      <c r="U8" s="27">
        <f t="shared" si="1"/>
        <v>-4</v>
      </c>
      <c r="V8" s="29"/>
      <c r="W8" s="30"/>
    </row>
    <row r="9" spans="1:23" ht="31.5" customHeight="1" outlineLevel="1" thickBot="1" x14ac:dyDescent="0.3">
      <c r="A9" s="116"/>
      <c r="B9" s="87" t="s">
        <v>31</v>
      </c>
      <c r="C9" s="41" t="s">
        <v>54</v>
      </c>
      <c r="D9" s="100" t="s">
        <v>54</v>
      </c>
      <c r="E9" s="100" t="s">
        <v>55</v>
      </c>
      <c r="F9" s="100" t="s">
        <v>56</v>
      </c>
      <c r="G9" s="81" t="s">
        <v>57</v>
      </c>
      <c r="H9" s="101" t="s">
        <v>58</v>
      </c>
      <c r="I9" s="81" t="s">
        <v>52</v>
      </c>
      <c r="J9" s="81" t="s">
        <v>53</v>
      </c>
      <c r="K9" s="27">
        <v>179</v>
      </c>
      <c r="L9" s="27">
        <v>1</v>
      </c>
      <c r="M9" s="27">
        <v>24</v>
      </c>
      <c r="N9" s="27">
        <v>1</v>
      </c>
      <c r="O9" s="27">
        <v>24</v>
      </c>
      <c r="P9" s="27">
        <v>3</v>
      </c>
      <c r="Q9" s="27">
        <v>65</v>
      </c>
      <c r="R9" s="27">
        <v>3</v>
      </c>
      <c r="S9" s="27">
        <v>66</v>
      </c>
      <c r="T9" s="28">
        <f t="shared" si="0"/>
        <v>179</v>
      </c>
      <c r="U9" s="27">
        <f t="shared" si="1"/>
        <v>0</v>
      </c>
      <c r="V9" s="29"/>
      <c r="W9" s="30"/>
    </row>
    <row r="10" spans="1:23" ht="31.5" customHeight="1" outlineLevel="1" thickBot="1" x14ac:dyDescent="0.3">
      <c r="A10" s="116"/>
      <c r="B10" s="87" t="s">
        <v>40</v>
      </c>
      <c r="C10" s="100" t="s">
        <v>59</v>
      </c>
      <c r="D10" s="100" t="s">
        <v>59</v>
      </c>
      <c r="E10" s="100" t="s">
        <v>60</v>
      </c>
      <c r="F10" s="100" t="s">
        <v>61</v>
      </c>
      <c r="G10" s="81" t="s">
        <v>62</v>
      </c>
      <c r="H10" s="101" t="s">
        <v>63</v>
      </c>
      <c r="I10" s="81" t="s">
        <v>52</v>
      </c>
      <c r="J10" s="81" t="s">
        <v>53</v>
      </c>
      <c r="K10" s="27">
        <v>192</v>
      </c>
      <c r="L10" s="27">
        <v>1</v>
      </c>
      <c r="M10" s="27">
        <v>24</v>
      </c>
      <c r="N10" s="27">
        <v>1</v>
      </c>
      <c r="O10" s="27">
        <v>24</v>
      </c>
      <c r="P10" s="27">
        <v>3</v>
      </c>
      <c r="Q10" s="27">
        <v>58</v>
      </c>
      <c r="R10" s="27">
        <v>3</v>
      </c>
      <c r="S10" s="27">
        <v>72</v>
      </c>
      <c r="T10" s="28">
        <f t="shared" si="0"/>
        <v>178</v>
      </c>
      <c r="U10" s="27">
        <f t="shared" si="1"/>
        <v>14</v>
      </c>
      <c r="V10" s="29"/>
      <c r="W10" s="30"/>
    </row>
    <row r="11" spans="1:23" ht="31.5" customHeight="1" outlineLevel="1" thickBot="1" x14ac:dyDescent="0.3">
      <c r="A11" s="116"/>
      <c r="B11" s="87" t="s">
        <v>64</v>
      </c>
      <c r="C11" s="100" t="s">
        <v>65</v>
      </c>
      <c r="D11" s="100" t="s">
        <v>65</v>
      </c>
      <c r="E11" s="100" t="s">
        <v>66</v>
      </c>
      <c r="F11" s="100" t="s">
        <v>56</v>
      </c>
      <c r="G11" s="81" t="s">
        <v>67</v>
      </c>
      <c r="H11" s="101" t="s">
        <v>68</v>
      </c>
      <c r="I11" s="81" t="s">
        <v>69</v>
      </c>
      <c r="J11" s="81" t="s">
        <v>53</v>
      </c>
      <c r="K11" s="27">
        <v>120</v>
      </c>
      <c r="L11" s="27">
        <v>1</v>
      </c>
      <c r="M11" s="27">
        <v>22</v>
      </c>
      <c r="N11" s="27">
        <v>1</v>
      </c>
      <c r="O11" s="27">
        <v>23</v>
      </c>
      <c r="P11" s="27">
        <v>2</v>
      </c>
      <c r="Q11" s="27">
        <v>39</v>
      </c>
      <c r="R11" s="27">
        <v>2</v>
      </c>
      <c r="S11" s="27">
        <v>36</v>
      </c>
      <c r="T11" s="28">
        <f t="shared" si="0"/>
        <v>120</v>
      </c>
      <c r="U11" s="27">
        <f t="shared" si="1"/>
        <v>0</v>
      </c>
      <c r="V11" s="27"/>
      <c r="W11" s="30"/>
    </row>
    <row r="12" spans="1:23" ht="31.5" customHeight="1" outlineLevel="1" thickBot="1" x14ac:dyDescent="0.3">
      <c r="A12" s="116"/>
      <c r="B12" s="87" t="s">
        <v>70</v>
      </c>
      <c r="C12" s="100" t="s">
        <v>71</v>
      </c>
      <c r="D12" s="100" t="s">
        <v>72</v>
      </c>
      <c r="E12" s="100" t="s">
        <v>73</v>
      </c>
      <c r="F12" s="100" t="s">
        <v>74</v>
      </c>
      <c r="G12" s="81" t="s">
        <v>75</v>
      </c>
      <c r="H12" s="101" t="s">
        <v>68</v>
      </c>
      <c r="I12" s="81" t="s">
        <v>76</v>
      </c>
      <c r="J12" s="81" t="s">
        <v>53</v>
      </c>
      <c r="K12" s="27">
        <v>120</v>
      </c>
      <c r="L12" s="27"/>
      <c r="M12" s="27"/>
      <c r="N12" s="27"/>
      <c r="O12" s="27"/>
      <c r="P12" s="27">
        <v>2</v>
      </c>
      <c r="Q12" s="27">
        <v>48</v>
      </c>
      <c r="R12" s="27">
        <v>3</v>
      </c>
      <c r="S12" s="27">
        <v>72</v>
      </c>
      <c r="T12" s="28">
        <f t="shared" si="0"/>
        <v>120</v>
      </c>
      <c r="U12" s="27">
        <f t="shared" si="1"/>
        <v>0</v>
      </c>
      <c r="V12" s="29"/>
      <c r="W12" s="30"/>
    </row>
    <row r="13" spans="1:23" ht="31.5" customHeight="1" outlineLevel="1" thickBot="1" x14ac:dyDescent="0.3">
      <c r="A13" s="116"/>
      <c r="B13" s="87" t="s">
        <v>77</v>
      </c>
      <c r="C13" s="100" t="s">
        <v>78</v>
      </c>
      <c r="D13" s="100" t="s">
        <v>78</v>
      </c>
      <c r="E13" s="100" t="s">
        <v>79</v>
      </c>
      <c r="F13" s="100" t="s">
        <v>56</v>
      </c>
      <c r="G13" s="81" t="s">
        <v>80</v>
      </c>
      <c r="H13" s="101" t="s">
        <v>81</v>
      </c>
      <c r="I13" s="81" t="s">
        <v>76</v>
      </c>
      <c r="J13" s="81" t="s">
        <v>53</v>
      </c>
      <c r="K13" s="27">
        <v>72</v>
      </c>
      <c r="L13" s="27"/>
      <c r="M13" s="27"/>
      <c r="N13" s="27"/>
      <c r="O13" s="27"/>
      <c r="P13" s="27">
        <v>1</v>
      </c>
      <c r="Q13" s="27">
        <v>23</v>
      </c>
      <c r="R13" s="27">
        <v>2</v>
      </c>
      <c r="S13" s="27">
        <v>49</v>
      </c>
      <c r="T13" s="28">
        <f t="shared" si="0"/>
        <v>72</v>
      </c>
      <c r="U13" s="27">
        <f t="shared" si="1"/>
        <v>0</v>
      </c>
      <c r="V13" s="29"/>
      <c r="W13" s="30"/>
    </row>
    <row r="14" spans="1:23" ht="31.5" customHeight="1" outlineLevel="1" thickBot="1" x14ac:dyDescent="0.3">
      <c r="A14" s="116"/>
      <c r="B14" s="87" t="s">
        <v>36</v>
      </c>
      <c r="C14" s="100" t="s">
        <v>82</v>
      </c>
      <c r="D14" s="100" t="s">
        <v>82</v>
      </c>
      <c r="E14" s="100" t="s">
        <v>83</v>
      </c>
      <c r="F14" s="100" t="s">
        <v>56</v>
      </c>
      <c r="G14" s="81" t="s">
        <v>84</v>
      </c>
      <c r="H14" s="101" t="s">
        <v>85</v>
      </c>
      <c r="I14" s="81" t="s">
        <v>86</v>
      </c>
      <c r="J14" s="81" t="s">
        <v>53</v>
      </c>
      <c r="K14" s="27">
        <v>140</v>
      </c>
      <c r="L14" s="27"/>
      <c r="M14" s="27"/>
      <c r="N14" s="27">
        <v>2</v>
      </c>
      <c r="O14" s="27">
        <v>25</v>
      </c>
      <c r="P14" s="27">
        <v>3</v>
      </c>
      <c r="Q14" s="27">
        <v>71</v>
      </c>
      <c r="R14" s="27">
        <v>3</v>
      </c>
      <c r="S14" s="27">
        <v>44</v>
      </c>
      <c r="T14" s="28">
        <f t="shared" si="0"/>
        <v>140</v>
      </c>
      <c r="U14" s="27">
        <f t="shared" si="1"/>
        <v>0</v>
      </c>
      <c r="V14" s="29"/>
      <c r="W14" s="30"/>
    </row>
    <row r="15" spans="1:23" ht="31.5" customHeight="1" outlineLevel="1" thickBot="1" x14ac:dyDescent="0.3">
      <c r="A15" s="116"/>
      <c r="B15" s="87" t="s">
        <v>27</v>
      </c>
      <c r="C15" s="100" t="s">
        <v>87</v>
      </c>
      <c r="D15" s="100" t="s">
        <v>88</v>
      </c>
      <c r="E15" s="100" t="s">
        <v>89</v>
      </c>
      <c r="F15" s="100" t="s">
        <v>90</v>
      </c>
      <c r="G15" s="81" t="s">
        <v>91</v>
      </c>
      <c r="H15" s="101" t="s">
        <v>92</v>
      </c>
      <c r="I15" s="81" t="s">
        <v>76</v>
      </c>
      <c r="J15" s="81" t="s">
        <v>53</v>
      </c>
      <c r="K15" s="27">
        <v>65</v>
      </c>
      <c r="L15" s="27">
        <v>0</v>
      </c>
      <c r="M15" s="27">
        <v>0</v>
      </c>
      <c r="N15" s="27">
        <v>0</v>
      </c>
      <c r="O15" s="27">
        <v>0</v>
      </c>
      <c r="P15" s="27"/>
      <c r="Q15" s="27">
        <v>30</v>
      </c>
      <c r="R15" s="27"/>
      <c r="S15" s="27">
        <v>35</v>
      </c>
      <c r="T15" s="28">
        <f t="shared" si="0"/>
        <v>65</v>
      </c>
      <c r="U15" s="27">
        <f t="shared" si="1"/>
        <v>0</v>
      </c>
      <c r="V15" s="27"/>
      <c r="W15" s="30"/>
    </row>
    <row r="16" spans="1:23" ht="31.5" customHeight="1" outlineLevel="1" thickBot="1" x14ac:dyDescent="0.3">
      <c r="A16" s="116"/>
      <c r="B16" s="55" t="s">
        <v>45</v>
      </c>
      <c r="C16" s="65" t="s">
        <v>93</v>
      </c>
      <c r="D16" s="65" t="s">
        <v>93</v>
      </c>
      <c r="E16" s="65" t="s">
        <v>94</v>
      </c>
      <c r="F16" s="65" t="s">
        <v>56</v>
      </c>
      <c r="G16" s="64" t="s">
        <v>95</v>
      </c>
      <c r="H16" s="66" t="s">
        <v>96</v>
      </c>
      <c r="I16" s="64" t="s">
        <v>76</v>
      </c>
      <c r="J16" s="64" t="s">
        <v>53</v>
      </c>
      <c r="K16" s="56">
        <v>100</v>
      </c>
      <c r="L16" s="56">
        <v>0</v>
      </c>
      <c r="M16" s="56">
        <v>0</v>
      </c>
      <c r="N16" s="56">
        <v>0</v>
      </c>
      <c r="O16" s="56">
        <v>0</v>
      </c>
      <c r="P16" s="56"/>
      <c r="Q16" s="56">
        <v>31</v>
      </c>
      <c r="R16" s="56"/>
      <c r="S16" s="56">
        <v>46</v>
      </c>
      <c r="T16" s="57">
        <f t="shared" si="0"/>
        <v>77</v>
      </c>
      <c r="U16" s="56">
        <f t="shared" si="1"/>
        <v>23</v>
      </c>
      <c r="V16" s="58"/>
      <c r="W16" s="59"/>
    </row>
    <row r="17" spans="1:23" ht="31.5" customHeight="1" outlineLevel="1" thickBot="1" x14ac:dyDescent="0.3">
      <c r="A17" s="116"/>
      <c r="B17" s="87" t="s">
        <v>97</v>
      </c>
      <c r="C17" s="100" t="s">
        <v>98</v>
      </c>
      <c r="D17" s="100" t="s">
        <v>98</v>
      </c>
      <c r="E17" s="100" t="s">
        <v>99</v>
      </c>
      <c r="F17" s="100" t="s">
        <v>56</v>
      </c>
      <c r="G17" s="81" t="s">
        <v>100</v>
      </c>
      <c r="H17" s="101" t="s">
        <v>92</v>
      </c>
      <c r="I17" s="81" t="s">
        <v>69</v>
      </c>
      <c r="J17" s="81" t="s">
        <v>53</v>
      </c>
      <c r="K17" s="27">
        <v>65</v>
      </c>
      <c r="L17" s="27">
        <v>1</v>
      </c>
      <c r="M17" s="27">
        <v>5</v>
      </c>
      <c r="N17" s="27">
        <v>1</v>
      </c>
      <c r="O17" s="27">
        <v>11</v>
      </c>
      <c r="P17" s="27">
        <v>1</v>
      </c>
      <c r="Q17" s="27">
        <v>10</v>
      </c>
      <c r="R17" s="27">
        <v>1</v>
      </c>
      <c r="S17" s="27">
        <v>23</v>
      </c>
      <c r="T17" s="28">
        <f t="shared" si="0"/>
        <v>49</v>
      </c>
      <c r="U17" s="27">
        <f t="shared" si="1"/>
        <v>16</v>
      </c>
      <c r="V17" s="29"/>
      <c r="W17" s="51"/>
    </row>
    <row r="18" spans="1:23" ht="31.5" customHeight="1" outlineLevel="1" thickBot="1" x14ac:dyDescent="0.3">
      <c r="A18" s="116"/>
      <c r="B18" s="87" t="s">
        <v>101</v>
      </c>
      <c r="C18" s="100" t="s">
        <v>102</v>
      </c>
      <c r="D18" s="100" t="s">
        <v>103</v>
      </c>
      <c r="E18" s="100" t="s">
        <v>104</v>
      </c>
      <c r="F18" s="100" t="s">
        <v>56</v>
      </c>
      <c r="G18" s="81" t="s">
        <v>105</v>
      </c>
      <c r="H18" s="101" t="s">
        <v>106</v>
      </c>
      <c r="I18" s="81" t="s">
        <v>86</v>
      </c>
      <c r="J18" s="81" t="s">
        <v>53</v>
      </c>
      <c r="K18" s="27">
        <v>75</v>
      </c>
      <c r="L18" s="27">
        <v>1</v>
      </c>
      <c r="M18" s="27">
        <v>8</v>
      </c>
      <c r="N18" s="27">
        <v>1</v>
      </c>
      <c r="O18" s="27">
        <v>10</v>
      </c>
      <c r="P18" s="27">
        <v>1</v>
      </c>
      <c r="Q18" s="27">
        <v>25</v>
      </c>
      <c r="R18" s="27">
        <v>1</v>
      </c>
      <c r="S18" s="27">
        <v>32</v>
      </c>
      <c r="T18" s="28">
        <f t="shared" si="0"/>
        <v>75</v>
      </c>
      <c r="U18" s="27">
        <f t="shared" si="1"/>
        <v>0</v>
      </c>
      <c r="V18" s="52"/>
      <c r="W18" s="53"/>
    </row>
    <row r="19" spans="1:23" ht="31.5" customHeight="1" outlineLevel="1" thickBot="1" x14ac:dyDescent="0.3">
      <c r="A19" s="116"/>
      <c r="B19" s="87" t="s">
        <v>107</v>
      </c>
      <c r="C19" s="100" t="s">
        <v>108</v>
      </c>
      <c r="D19" s="100" t="s">
        <v>109</v>
      </c>
      <c r="E19" s="100" t="s">
        <v>110</v>
      </c>
      <c r="F19" s="100" t="s">
        <v>61</v>
      </c>
      <c r="G19" s="81" t="s">
        <v>111</v>
      </c>
      <c r="H19" s="101" t="s">
        <v>28</v>
      </c>
      <c r="I19" s="81" t="s">
        <v>52</v>
      </c>
      <c r="J19" s="81" t="s">
        <v>53</v>
      </c>
      <c r="K19" s="27">
        <v>50</v>
      </c>
      <c r="L19" s="27">
        <v>1</v>
      </c>
      <c r="M19" s="27">
        <v>4</v>
      </c>
      <c r="N19" s="27">
        <v>1</v>
      </c>
      <c r="O19" s="27">
        <v>8</v>
      </c>
      <c r="P19" s="27">
        <v>1</v>
      </c>
      <c r="Q19" s="27">
        <v>18</v>
      </c>
      <c r="R19" s="27">
        <v>1</v>
      </c>
      <c r="S19" s="27">
        <v>20</v>
      </c>
      <c r="T19" s="28">
        <f t="shared" si="0"/>
        <v>50</v>
      </c>
      <c r="U19" s="27">
        <f t="shared" si="1"/>
        <v>0</v>
      </c>
      <c r="V19" s="39"/>
      <c r="W19" s="40"/>
    </row>
    <row r="20" spans="1:23" ht="31.5" customHeight="1" outlineLevel="1" thickBot="1" x14ac:dyDescent="0.3">
      <c r="A20" s="116"/>
      <c r="B20" s="87" t="s">
        <v>112</v>
      </c>
      <c r="C20" s="100" t="s">
        <v>113</v>
      </c>
      <c r="D20" s="100" t="s">
        <v>114</v>
      </c>
      <c r="E20" s="100" t="s">
        <v>115</v>
      </c>
      <c r="F20" s="100" t="s">
        <v>116</v>
      </c>
      <c r="G20" s="81" t="s">
        <v>46</v>
      </c>
      <c r="H20" s="101" t="s">
        <v>117</v>
      </c>
      <c r="I20" s="81" t="s">
        <v>52</v>
      </c>
      <c r="J20" s="81" t="s">
        <v>53</v>
      </c>
      <c r="K20" s="27">
        <v>150</v>
      </c>
      <c r="L20" s="27">
        <v>1</v>
      </c>
      <c r="M20" s="27">
        <v>17</v>
      </c>
      <c r="N20" s="27">
        <v>2</v>
      </c>
      <c r="O20" s="27">
        <v>42</v>
      </c>
      <c r="P20" s="27">
        <v>2</v>
      </c>
      <c r="Q20" s="27">
        <v>45</v>
      </c>
      <c r="R20" s="27">
        <v>2</v>
      </c>
      <c r="S20" s="27">
        <v>43</v>
      </c>
      <c r="T20" s="28">
        <f t="shared" si="0"/>
        <v>147</v>
      </c>
      <c r="U20" s="27">
        <f t="shared" si="1"/>
        <v>0</v>
      </c>
      <c r="V20" s="39"/>
      <c r="W20" s="40">
        <v>3</v>
      </c>
    </row>
    <row r="21" spans="1:23" ht="31.5" customHeight="1" outlineLevel="1" thickBot="1" x14ac:dyDescent="0.3">
      <c r="A21" s="116"/>
      <c r="B21" s="87" t="s">
        <v>118</v>
      </c>
      <c r="C21" s="100" t="s">
        <v>119</v>
      </c>
      <c r="D21" s="100" t="s">
        <v>120</v>
      </c>
      <c r="E21" s="100" t="s">
        <v>121</v>
      </c>
      <c r="F21" s="100" t="s">
        <v>122</v>
      </c>
      <c r="G21" s="81" t="s">
        <v>123</v>
      </c>
      <c r="H21" s="101" t="s">
        <v>124</v>
      </c>
      <c r="I21" s="81" t="s">
        <v>52</v>
      </c>
      <c r="J21" s="81" t="s">
        <v>53</v>
      </c>
      <c r="K21" s="27">
        <v>60</v>
      </c>
      <c r="L21" s="27">
        <v>0</v>
      </c>
      <c r="M21" s="27">
        <v>0</v>
      </c>
      <c r="N21" s="27">
        <v>1</v>
      </c>
      <c r="O21" s="27">
        <v>13</v>
      </c>
      <c r="P21" s="27">
        <v>1</v>
      </c>
      <c r="Q21" s="27">
        <v>22</v>
      </c>
      <c r="R21" s="27">
        <v>1</v>
      </c>
      <c r="S21" s="27">
        <v>24</v>
      </c>
      <c r="T21" s="28">
        <f t="shared" si="0"/>
        <v>59</v>
      </c>
      <c r="U21" s="27">
        <f t="shared" si="1"/>
        <v>0</v>
      </c>
      <c r="V21" s="54"/>
      <c r="W21" s="40">
        <v>1</v>
      </c>
    </row>
    <row r="22" spans="1:23" ht="31.5" customHeight="1" outlineLevel="1" thickBot="1" x14ac:dyDescent="0.3">
      <c r="A22" s="116"/>
      <c r="B22" s="55" t="s">
        <v>125</v>
      </c>
      <c r="C22" s="65" t="s">
        <v>126</v>
      </c>
      <c r="D22" s="65" t="s">
        <v>127</v>
      </c>
      <c r="E22" s="65" t="s">
        <v>128</v>
      </c>
      <c r="F22" s="65" t="s">
        <v>129</v>
      </c>
      <c r="G22" s="64" t="s">
        <v>130</v>
      </c>
      <c r="H22" s="66" t="s">
        <v>131</v>
      </c>
      <c r="I22" s="64" t="s">
        <v>76</v>
      </c>
      <c r="J22" s="64" t="s">
        <v>53</v>
      </c>
      <c r="K22" s="56">
        <v>42</v>
      </c>
      <c r="L22" s="56">
        <v>0</v>
      </c>
      <c r="M22" s="56">
        <v>0</v>
      </c>
      <c r="N22" s="56">
        <v>0</v>
      </c>
      <c r="O22" s="56">
        <v>0</v>
      </c>
      <c r="P22" s="56">
        <v>1</v>
      </c>
      <c r="Q22" s="56">
        <v>21</v>
      </c>
      <c r="R22" s="56">
        <v>1</v>
      </c>
      <c r="S22" s="56">
        <v>21</v>
      </c>
      <c r="T22" s="57">
        <f t="shared" si="0"/>
        <v>42</v>
      </c>
      <c r="U22" s="56">
        <f t="shared" si="1"/>
        <v>0</v>
      </c>
      <c r="V22" s="60"/>
      <c r="W22" s="68"/>
    </row>
    <row r="23" spans="1:23" ht="31.5" customHeight="1" outlineLevel="1" thickBot="1" x14ac:dyDescent="0.3">
      <c r="A23" s="116"/>
      <c r="B23" s="87" t="s">
        <v>132</v>
      </c>
      <c r="C23" s="100" t="s">
        <v>133</v>
      </c>
      <c r="D23" s="100" t="s">
        <v>134</v>
      </c>
      <c r="E23" s="100" t="s">
        <v>135</v>
      </c>
      <c r="F23" s="100" t="s">
        <v>136</v>
      </c>
      <c r="G23" s="81" t="s">
        <v>137</v>
      </c>
      <c r="H23" s="101" t="s">
        <v>138</v>
      </c>
      <c r="I23" s="81" t="s">
        <v>76</v>
      </c>
      <c r="J23" s="81" t="s">
        <v>53</v>
      </c>
      <c r="K23" s="27">
        <v>45</v>
      </c>
      <c r="L23" s="27">
        <v>0</v>
      </c>
      <c r="M23" s="27">
        <v>0</v>
      </c>
      <c r="N23" s="27">
        <v>0</v>
      </c>
      <c r="O23" s="27">
        <v>0</v>
      </c>
      <c r="P23" s="27">
        <v>1</v>
      </c>
      <c r="Q23" s="27">
        <v>12</v>
      </c>
      <c r="R23" s="27">
        <v>1</v>
      </c>
      <c r="S23" s="27">
        <v>19</v>
      </c>
      <c r="T23" s="28">
        <f t="shared" si="0"/>
        <v>31</v>
      </c>
      <c r="U23" s="27">
        <f t="shared" si="1"/>
        <v>14</v>
      </c>
      <c r="V23" s="39"/>
      <c r="W23" s="40"/>
    </row>
    <row r="24" spans="1:23" ht="31.5" customHeight="1" outlineLevel="1" thickBot="1" x14ac:dyDescent="0.3">
      <c r="A24" s="116"/>
      <c r="B24" s="87" t="s">
        <v>139</v>
      </c>
      <c r="C24" s="100" t="s">
        <v>140</v>
      </c>
      <c r="D24" s="100" t="s">
        <v>141</v>
      </c>
      <c r="E24" s="100" t="s">
        <v>142</v>
      </c>
      <c r="F24" s="100" t="s">
        <v>116</v>
      </c>
      <c r="G24" s="81" t="s">
        <v>143</v>
      </c>
      <c r="H24" s="101" t="s">
        <v>144</v>
      </c>
      <c r="I24" s="81" t="s">
        <v>69</v>
      </c>
      <c r="J24" s="81" t="s">
        <v>53</v>
      </c>
      <c r="K24" s="27">
        <v>88</v>
      </c>
      <c r="L24" s="27">
        <v>2</v>
      </c>
      <c r="M24" s="27">
        <v>27</v>
      </c>
      <c r="N24" s="27">
        <v>1</v>
      </c>
      <c r="O24" s="27">
        <v>17</v>
      </c>
      <c r="P24" s="27">
        <v>1</v>
      </c>
      <c r="Q24" s="27">
        <v>22</v>
      </c>
      <c r="R24" s="27">
        <v>1</v>
      </c>
      <c r="S24" s="27">
        <v>22</v>
      </c>
      <c r="T24" s="28">
        <f t="shared" si="0"/>
        <v>88</v>
      </c>
      <c r="U24" s="27">
        <f t="shared" si="1"/>
        <v>0</v>
      </c>
      <c r="V24" s="54"/>
      <c r="W24" s="40"/>
    </row>
    <row r="25" spans="1:23" ht="31.5" customHeight="1" outlineLevel="1" thickBot="1" x14ac:dyDescent="0.3">
      <c r="A25" s="116"/>
      <c r="B25" s="87" t="s">
        <v>111</v>
      </c>
      <c r="C25" s="100" t="s">
        <v>145</v>
      </c>
      <c r="D25" s="100" t="s">
        <v>146</v>
      </c>
      <c r="E25" s="100" t="s">
        <v>147</v>
      </c>
      <c r="F25" s="100" t="s">
        <v>56</v>
      </c>
      <c r="G25" s="81" t="s">
        <v>148</v>
      </c>
      <c r="H25" s="101" t="s">
        <v>81</v>
      </c>
      <c r="I25" s="81" t="s">
        <v>52</v>
      </c>
      <c r="J25" s="81" t="s">
        <v>53</v>
      </c>
      <c r="K25" s="27">
        <v>72</v>
      </c>
      <c r="L25" s="27">
        <v>1</v>
      </c>
      <c r="M25" s="27">
        <v>8</v>
      </c>
      <c r="N25" s="27">
        <v>1</v>
      </c>
      <c r="O25" s="27">
        <v>18</v>
      </c>
      <c r="P25" s="27">
        <v>1</v>
      </c>
      <c r="Q25" s="27">
        <v>23</v>
      </c>
      <c r="R25" s="27">
        <v>1</v>
      </c>
      <c r="S25" s="27">
        <v>23</v>
      </c>
      <c r="T25" s="28">
        <f t="shared" si="0"/>
        <v>72</v>
      </c>
      <c r="U25" s="27">
        <f t="shared" si="1"/>
        <v>0</v>
      </c>
      <c r="V25" s="39"/>
      <c r="W25" s="40"/>
    </row>
    <row r="26" spans="1:23" ht="31.5" customHeight="1" outlineLevel="1" thickBot="1" x14ac:dyDescent="0.3">
      <c r="A26" s="116"/>
      <c r="B26" s="87" t="s">
        <v>149</v>
      </c>
      <c r="C26" s="100" t="s">
        <v>126</v>
      </c>
      <c r="D26" s="100" t="s">
        <v>150</v>
      </c>
      <c r="E26" s="100" t="s">
        <v>151</v>
      </c>
      <c r="F26" s="100" t="s">
        <v>152</v>
      </c>
      <c r="G26" s="81" t="s">
        <v>153</v>
      </c>
      <c r="H26" s="101" t="s">
        <v>28</v>
      </c>
      <c r="I26" s="81" t="s">
        <v>76</v>
      </c>
      <c r="J26" s="81" t="s">
        <v>53</v>
      </c>
      <c r="K26" s="27">
        <v>50</v>
      </c>
      <c r="L26" s="27">
        <v>0</v>
      </c>
      <c r="M26" s="27">
        <v>0</v>
      </c>
      <c r="N26" s="27">
        <v>0</v>
      </c>
      <c r="O26" s="27">
        <v>0</v>
      </c>
      <c r="P26" s="27">
        <v>1</v>
      </c>
      <c r="Q26" s="27">
        <v>25</v>
      </c>
      <c r="R26" s="27">
        <v>1</v>
      </c>
      <c r="S26" s="27">
        <v>25</v>
      </c>
      <c r="T26" s="28">
        <f t="shared" si="0"/>
        <v>50</v>
      </c>
      <c r="U26" s="27">
        <f t="shared" si="1"/>
        <v>0</v>
      </c>
      <c r="V26" s="46"/>
      <c r="W26" s="47"/>
    </row>
    <row r="27" spans="1:23" ht="31.5" customHeight="1" outlineLevel="1" thickBot="1" x14ac:dyDescent="0.3">
      <c r="A27" s="116"/>
      <c r="B27" s="87" t="s">
        <v>154</v>
      </c>
      <c r="C27" s="105" t="s">
        <v>155</v>
      </c>
      <c r="D27" s="100" t="s">
        <v>156</v>
      </c>
      <c r="E27" s="100" t="s">
        <v>157</v>
      </c>
      <c r="F27" s="100" t="s">
        <v>158</v>
      </c>
      <c r="G27" s="81" t="s">
        <v>159</v>
      </c>
      <c r="H27" s="101" t="s">
        <v>160</v>
      </c>
      <c r="I27" s="81" t="s">
        <v>86</v>
      </c>
      <c r="J27" s="81" t="s">
        <v>53</v>
      </c>
      <c r="K27" s="27">
        <v>170</v>
      </c>
      <c r="L27" s="27">
        <v>0</v>
      </c>
      <c r="M27" s="27">
        <v>0</v>
      </c>
      <c r="N27" s="27">
        <v>3</v>
      </c>
      <c r="O27" s="27">
        <v>53</v>
      </c>
      <c r="P27" s="27">
        <v>3</v>
      </c>
      <c r="Q27" s="27">
        <v>56</v>
      </c>
      <c r="R27" s="27">
        <v>2</v>
      </c>
      <c r="S27" s="27">
        <v>61</v>
      </c>
      <c r="T27" s="28">
        <f t="shared" si="0"/>
        <v>170</v>
      </c>
      <c r="U27" s="27">
        <f t="shared" si="1"/>
        <v>0</v>
      </c>
      <c r="V27" s="39"/>
      <c r="W27" s="40"/>
    </row>
    <row r="28" spans="1:23" ht="31.5" customHeight="1" outlineLevel="1" thickBot="1" x14ac:dyDescent="0.3">
      <c r="A28" s="116"/>
      <c r="B28" s="87" t="s">
        <v>91</v>
      </c>
      <c r="C28" s="100" t="s">
        <v>161</v>
      </c>
      <c r="D28" s="100" t="s">
        <v>161</v>
      </c>
      <c r="E28" s="100" t="s">
        <v>162</v>
      </c>
      <c r="F28" s="100" t="s">
        <v>56</v>
      </c>
      <c r="G28" s="81" t="s">
        <v>163</v>
      </c>
      <c r="H28" s="101" t="s">
        <v>28</v>
      </c>
      <c r="I28" s="81" t="s">
        <v>76</v>
      </c>
      <c r="J28" s="81" t="s">
        <v>53</v>
      </c>
      <c r="K28" s="27">
        <v>50</v>
      </c>
      <c r="L28" s="27">
        <v>0</v>
      </c>
      <c r="M28" s="27">
        <v>0</v>
      </c>
      <c r="N28" s="27">
        <v>0</v>
      </c>
      <c r="O28" s="27">
        <v>0</v>
      </c>
      <c r="P28" s="27">
        <v>1</v>
      </c>
      <c r="Q28" s="27">
        <v>15</v>
      </c>
      <c r="R28" s="27">
        <v>1</v>
      </c>
      <c r="S28" s="27">
        <v>35</v>
      </c>
      <c r="T28" s="28">
        <f t="shared" si="0"/>
        <v>50</v>
      </c>
      <c r="U28" s="27">
        <f t="shared" si="1"/>
        <v>0</v>
      </c>
      <c r="V28" s="39"/>
      <c r="W28" s="40"/>
    </row>
    <row r="29" spans="1:23" ht="31.5" customHeight="1" outlineLevel="1" thickBot="1" x14ac:dyDescent="0.3">
      <c r="A29" s="116"/>
      <c r="B29" s="87" t="s">
        <v>100</v>
      </c>
      <c r="C29" s="100" t="s">
        <v>164</v>
      </c>
      <c r="D29" s="100" t="s">
        <v>164</v>
      </c>
      <c r="E29" s="100" t="s">
        <v>165</v>
      </c>
      <c r="F29" s="100" t="s">
        <v>56</v>
      </c>
      <c r="G29" s="81" t="s">
        <v>166</v>
      </c>
      <c r="H29" s="101" t="s">
        <v>106</v>
      </c>
      <c r="I29" s="81" t="s">
        <v>86</v>
      </c>
      <c r="J29" s="81" t="s">
        <v>53</v>
      </c>
      <c r="K29" s="27">
        <v>75</v>
      </c>
      <c r="L29" s="27">
        <v>0</v>
      </c>
      <c r="M29" s="27">
        <v>0</v>
      </c>
      <c r="N29" s="27">
        <v>1</v>
      </c>
      <c r="O29" s="27">
        <v>13</v>
      </c>
      <c r="P29" s="27">
        <v>1</v>
      </c>
      <c r="Q29" s="27">
        <v>23</v>
      </c>
      <c r="R29" s="27">
        <v>1</v>
      </c>
      <c r="S29" s="27">
        <v>28</v>
      </c>
      <c r="T29" s="28">
        <f t="shared" si="0"/>
        <v>64</v>
      </c>
      <c r="U29" s="27">
        <f t="shared" si="1"/>
        <v>11</v>
      </c>
      <c r="V29" s="39"/>
      <c r="W29" s="40"/>
    </row>
    <row r="30" spans="1:23" ht="31.5" customHeight="1" outlineLevel="1" thickBot="1" x14ac:dyDescent="0.3">
      <c r="A30" s="116"/>
      <c r="B30" s="87" t="s">
        <v>153</v>
      </c>
      <c r="C30" s="100" t="s">
        <v>167</v>
      </c>
      <c r="D30" s="100" t="s">
        <v>168</v>
      </c>
      <c r="E30" s="100" t="s">
        <v>169</v>
      </c>
      <c r="F30" s="100" t="s">
        <v>170</v>
      </c>
      <c r="G30" s="81" t="s">
        <v>171</v>
      </c>
      <c r="H30" s="101" t="s">
        <v>46</v>
      </c>
      <c r="I30" s="81" t="s">
        <v>76</v>
      </c>
      <c r="J30" s="81" t="s">
        <v>53</v>
      </c>
      <c r="K30" s="27">
        <v>40</v>
      </c>
      <c r="L30" s="27">
        <v>0</v>
      </c>
      <c r="M30" s="27">
        <v>0</v>
      </c>
      <c r="N30" s="27">
        <v>0</v>
      </c>
      <c r="O30" s="27">
        <v>0</v>
      </c>
      <c r="P30" s="27">
        <v>1</v>
      </c>
      <c r="Q30" s="27">
        <v>20</v>
      </c>
      <c r="R30" s="27">
        <v>1</v>
      </c>
      <c r="S30" s="27">
        <v>20</v>
      </c>
      <c r="T30" s="28">
        <f t="shared" si="0"/>
        <v>40</v>
      </c>
      <c r="U30" s="27">
        <f t="shared" si="1"/>
        <v>0</v>
      </c>
      <c r="V30" s="44"/>
      <c r="W30" s="45"/>
    </row>
    <row r="31" spans="1:23" ht="31.5" customHeight="1" outlineLevel="1" thickBot="1" x14ac:dyDescent="0.3">
      <c r="A31" s="116"/>
      <c r="B31" s="87" t="s">
        <v>171</v>
      </c>
      <c r="C31" s="100" t="s">
        <v>172</v>
      </c>
      <c r="D31" s="100" t="s">
        <v>173</v>
      </c>
      <c r="E31" s="100" t="s">
        <v>174</v>
      </c>
      <c r="F31" s="100" t="s">
        <v>175</v>
      </c>
      <c r="G31" s="81" t="s">
        <v>176</v>
      </c>
      <c r="H31" s="101" t="s">
        <v>85</v>
      </c>
      <c r="I31" s="81" t="s">
        <v>52</v>
      </c>
      <c r="J31" s="81" t="s">
        <v>53</v>
      </c>
      <c r="K31" s="27">
        <v>140</v>
      </c>
      <c r="L31" s="27">
        <v>1</v>
      </c>
      <c r="M31" s="27">
        <v>12</v>
      </c>
      <c r="N31" s="27"/>
      <c r="O31" s="27">
        <v>42</v>
      </c>
      <c r="P31" s="27"/>
      <c r="Q31" s="27">
        <v>44</v>
      </c>
      <c r="R31" s="27"/>
      <c r="S31" s="27">
        <v>43</v>
      </c>
      <c r="T31" s="28">
        <f t="shared" si="0"/>
        <v>141</v>
      </c>
      <c r="U31" s="27">
        <f t="shared" si="1"/>
        <v>-3</v>
      </c>
      <c r="V31" s="54"/>
      <c r="W31" s="40">
        <v>2</v>
      </c>
    </row>
    <row r="32" spans="1:23" ht="31.5" customHeight="1" outlineLevel="1" thickBot="1" x14ac:dyDescent="0.3">
      <c r="A32" s="116"/>
      <c r="B32" s="87" t="s">
        <v>57</v>
      </c>
      <c r="C32" s="100" t="s">
        <v>126</v>
      </c>
      <c r="D32" s="100" t="s">
        <v>177</v>
      </c>
      <c r="E32" s="100" t="s">
        <v>178</v>
      </c>
      <c r="F32" s="100" t="s">
        <v>179</v>
      </c>
      <c r="G32" s="81" t="s">
        <v>180</v>
      </c>
      <c r="H32" s="101" t="s">
        <v>181</v>
      </c>
      <c r="I32" s="81" t="s">
        <v>76</v>
      </c>
      <c r="J32" s="81" t="s">
        <v>53</v>
      </c>
      <c r="K32" s="27">
        <v>86</v>
      </c>
      <c r="L32" s="27">
        <v>0</v>
      </c>
      <c r="M32" s="27">
        <v>0</v>
      </c>
      <c r="N32" s="27">
        <v>0</v>
      </c>
      <c r="O32" s="27">
        <v>0</v>
      </c>
      <c r="P32" s="27">
        <v>2</v>
      </c>
      <c r="Q32" s="27">
        <v>40</v>
      </c>
      <c r="R32" s="27">
        <v>2</v>
      </c>
      <c r="S32" s="27">
        <v>44</v>
      </c>
      <c r="T32" s="28">
        <f t="shared" si="0"/>
        <v>84</v>
      </c>
      <c r="U32" s="27">
        <f t="shared" si="1"/>
        <v>1</v>
      </c>
      <c r="V32" s="39"/>
      <c r="W32" s="40">
        <v>1</v>
      </c>
    </row>
    <row r="33" spans="1:24" ht="31.5" customHeight="1" outlineLevel="1" thickBot="1" x14ac:dyDescent="0.3">
      <c r="A33" s="116"/>
      <c r="B33" s="87" t="s">
        <v>180</v>
      </c>
      <c r="C33" s="100" t="s">
        <v>182</v>
      </c>
      <c r="D33" s="100" t="s">
        <v>182</v>
      </c>
      <c r="E33" s="100" t="s">
        <v>183</v>
      </c>
      <c r="F33" s="100" t="s">
        <v>184</v>
      </c>
      <c r="G33" s="81" t="s">
        <v>138</v>
      </c>
      <c r="H33" s="101" t="s">
        <v>28</v>
      </c>
      <c r="I33" s="81" t="s">
        <v>76</v>
      </c>
      <c r="J33" s="81" t="s">
        <v>53</v>
      </c>
      <c r="K33" s="27">
        <v>50</v>
      </c>
      <c r="L33" s="27"/>
      <c r="M33" s="27"/>
      <c r="N33" s="27"/>
      <c r="O33" s="27"/>
      <c r="P33" s="27"/>
      <c r="Q33" s="27">
        <v>9</v>
      </c>
      <c r="R33" s="27"/>
      <c r="S33" s="27">
        <v>31</v>
      </c>
      <c r="T33" s="28">
        <f t="shared" si="0"/>
        <v>40</v>
      </c>
      <c r="U33" s="27">
        <f t="shared" si="1"/>
        <v>10</v>
      </c>
      <c r="V33" s="39"/>
      <c r="W33" s="40"/>
      <c r="X33" s="36"/>
    </row>
    <row r="34" spans="1:24" ht="31.5" customHeight="1" outlineLevel="1" thickBot="1" x14ac:dyDescent="0.3">
      <c r="A34" s="116"/>
      <c r="B34" s="87" t="s">
        <v>130</v>
      </c>
      <c r="C34" s="100" t="s">
        <v>185</v>
      </c>
      <c r="D34" s="100" t="s">
        <v>185</v>
      </c>
      <c r="E34" s="100" t="s">
        <v>186</v>
      </c>
      <c r="F34" s="100" t="s">
        <v>116</v>
      </c>
      <c r="G34" s="81" t="s">
        <v>149</v>
      </c>
      <c r="H34" s="101" t="s">
        <v>124</v>
      </c>
      <c r="I34" s="81" t="s">
        <v>86</v>
      </c>
      <c r="J34" s="81" t="s">
        <v>53</v>
      </c>
      <c r="K34" s="27">
        <v>60</v>
      </c>
      <c r="L34" s="27"/>
      <c r="M34" s="27"/>
      <c r="N34" s="27">
        <v>1</v>
      </c>
      <c r="O34" s="27">
        <v>19</v>
      </c>
      <c r="P34" s="27">
        <v>1</v>
      </c>
      <c r="Q34" s="27">
        <v>22</v>
      </c>
      <c r="R34" s="27">
        <v>1</v>
      </c>
      <c r="S34" s="27">
        <v>19</v>
      </c>
      <c r="T34" s="28">
        <f t="shared" si="0"/>
        <v>60</v>
      </c>
      <c r="U34" s="27">
        <f t="shared" si="1"/>
        <v>0</v>
      </c>
      <c r="V34" s="39"/>
      <c r="W34" s="40"/>
    </row>
    <row r="35" spans="1:24" ht="31.5" customHeight="1" outlineLevel="1" thickBot="1" x14ac:dyDescent="0.3">
      <c r="A35" s="116"/>
      <c r="B35" s="87" t="s">
        <v>123</v>
      </c>
      <c r="C35" s="100" t="s">
        <v>187</v>
      </c>
      <c r="D35" s="100" t="s">
        <v>188</v>
      </c>
      <c r="E35" s="100" t="s">
        <v>189</v>
      </c>
      <c r="F35" s="100" t="s">
        <v>50</v>
      </c>
      <c r="G35" s="81" t="s">
        <v>154</v>
      </c>
      <c r="H35" s="101" t="s">
        <v>171</v>
      </c>
      <c r="I35" s="81" t="s">
        <v>190</v>
      </c>
      <c r="J35" s="81" t="s">
        <v>53</v>
      </c>
      <c r="K35" s="27">
        <v>24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1</v>
      </c>
      <c r="S35" s="27">
        <v>24</v>
      </c>
      <c r="T35" s="28">
        <f t="shared" si="0"/>
        <v>24</v>
      </c>
      <c r="U35" s="27">
        <f t="shared" si="1"/>
        <v>0</v>
      </c>
      <c r="V35" s="39"/>
      <c r="W35" s="40"/>
    </row>
    <row r="36" spans="1:24" ht="31.5" customHeight="1" outlineLevel="1" thickBot="1" x14ac:dyDescent="0.3">
      <c r="A36" s="116"/>
      <c r="B36" s="87" t="s">
        <v>176</v>
      </c>
      <c r="C36" s="100" t="s">
        <v>191</v>
      </c>
      <c r="D36" s="100" t="s">
        <v>191</v>
      </c>
      <c r="E36" s="100" t="s">
        <v>192</v>
      </c>
      <c r="F36" s="100" t="s">
        <v>116</v>
      </c>
      <c r="G36" s="81" t="s">
        <v>193</v>
      </c>
      <c r="H36" s="101" t="s">
        <v>81</v>
      </c>
      <c r="I36" s="81" t="s">
        <v>76</v>
      </c>
      <c r="J36" s="81" t="s">
        <v>53</v>
      </c>
      <c r="K36" s="27">
        <v>72</v>
      </c>
      <c r="L36" s="27"/>
      <c r="M36" s="27"/>
      <c r="N36" s="27"/>
      <c r="O36" s="27"/>
      <c r="P36" s="27">
        <v>1</v>
      </c>
      <c r="Q36" s="27">
        <v>24</v>
      </c>
      <c r="R36" s="27">
        <v>2</v>
      </c>
      <c r="S36" s="27">
        <v>48</v>
      </c>
      <c r="T36" s="28">
        <f t="shared" si="0"/>
        <v>72</v>
      </c>
      <c r="U36" s="27">
        <f t="shared" si="1"/>
        <v>0</v>
      </c>
      <c r="V36" s="39"/>
      <c r="W36" s="40"/>
    </row>
    <row r="37" spans="1:24" ht="31.5" customHeight="1" outlineLevel="1" thickBot="1" x14ac:dyDescent="0.3">
      <c r="A37" s="116"/>
      <c r="B37" s="87" t="s">
        <v>75</v>
      </c>
      <c r="C37" s="100" t="s">
        <v>194</v>
      </c>
      <c r="D37" s="100" t="s">
        <v>194</v>
      </c>
      <c r="E37" s="100" t="s">
        <v>195</v>
      </c>
      <c r="F37" s="100" t="s">
        <v>196</v>
      </c>
      <c r="G37" s="81" t="s">
        <v>197</v>
      </c>
      <c r="H37" s="101" t="s">
        <v>198</v>
      </c>
      <c r="I37" s="81" t="s">
        <v>76</v>
      </c>
      <c r="J37" s="81" t="s">
        <v>53</v>
      </c>
      <c r="K37" s="27">
        <v>96</v>
      </c>
      <c r="L37" s="27"/>
      <c r="M37" s="27"/>
      <c r="N37" s="27"/>
      <c r="O37" s="27"/>
      <c r="P37" s="27"/>
      <c r="Q37" s="27">
        <v>48</v>
      </c>
      <c r="R37" s="27"/>
      <c r="S37" s="27">
        <v>47</v>
      </c>
      <c r="T37" s="28">
        <f t="shared" si="0"/>
        <v>95</v>
      </c>
      <c r="U37" s="27">
        <f t="shared" si="1"/>
        <v>0</v>
      </c>
      <c r="V37" s="39"/>
      <c r="W37" s="40">
        <v>1</v>
      </c>
    </row>
    <row r="38" spans="1:24" ht="31.5" customHeight="1" outlineLevel="1" thickBot="1" x14ac:dyDescent="0.3">
      <c r="A38" s="116"/>
      <c r="B38" s="87" t="s">
        <v>199</v>
      </c>
      <c r="C38" s="100" t="s">
        <v>200</v>
      </c>
      <c r="D38" s="100" t="s">
        <v>200</v>
      </c>
      <c r="E38" s="100" t="s">
        <v>201</v>
      </c>
      <c r="F38" s="100" t="s">
        <v>202</v>
      </c>
      <c r="G38" s="81" t="s">
        <v>203</v>
      </c>
      <c r="H38" s="101" t="s">
        <v>204</v>
      </c>
      <c r="I38" s="81" t="s">
        <v>86</v>
      </c>
      <c r="J38" s="81" t="s">
        <v>53</v>
      </c>
      <c r="K38" s="27">
        <v>70</v>
      </c>
      <c r="L38" s="27">
        <v>0</v>
      </c>
      <c r="M38" s="27">
        <v>0</v>
      </c>
      <c r="N38" s="27">
        <v>1</v>
      </c>
      <c r="O38" s="27">
        <v>18</v>
      </c>
      <c r="P38" s="27">
        <v>2</v>
      </c>
      <c r="Q38" s="27">
        <v>29</v>
      </c>
      <c r="R38" s="27">
        <v>1</v>
      </c>
      <c r="S38" s="27">
        <v>23</v>
      </c>
      <c r="T38" s="28">
        <f t="shared" si="0"/>
        <v>70</v>
      </c>
      <c r="U38" s="27">
        <f t="shared" si="1"/>
        <v>0</v>
      </c>
      <c r="V38" s="39"/>
      <c r="W38" s="40"/>
    </row>
    <row r="39" spans="1:24" ht="31.5" customHeight="1" outlineLevel="1" thickBot="1" x14ac:dyDescent="0.3">
      <c r="A39" s="116"/>
      <c r="B39" s="87" t="s">
        <v>163</v>
      </c>
      <c r="C39" s="100" t="s">
        <v>205</v>
      </c>
      <c r="D39" s="100" t="s">
        <v>205</v>
      </c>
      <c r="E39" s="100" t="s">
        <v>206</v>
      </c>
      <c r="F39" s="100" t="s">
        <v>56</v>
      </c>
      <c r="G39" s="81" t="s">
        <v>207</v>
      </c>
      <c r="H39" s="101" t="s">
        <v>92</v>
      </c>
      <c r="I39" s="81" t="s">
        <v>52</v>
      </c>
      <c r="J39" s="81" t="s">
        <v>53</v>
      </c>
      <c r="K39" s="27">
        <v>65</v>
      </c>
      <c r="L39" s="27">
        <v>1</v>
      </c>
      <c r="M39" s="27">
        <v>12</v>
      </c>
      <c r="N39" s="27">
        <v>1</v>
      </c>
      <c r="O39" s="27">
        <v>18</v>
      </c>
      <c r="P39" s="27">
        <v>1</v>
      </c>
      <c r="Q39" s="27">
        <v>15</v>
      </c>
      <c r="R39" s="27">
        <v>1</v>
      </c>
      <c r="S39" s="27">
        <v>20</v>
      </c>
      <c r="T39" s="28">
        <f t="shared" si="0"/>
        <v>65</v>
      </c>
      <c r="U39" s="27">
        <f t="shared" si="1"/>
        <v>0</v>
      </c>
      <c r="V39" s="46"/>
      <c r="W39" s="47"/>
    </row>
    <row r="40" spans="1:24" ht="31.5" customHeight="1" outlineLevel="1" thickBot="1" x14ac:dyDescent="0.3">
      <c r="A40" s="116"/>
      <c r="B40" s="87" t="s">
        <v>67</v>
      </c>
      <c r="C40" s="100" t="s">
        <v>208</v>
      </c>
      <c r="D40" s="100" t="s">
        <v>208</v>
      </c>
      <c r="E40" s="100" t="s">
        <v>209</v>
      </c>
      <c r="F40" s="100" t="s">
        <v>210</v>
      </c>
      <c r="G40" s="81" t="s">
        <v>199</v>
      </c>
      <c r="H40" s="101" t="s">
        <v>28</v>
      </c>
      <c r="I40" s="81" t="s">
        <v>52</v>
      </c>
      <c r="J40" s="81" t="s">
        <v>53</v>
      </c>
      <c r="K40" s="27">
        <v>50</v>
      </c>
      <c r="L40" s="27">
        <v>0</v>
      </c>
      <c r="M40" s="27">
        <v>0</v>
      </c>
      <c r="N40" s="27">
        <v>1</v>
      </c>
      <c r="O40" s="27">
        <v>4</v>
      </c>
      <c r="P40" s="27">
        <v>1</v>
      </c>
      <c r="Q40" s="27">
        <v>13</v>
      </c>
      <c r="R40" s="27">
        <v>1</v>
      </c>
      <c r="S40" s="27">
        <v>15</v>
      </c>
      <c r="T40" s="28">
        <f t="shared" si="0"/>
        <v>32</v>
      </c>
      <c r="U40" s="27">
        <f t="shared" si="1"/>
        <v>18</v>
      </c>
      <c r="V40" s="39"/>
      <c r="W40" s="40"/>
    </row>
    <row r="41" spans="1:24" ht="31.5" customHeight="1" outlineLevel="1" thickBot="1" x14ac:dyDescent="0.3">
      <c r="A41" s="116"/>
      <c r="B41" s="87" t="s">
        <v>211</v>
      </c>
      <c r="C41" s="100" t="s">
        <v>212</v>
      </c>
      <c r="D41" s="100" t="s">
        <v>213</v>
      </c>
      <c r="E41" s="100" t="s">
        <v>214</v>
      </c>
      <c r="F41" s="100" t="s">
        <v>170</v>
      </c>
      <c r="G41" s="81" t="s">
        <v>131</v>
      </c>
      <c r="H41" s="101" t="s">
        <v>81</v>
      </c>
      <c r="I41" s="81" t="s">
        <v>76</v>
      </c>
      <c r="J41" s="81" t="s">
        <v>53</v>
      </c>
      <c r="K41" s="27">
        <v>72</v>
      </c>
      <c r="L41" s="27"/>
      <c r="M41" s="27"/>
      <c r="N41" s="27"/>
      <c r="O41" s="27"/>
      <c r="P41" s="27"/>
      <c r="Q41" s="27">
        <v>24</v>
      </c>
      <c r="R41" s="27"/>
      <c r="S41" s="27">
        <v>48</v>
      </c>
      <c r="T41" s="28">
        <f t="shared" si="0"/>
        <v>72</v>
      </c>
      <c r="U41" s="27">
        <f t="shared" si="1"/>
        <v>0</v>
      </c>
      <c r="V41" s="39"/>
      <c r="W41" s="40"/>
      <c r="X41" s="36"/>
    </row>
    <row r="42" spans="1:24" ht="31.5" customHeight="1" outlineLevel="1" thickBot="1" x14ac:dyDescent="0.3">
      <c r="A42" s="116"/>
      <c r="B42" s="87" t="s">
        <v>215</v>
      </c>
      <c r="C42" s="100" t="s">
        <v>126</v>
      </c>
      <c r="D42" s="100" t="s">
        <v>216</v>
      </c>
      <c r="E42" s="100" t="s">
        <v>217</v>
      </c>
      <c r="F42" s="100" t="s">
        <v>218</v>
      </c>
      <c r="G42" s="81" t="s">
        <v>219</v>
      </c>
      <c r="H42" s="101" t="s">
        <v>220</v>
      </c>
      <c r="I42" s="81" t="s">
        <v>86</v>
      </c>
      <c r="J42" s="81" t="s">
        <v>53</v>
      </c>
      <c r="K42" s="27">
        <v>90</v>
      </c>
      <c r="L42" s="27">
        <v>0</v>
      </c>
      <c r="M42" s="27">
        <v>0</v>
      </c>
      <c r="N42" s="27">
        <v>1</v>
      </c>
      <c r="O42" s="27">
        <v>18</v>
      </c>
      <c r="P42" s="27">
        <v>1</v>
      </c>
      <c r="Q42" s="27">
        <v>21</v>
      </c>
      <c r="R42" s="27">
        <v>1</v>
      </c>
      <c r="S42" s="27">
        <v>35</v>
      </c>
      <c r="T42" s="28">
        <f t="shared" si="0"/>
        <v>74</v>
      </c>
      <c r="U42" s="27">
        <f t="shared" si="1"/>
        <v>14</v>
      </c>
      <c r="V42" s="46"/>
      <c r="W42" s="47">
        <v>2</v>
      </c>
    </row>
    <row r="43" spans="1:24" ht="31.5" customHeight="1" outlineLevel="1" thickBot="1" x14ac:dyDescent="0.3">
      <c r="A43" s="116"/>
      <c r="B43" s="87" t="s">
        <v>62</v>
      </c>
      <c r="C43" s="80" t="s">
        <v>221</v>
      </c>
      <c r="D43" s="80" t="s">
        <v>221</v>
      </c>
      <c r="E43" s="80" t="s">
        <v>222</v>
      </c>
      <c r="F43" s="80" t="s">
        <v>61</v>
      </c>
      <c r="G43" s="81" t="s">
        <v>223</v>
      </c>
      <c r="H43" s="101" t="s">
        <v>124</v>
      </c>
      <c r="I43" s="81" t="s">
        <v>86</v>
      </c>
      <c r="J43" s="81" t="s">
        <v>53</v>
      </c>
      <c r="K43" s="27">
        <v>60</v>
      </c>
      <c r="L43" s="27">
        <v>0</v>
      </c>
      <c r="M43" s="27">
        <v>0</v>
      </c>
      <c r="N43" s="27">
        <v>1</v>
      </c>
      <c r="O43" s="27">
        <v>17</v>
      </c>
      <c r="P43" s="27">
        <v>1</v>
      </c>
      <c r="Q43" s="27">
        <v>20</v>
      </c>
      <c r="R43" s="27">
        <v>1</v>
      </c>
      <c r="S43" s="27">
        <v>17</v>
      </c>
      <c r="T43" s="28">
        <f t="shared" si="0"/>
        <v>54</v>
      </c>
      <c r="U43" s="27">
        <f t="shared" si="1"/>
        <v>6</v>
      </c>
      <c r="V43" s="54"/>
      <c r="W43" s="40"/>
    </row>
    <row r="44" spans="1:24" ht="31.5" customHeight="1" outlineLevel="1" thickBot="1" x14ac:dyDescent="0.3">
      <c r="A44" s="116"/>
      <c r="B44" s="87" t="s">
        <v>84</v>
      </c>
      <c r="C44" s="100" t="s">
        <v>224</v>
      </c>
      <c r="D44" s="100" t="s">
        <v>224</v>
      </c>
      <c r="E44" s="100" t="s">
        <v>225</v>
      </c>
      <c r="F44" s="100" t="s">
        <v>56</v>
      </c>
      <c r="G44" s="81" t="s">
        <v>70</v>
      </c>
      <c r="H44" s="101" t="s">
        <v>226</v>
      </c>
      <c r="I44" s="81" t="s">
        <v>52</v>
      </c>
      <c r="J44" s="81" t="s">
        <v>227</v>
      </c>
      <c r="K44" s="27">
        <v>89</v>
      </c>
      <c r="L44" s="27">
        <v>1</v>
      </c>
      <c r="M44" s="27">
        <v>9</v>
      </c>
      <c r="N44" s="27">
        <v>1</v>
      </c>
      <c r="O44" s="27">
        <v>24</v>
      </c>
      <c r="P44" s="27"/>
      <c r="Q44" s="27">
        <v>40</v>
      </c>
      <c r="R44" s="27">
        <v>1</v>
      </c>
      <c r="S44" s="27">
        <v>17</v>
      </c>
      <c r="T44" s="28">
        <f t="shared" si="0"/>
        <v>90</v>
      </c>
      <c r="U44" s="27">
        <f t="shared" si="1"/>
        <v>-1</v>
      </c>
      <c r="V44" s="39"/>
      <c r="W44" s="40"/>
    </row>
    <row r="45" spans="1:24" ht="31.5" customHeight="1" outlineLevel="1" thickBot="1" x14ac:dyDescent="0.3">
      <c r="A45" s="116"/>
      <c r="B45" s="87" t="s">
        <v>95</v>
      </c>
      <c r="C45" s="100" t="s">
        <v>228</v>
      </c>
      <c r="D45" s="100" t="s">
        <v>228</v>
      </c>
      <c r="E45" s="100" t="s">
        <v>229</v>
      </c>
      <c r="F45" s="100" t="s">
        <v>196</v>
      </c>
      <c r="G45" s="81" t="s">
        <v>211</v>
      </c>
      <c r="H45" s="101" t="s">
        <v>230</v>
      </c>
      <c r="I45" s="81" t="s">
        <v>76</v>
      </c>
      <c r="J45" s="81" t="s">
        <v>53</v>
      </c>
      <c r="K45" s="27">
        <v>80</v>
      </c>
      <c r="L45" s="27">
        <v>0</v>
      </c>
      <c r="M45" s="27">
        <v>0</v>
      </c>
      <c r="N45" s="27">
        <v>0</v>
      </c>
      <c r="O45" s="27">
        <v>0</v>
      </c>
      <c r="P45" s="27">
        <v>2</v>
      </c>
      <c r="Q45" s="27">
        <v>44</v>
      </c>
      <c r="R45" s="27">
        <v>2</v>
      </c>
      <c r="S45" s="27">
        <v>32</v>
      </c>
      <c r="T45" s="28">
        <f t="shared" si="0"/>
        <v>76</v>
      </c>
      <c r="U45" s="27">
        <f t="shared" si="1"/>
        <v>4</v>
      </c>
      <c r="V45" s="44"/>
      <c r="W45" s="45"/>
    </row>
    <row r="46" spans="1:24" ht="31.5" customHeight="1" outlineLevel="1" thickBot="1" x14ac:dyDescent="0.3">
      <c r="A46" s="116"/>
      <c r="B46" s="87" t="s">
        <v>143</v>
      </c>
      <c r="C46" s="100" t="s">
        <v>231</v>
      </c>
      <c r="D46" s="100" t="s">
        <v>231</v>
      </c>
      <c r="E46" s="100" t="s">
        <v>232</v>
      </c>
      <c r="F46" s="100" t="s">
        <v>158</v>
      </c>
      <c r="G46" s="81" t="s">
        <v>28</v>
      </c>
      <c r="H46" s="101" t="s">
        <v>138</v>
      </c>
      <c r="I46" s="81" t="s">
        <v>76</v>
      </c>
      <c r="J46" s="81" t="s">
        <v>53</v>
      </c>
      <c r="K46" s="27">
        <v>45</v>
      </c>
      <c r="L46" s="27">
        <v>0</v>
      </c>
      <c r="M46" s="27">
        <v>0</v>
      </c>
      <c r="N46" s="27">
        <v>1</v>
      </c>
      <c r="O46" s="27">
        <v>10</v>
      </c>
      <c r="P46" s="27">
        <v>1</v>
      </c>
      <c r="Q46" s="27">
        <v>17</v>
      </c>
      <c r="R46" s="27">
        <v>1</v>
      </c>
      <c r="S46" s="27">
        <v>18</v>
      </c>
      <c r="T46" s="28">
        <f t="shared" si="0"/>
        <v>45</v>
      </c>
      <c r="U46" s="27">
        <f t="shared" si="1"/>
        <v>0</v>
      </c>
      <c r="V46" s="39"/>
      <c r="W46" s="40"/>
    </row>
    <row r="47" spans="1:24" ht="31.5" customHeight="1" outlineLevel="1" thickBot="1" x14ac:dyDescent="0.3">
      <c r="A47" s="116"/>
      <c r="B47" s="87" t="s">
        <v>46</v>
      </c>
      <c r="C47" s="100" t="s">
        <v>233</v>
      </c>
      <c r="D47" s="100" t="s">
        <v>234</v>
      </c>
      <c r="E47" s="100" t="s">
        <v>235</v>
      </c>
      <c r="F47" s="100" t="s">
        <v>175</v>
      </c>
      <c r="G47" s="81" t="s">
        <v>77</v>
      </c>
      <c r="H47" s="101" t="s">
        <v>230</v>
      </c>
      <c r="I47" s="81" t="s">
        <v>76</v>
      </c>
      <c r="J47" s="81" t="s">
        <v>227</v>
      </c>
      <c r="K47" s="27">
        <v>80</v>
      </c>
      <c r="L47" s="27"/>
      <c r="M47" s="27"/>
      <c r="N47" s="27"/>
      <c r="O47" s="27"/>
      <c r="P47" s="27"/>
      <c r="Q47" s="27">
        <v>51</v>
      </c>
      <c r="R47" s="27"/>
      <c r="S47" s="27">
        <v>29</v>
      </c>
      <c r="T47" s="28">
        <f t="shared" si="0"/>
        <v>80</v>
      </c>
      <c r="U47" s="27">
        <f t="shared" si="1"/>
        <v>0</v>
      </c>
      <c r="V47" s="39"/>
      <c r="W47" s="40"/>
    </row>
    <row r="48" spans="1:24" ht="31.5" customHeight="1" outlineLevel="1" thickBot="1" x14ac:dyDescent="0.3">
      <c r="A48" s="116"/>
      <c r="B48" s="87" t="s">
        <v>159</v>
      </c>
      <c r="C48" s="100" t="s">
        <v>236</v>
      </c>
      <c r="D48" s="100" t="s">
        <v>237</v>
      </c>
      <c r="E48" s="100" t="s">
        <v>238</v>
      </c>
      <c r="F48" s="100" t="s">
        <v>239</v>
      </c>
      <c r="G48" s="81" t="s">
        <v>240</v>
      </c>
      <c r="H48" s="101" t="s">
        <v>46</v>
      </c>
      <c r="I48" s="81" t="s">
        <v>76</v>
      </c>
      <c r="J48" s="81" t="s">
        <v>53</v>
      </c>
      <c r="K48" s="27">
        <v>40</v>
      </c>
      <c r="L48" s="27">
        <v>0</v>
      </c>
      <c r="M48" s="27">
        <v>0</v>
      </c>
      <c r="N48" s="27">
        <v>0</v>
      </c>
      <c r="O48" s="27">
        <v>0</v>
      </c>
      <c r="P48" s="27">
        <v>1</v>
      </c>
      <c r="Q48" s="27">
        <v>15</v>
      </c>
      <c r="R48" s="27">
        <v>1</v>
      </c>
      <c r="S48" s="27">
        <v>24</v>
      </c>
      <c r="T48" s="28">
        <f t="shared" si="0"/>
        <v>39</v>
      </c>
      <c r="U48" s="27">
        <f t="shared" si="1"/>
        <v>1</v>
      </c>
      <c r="V48" s="39"/>
      <c r="W48" s="40"/>
      <c r="X48" s="36"/>
    </row>
    <row r="49" spans="1:25" ht="31.5" customHeight="1" outlineLevel="1" thickBot="1" x14ac:dyDescent="0.3">
      <c r="A49" s="116"/>
      <c r="B49" s="55" t="s">
        <v>131</v>
      </c>
      <c r="C49" s="65" t="s">
        <v>241</v>
      </c>
      <c r="D49" s="65" t="s">
        <v>241</v>
      </c>
      <c r="E49" s="65" t="s">
        <v>242</v>
      </c>
      <c r="F49" s="65" t="s">
        <v>196</v>
      </c>
      <c r="G49" s="64" t="s">
        <v>215</v>
      </c>
      <c r="H49" s="66" t="s">
        <v>85</v>
      </c>
      <c r="I49" s="64" t="s">
        <v>52</v>
      </c>
      <c r="J49" s="64" t="s">
        <v>53</v>
      </c>
      <c r="K49" s="56">
        <v>140</v>
      </c>
      <c r="L49" s="56"/>
      <c r="M49" s="56"/>
      <c r="N49" s="56"/>
      <c r="O49" s="56">
        <v>44</v>
      </c>
      <c r="P49" s="56"/>
      <c r="Q49" s="56">
        <v>48</v>
      </c>
      <c r="R49" s="56"/>
      <c r="S49" s="56"/>
      <c r="T49" s="57">
        <f t="shared" si="0"/>
        <v>92</v>
      </c>
      <c r="U49" s="56">
        <f t="shared" si="1"/>
        <v>48</v>
      </c>
      <c r="V49" s="60"/>
      <c r="W49" s="68"/>
      <c r="X49" s="2"/>
      <c r="Y49" s="2" t="s">
        <v>832</v>
      </c>
    </row>
    <row r="50" spans="1:25" ht="31.5" customHeight="1" outlineLevel="1" thickBot="1" x14ac:dyDescent="0.3">
      <c r="A50" s="116"/>
      <c r="B50" s="87" t="s">
        <v>223</v>
      </c>
      <c r="C50" s="100" t="s">
        <v>243</v>
      </c>
      <c r="D50" s="100" t="s">
        <v>243</v>
      </c>
      <c r="E50" s="100" t="s">
        <v>244</v>
      </c>
      <c r="F50" s="100" t="s">
        <v>158</v>
      </c>
      <c r="G50" s="81" t="s">
        <v>245</v>
      </c>
      <c r="H50" s="101" t="s">
        <v>246</v>
      </c>
      <c r="I50" s="81" t="s">
        <v>86</v>
      </c>
      <c r="J50" s="81" t="s">
        <v>53</v>
      </c>
      <c r="K50" s="27">
        <v>110</v>
      </c>
      <c r="L50" s="27"/>
      <c r="M50" s="27"/>
      <c r="N50" s="27"/>
      <c r="O50" s="27">
        <v>20</v>
      </c>
      <c r="P50" s="27"/>
      <c r="Q50" s="27">
        <v>37</v>
      </c>
      <c r="R50" s="27"/>
      <c r="S50" s="27">
        <v>53</v>
      </c>
      <c r="T50" s="28">
        <f t="shared" si="0"/>
        <v>110</v>
      </c>
      <c r="U50" s="27">
        <f t="shared" si="1"/>
        <v>0</v>
      </c>
      <c r="V50" s="39"/>
      <c r="W50" s="40"/>
    </row>
    <row r="51" spans="1:25" ht="31.5" customHeight="1" outlineLevel="1" thickBot="1" x14ac:dyDescent="0.3">
      <c r="A51" s="116"/>
      <c r="B51" s="87" t="s">
        <v>203</v>
      </c>
      <c r="C51" s="100" t="s">
        <v>247</v>
      </c>
      <c r="D51" s="100" t="s">
        <v>248</v>
      </c>
      <c r="E51" s="100" t="s">
        <v>249</v>
      </c>
      <c r="F51" s="100" t="s">
        <v>250</v>
      </c>
      <c r="G51" s="81" t="s">
        <v>45</v>
      </c>
      <c r="H51" s="101" t="s">
        <v>96</v>
      </c>
      <c r="I51" s="81" t="s">
        <v>52</v>
      </c>
      <c r="J51" s="81" t="s">
        <v>251</v>
      </c>
      <c r="K51" s="27">
        <v>100</v>
      </c>
      <c r="L51" s="27">
        <v>1</v>
      </c>
      <c r="M51" s="27">
        <v>10</v>
      </c>
      <c r="N51" s="27">
        <v>1</v>
      </c>
      <c r="O51" s="27">
        <v>15</v>
      </c>
      <c r="P51" s="27">
        <v>2</v>
      </c>
      <c r="Q51" s="27">
        <v>27</v>
      </c>
      <c r="R51" s="27">
        <v>3</v>
      </c>
      <c r="S51" s="27">
        <v>36</v>
      </c>
      <c r="T51" s="28">
        <f t="shared" si="0"/>
        <v>88</v>
      </c>
      <c r="U51" s="27">
        <f t="shared" si="1"/>
        <v>12</v>
      </c>
      <c r="V51" s="39"/>
      <c r="W51" s="40"/>
      <c r="X51" s="36"/>
    </row>
    <row r="52" spans="1:25" ht="31.5" customHeight="1" outlineLevel="1" thickBot="1" x14ac:dyDescent="0.3">
      <c r="A52" s="116"/>
      <c r="B52" s="87" t="s">
        <v>138</v>
      </c>
      <c r="C52" s="100" t="s">
        <v>252</v>
      </c>
      <c r="D52" s="100" t="s">
        <v>252</v>
      </c>
      <c r="E52" s="100" t="s">
        <v>253</v>
      </c>
      <c r="F52" s="100" t="s">
        <v>56</v>
      </c>
      <c r="G52" s="81" t="s">
        <v>97</v>
      </c>
      <c r="H52" s="101" t="s">
        <v>106</v>
      </c>
      <c r="I52" s="81" t="s">
        <v>52</v>
      </c>
      <c r="J52" s="81" t="s">
        <v>251</v>
      </c>
      <c r="K52" s="27">
        <v>75</v>
      </c>
      <c r="L52" s="27">
        <v>1</v>
      </c>
      <c r="M52" s="27">
        <v>13</v>
      </c>
      <c r="N52" s="27">
        <v>1</v>
      </c>
      <c r="O52" s="27">
        <v>18</v>
      </c>
      <c r="P52" s="27">
        <v>1</v>
      </c>
      <c r="Q52" s="27">
        <v>22</v>
      </c>
      <c r="R52" s="27">
        <v>1</v>
      </c>
      <c r="S52" s="27">
        <v>13</v>
      </c>
      <c r="T52" s="28">
        <f t="shared" si="0"/>
        <v>66</v>
      </c>
      <c r="U52" s="27">
        <f t="shared" si="1"/>
        <v>9</v>
      </c>
      <c r="V52" s="39"/>
      <c r="W52" s="40"/>
    </row>
    <row r="53" spans="1:25" ht="31.5" customHeight="1" outlineLevel="1" thickBot="1" x14ac:dyDescent="0.3">
      <c r="A53" s="116"/>
      <c r="B53" s="87" t="s">
        <v>197</v>
      </c>
      <c r="C53" s="100" t="s">
        <v>254</v>
      </c>
      <c r="D53" s="100" t="s">
        <v>255</v>
      </c>
      <c r="E53" s="100" t="s">
        <v>256</v>
      </c>
      <c r="F53" s="100" t="s">
        <v>61</v>
      </c>
      <c r="G53" s="81" t="s">
        <v>36</v>
      </c>
      <c r="H53" s="101" t="s">
        <v>198</v>
      </c>
      <c r="I53" s="81" t="s">
        <v>52</v>
      </c>
      <c r="J53" s="81" t="s">
        <v>227</v>
      </c>
      <c r="K53" s="27">
        <v>96</v>
      </c>
      <c r="L53" s="27">
        <v>1</v>
      </c>
      <c r="M53" s="27">
        <v>18</v>
      </c>
      <c r="N53" s="27">
        <v>1</v>
      </c>
      <c r="O53" s="27">
        <v>18</v>
      </c>
      <c r="P53" s="27">
        <v>1</v>
      </c>
      <c r="Q53" s="27">
        <v>29</v>
      </c>
      <c r="R53" s="27">
        <v>1</v>
      </c>
      <c r="S53" s="27">
        <v>26</v>
      </c>
      <c r="T53" s="28">
        <f t="shared" si="0"/>
        <v>91</v>
      </c>
      <c r="U53" s="27">
        <f t="shared" si="1"/>
        <v>5</v>
      </c>
      <c r="V53" s="54"/>
      <c r="W53" s="40"/>
    </row>
    <row r="54" spans="1:25" ht="31.5" customHeight="1" outlineLevel="1" thickBot="1" x14ac:dyDescent="0.3">
      <c r="A54" s="116"/>
      <c r="B54" s="87" t="s">
        <v>148</v>
      </c>
      <c r="C54" s="100" t="s">
        <v>257</v>
      </c>
      <c r="D54" s="100" t="s">
        <v>257</v>
      </c>
      <c r="E54" s="100" t="s">
        <v>258</v>
      </c>
      <c r="F54" s="100" t="s">
        <v>116</v>
      </c>
      <c r="G54" s="81" t="s">
        <v>259</v>
      </c>
      <c r="H54" s="106" t="s">
        <v>80</v>
      </c>
      <c r="I54" s="81" t="s">
        <v>29</v>
      </c>
      <c r="J54" s="81" t="s">
        <v>260</v>
      </c>
      <c r="K54" s="27">
        <v>55</v>
      </c>
      <c r="L54" s="27"/>
      <c r="M54" s="27"/>
      <c r="N54" s="27"/>
      <c r="O54" s="27"/>
      <c r="P54" s="27">
        <v>1</v>
      </c>
      <c r="Q54" s="27">
        <v>23</v>
      </c>
      <c r="R54" s="27">
        <v>1</v>
      </c>
      <c r="S54" s="27">
        <v>32</v>
      </c>
      <c r="T54" s="28">
        <f t="shared" si="0"/>
        <v>55</v>
      </c>
      <c r="U54" s="27">
        <f t="shared" si="1"/>
        <v>0</v>
      </c>
      <c r="V54" s="39"/>
      <c r="W54" s="40"/>
    </row>
    <row r="55" spans="1:25" ht="31.5" customHeight="1" outlineLevel="1" thickBot="1" x14ac:dyDescent="0.3">
      <c r="A55" s="116"/>
      <c r="B55" s="87" t="s">
        <v>193</v>
      </c>
      <c r="C55" s="100" t="s">
        <v>261</v>
      </c>
      <c r="D55" s="100" t="s">
        <v>262</v>
      </c>
      <c r="E55" s="100" t="s">
        <v>263</v>
      </c>
      <c r="F55" s="100" t="s">
        <v>264</v>
      </c>
      <c r="G55" s="81" t="s">
        <v>265</v>
      </c>
      <c r="H55" s="101" t="s">
        <v>266</v>
      </c>
      <c r="I55" s="81" t="s">
        <v>267</v>
      </c>
      <c r="J55" s="81" t="s">
        <v>260</v>
      </c>
      <c r="K55" s="27">
        <v>71</v>
      </c>
      <c r="L55" s="27"/>
      <c r="M55" s="27"/>
      <c r="N55" s="27">
        <v>1</v>
      </c>
      <c r="O55" s="27">
        <v>12</v>
      </c>
      <c r="P55" s="27">
        <v>1</v>
      </c>
      <c r="Q55" s="27">
        <v>23</v>
      </c>
      <c r="R55" s="27">
        <v>2</v>
      </c>
      <c r="S55" s="27">
        <v>39</v>
      </c>
      <c r="T55" s="28">
        <f t="shared" si="0"/>
        <v>74</v>
      </c>
      <c r="U55" s="27">
        <f t="shared" si="1"/>
        <v>-3</v>
      </c>
      <c r="V55" s="39"/>
      <c r="W55" s="40"/>
    </row>
    <row r="56" spans="1:25" ht="31.5" customHeight="1" outlineLevel="1" thickBot="1" x14ac:dyDescent="0.3">
      <c r="A56" s="116"/>
      <c r="B56" s="88" t="s">
        <v>219</v>
      </c>
      <c r="C56" s="102" t="s">
        <v>268</v>
      </c>
      <c r="D56" s="103" t="s">
        <v>269</v>
      </c>
      <c r="E56" s="103" t="s">
        <v>270</v>
      </c>
      <c r="F56" s="103" t="s">
        <v>136</v>
      </c>
      <c r="G56" s="85" t="s">
        <v>271</v>
      </c>
      <c r="H56" s="104" t="s">
        <v>124</v>
      </c>
      <c r="I56" s="85" t="s">
        <v>29</v>
      </c>
      <c r="J56" s="85" t="s">
        <v>260</v>
      </c>
      <c r="K56" s="35">
        <v>60</v>
      </c>
      <c r="L56" s="35"/>
      <c r="M56" s="35"/>
      <c r="N56" s="35"/>
      <c r="O56" s="35"/>
      <c r="P56" s="35">
        <v>2</v>
      </c>
      <c r="Q56" s="35">
        <v>30</v>
      </c>
      <c r="R56" s="35">
        <v>2</v>
      </c>
      <c r="S56" s="35">
        <v>30</v>
      </c>
      <c r="T56" s="28">
        <f t="shared" si="0"/>
        <v>60</v>
      </c>
      <c r="U56" s="27">
        <f t="shared" si="1"/>
        <v>0</v>
      </c>
      <c r="V56" s="39"/>
      <c r="W56" s="40"/>
    </row>
    <row r="57" spans="1:25" ht="31.5" customHeight="1" outlineLevel="1" thickBot="1" x14ac:dyDescent="0.3">
      <c r="A57" s="7"/>
      <c r="B57" s="69"/>
      <c r="C57" s="70"/>
      <c r="D57" s="70"/>
      <c r="E57" s="70"/>
      <c r="F57" s="70"/>
      <c r="G57" s="71"/>
      <c r="H57" s="72"/>
      <c r="I57" s="71"/>
      <c r="J57" s="71"/>
      <c r="K57" s="73"/>
      <c r="L57" s="73"/>
      <c r="M57" s="73"/>
      <c r="N57" s="73"/>
      <c r="O57" s="73"/>
      <c r="P57" s="73"/>
      <c r="Q57" s="73"/>
      <c r="R57" s="73"/>
      <c r="S57" s="73"/>
      <c r="T57" s="57"/>
      <c r="U57" s="56"/>
      <c r="V57" s="60"/>
      <c r="W57" s="68"/>
    </row>
    <row r="58" spans="1:25" ht="31.5" customHeight="1" outlineLevel="1" thickBot="1" x14ac:dyDescent="0.3">
      <c r="A58" s="118" t="s">
        <v>272</v>
      </c>
      <c r="B58" s="76" t="s">
        <v>22</v>
      </c>
      <c r="C58" s="77" t="s">
        <v>273</v>
      </c>
      <c r="D58" s="77" t="s">
        <v>273</v>
      </c>
      <c r="E58" s="77" t="s">
        <v>274</v>
      </c>
      <c r="F58" s="77" t="s">
        <v>275</v>
      </c>
      <c r="G58" s="78" t="s">
        <v>154</v>
      </c>
      <c r="H58" s="78" t="s">
        <v>276</v>
      </c>
      <c r="I58" s="78" t="s">
        <v>277</v>
      </c>
      <c r="J58" s="78" t="s">
        <v>278</v>
      </c>
      <c r="K58" s="38">
        <v>82</v>
      </c>
      <c r="L58" s="38">
        <v>0</v>
      </c>
      <c r="M58" s="38">
        <v>0</v>
      </c>
      <c r="N58" s="38">
        <v>1</v>
      </c>
      <c r="O58" s="38">
        <v>12</v>
      </c>
      <c r="P58" s="38">
        <v>1</v>
      </c>
      <c r="Q58" s="38">
        <v>30</v>
      </c>
      <c r="R58" s="38">
        <v>2</v>
      </c>
      <c r="S58" s="38">
        <v>39</v>
      </c>
      <c r="T58" s="28">
        <f t="shared" si="0"/>
        <v>81</v>
      </c>
      <c r="U58" s="27">
        <f t="shared" si="1"/>
        <v>1</v>
      </c>
      <c r="V58" s="39"/>
      <c r="W58" s="40"/>
    </row>
    <row r="59" spans="1:25" ht="31.5" customHeight="1" outlineLevel="1" thickBot="1" x14ac:dyDescent="0.3">
      <c r="A59" s="119"/>
      <c r="B59" s="87" t="s">
        <v>31</v>
      </c>
      <c r="C59" s="80" t="s">
        <v>279</v>
      </c>
      <c r="D59" s="80" t="s">
        <v>280</v>
      </c>
      <c r="E59" s="80" t="s">
        <v>281</v>
      </c>
      <c r="F59" s="80" t="s">
        <v>282</v>
      </c>
      <c r="G59" s="81" t="s">
        <v>139</v>
      </c>
      <c r="H59" s="81" t="s">
        <v>283</v>
      </c>
      <c r="I59" s="81" t="s">
        <v>277</v>
      </c>
      <c r="J59" s="107" t="s">
        <v>284</v>
      </c>
      <c r="K59" s="27">
        <v>390</v>
      </c>
      <c r="L59" s="27">
        <v>0</v>
      </c>
      <c r="M59" s="27">
        <v>0</v>
      </c>
      <c r="N59" s="27">
        <v>3</v>
      </c>
      <c r="O59" s="27">
        <v>75</v>
      </c>
      <c r="P59" s="27">
        <v>6</v>
      </c>
      <c r="Q59" s="27">
        <v>150</v>
      </c>
      <c r="R59" s="27">
        <v>7</v>
      </c>
      <c r="S59" s="27">
        <v>165</v>
      </c>
      <c r="T59" s="28">
        <f t="shared" si="0"/>
        <v>390</v>
      </c>
      <c r="U59" s="27">
        <f t="shared" si="1"/>
        <v>0</v>
      </c>
      <c r="V59" s="39"/>
      <c r="W59" s="40"/>
    </row>
    <row r="60" spans="1:25" ht="31.5" customHeight="1" outlineLevel="1" thickBot="1" x14ac:dyDescent="0.3">
      <c r="A60" s="119"/>
      <c r="B60" s="87" t="s">
        <v>40</v>
      </c>
      <c r="C60" s="80" t="s">
        <v>285</v>
      </c>
      <c r="D60" s="80" t="s">
        <v>285</v>
      </c>
      <c r="E60" s="80" t="s">
        <v>286</v>
      </c>
      <c r="F60" s="80" t="s">
        <v>282</v>
      </c>
      <c r="G60" s="81" t="s">
        <v>149</v>
      </c>
      <c r="H60" s="81" t="s">
        <v>287</v>
      </c>
      <c r="I60" s="81" t="s">
        <v>288</v>
      </c>
      <c r="J60" s="81" t="s">
        <v>278</v>
      </c>
      <c r="K60" s="27">
        <v>200</v>
      </c>
      <c r="L60" s="27">
        <v>0</v>
      </c>
      <c r="M60" s="27">
        <v>0</v>
      </c>
      <c r="N60" s="27">
        <v>0</v>
      </c>
      <c r="O60" s="27">
        <v>0</v>
      </c>
      <c r="P60" s="27"/>
      <c r="Q60" s="27">
        <v>73</v>
      </c>
      <c r="R60" s="27"/>
      <c r="S60" s="27">
        <v>127</v>
      </c>
      <c r="T60" s="28">
        <f t="shared" si="0"/>
        <v>200</v>
      </c>
      <c r="U60" s="27">
        <f t="shared" si="1"/>
        <v>0</v>
      </c>
      <c r="V60" s="39"/>
      <c r="W60" s="40"/>
    </row>
    <row r="61" spans="1:25" ht="31.5" customHeight="1" outlineLevel="1" thickBot="1" x14ac:dyDescent="0.3">
      <c r="A61" s="119"/>
      <c r="B61" s="87" t="s">
        <v>64</v>
      </c>
      <c r="C61" s="80" t="s">
        <v>126</v>
      </c>
      <c r="D61" s="80" t="s">
        <v>289</v>
      </c>
      <c r="E61" s="80" t="s">
        <v>290</v>
      </c>
      <c r="F61" s="80" t="s">
        <v>291</v>
      </c>
      <c r="G61" s="81" t="s">
        <v>91</v>
      </c>
      <c r="H61" s="81" t="s">
        <v>28</v>
      </c>
      <c r="I61" s="81" t="s">
        <v>288</v>
      </c>
      <c r="J61" s="81" t="s">
        <v>292</v>
      </c>
      <c r="K61" s="27">
        <v>50</v>
      </c>
      <c r="L61" s="27">
        <v>0</v>
      </c>
      <c r="M61" s="27">
        <v>0</v>
      </c>
      <c r="N61" s="27">
        <v>0</v>
      </c>
      <c r="O61" s="27">
        <v>0</v>
      </c>
      <c r="P61" s="27">
        <v>1</v>
      </c>
      <c r="Q61" s="27">
        <v>25</v>
      </c>
      <c r="R61" s="27">
        <v>1</v>
      </c>
      <c r="S61" s="27">
        <v>25</v>
      </c>
      <c r="T61" s="28">
        <f t="shared" si="0"/>
        <v>50</v>
      </c>
      <c r="U61" s="27">
        <f t="shared" si="1"/>
        <v>0</v>
      </c>
      <c r="V61" s="39"/>
      <c r="W61" s="40"/>
    </row>
    <row r="62" spans="1:25" ht="31.5" customHeight="1" outlineLevel="1" thickBot="1" x14ac:dyDescent="0.3">
      <c r="A62" s="119"/>
      <c r="B62" s="87" t="s">
        <v>70</v>
      </c>
      <c r="C62" s="80" t="s">
        <v>293</v>
      </c>
      <c r="D62" s="80" t="s">
        <v>294</v>
      </c>
      <c r="E62" s="80" t="s">
        <v>295</v>
      </c>
      <c r="F62" s="80" t="s">
        <v>296</v>
      </c>
      <c r="G62" s="81" t="s">
        <v>100</v>
      </c>
      <c r="H62" s="81" t="s">
        <v>117</v>
      </c>
      <c r="I62" s="81" t="s">
        <v>288</v>
      </c>
      <c r="J62" s="81" t="s">
        <v>297</v>
      </c>
      <c r="K62" s="27">
        <v>150</v>
      </c>
      <c r="L62" s="27">
        <v>0</v>
      </c>
      <c r="M62" s="27">
        <v>0</v>
      </c>
      <c r="N62" s="27">
        <v>0</v>
      </c>
      <c r="O62" s="27">
        <v>0</v>
      </c>
      <c r="P62" s="27">
        <v>3</v>
      </c>
      <c r="Q62" s="27">
        <v>75</v>
      </c>
      <c r="R62" s="27">
        <v>3</v>
      </c>
      <c r="S62" s="27">
        <v>75</v>
      </c>
      <c r="T62" s="28">
        <f t="shared" si="0"/>
        <v>150</v>
      </c>
      <c r="U62" s="27">
        <f t="shared" si="1"/>
        <v>0</v>
      </c>
      <c r="V62" s="39"/>
      <c r="W62" s="40"/>
    </row>
    <row r="63" spans="1:25" ht="31.5" customHeight="1" outlineLevel="1" thickBot="1" x14ac:dyDescent="0.3">
      <c r="A63" s="119"/>
      <c r="B63" s="87" t="s">
        <v>77</v>
      </c>
      <c r="C63" s="80" t="s">
        <v>298</v>
      </c>
      <c r="D63" s="80" t="s">
        <v>299</v>
      </c>
      <c r="E63" s="80" t="s">
        <v>300</v>
      </c>
      <c r="F63" s="80" t="s">
        <v>275</v>
      </c>
      <c r="G63" s="81" t="s">
        <v>153</v>
      </c>
      <c r="H63" s="108" t="s">
        <v>301</v>
      </c>
      <c r="I63" s="81" t="s">
        <v>277</v>
      </c>
      <c r="J63" s="81" t="s">
        <v>297</v>
      </c>
      <c r="K63" s="27">
        <v>85</v>
      </c>
      <c r="L63" s="27">
        <v>0</v>
      </c>
      <c r="M63" s="27">
        <v>0</v>
      </c>
      <c r="N63" s="27">
        <v>1</v>
      </c>
      <c r="O63" s="27">
        <v>15</v>
      </c>
      <c r="P63" s="27">
        <v>2</v>
      </c>
      <c r="Q63" s="27">
        <v>30</v>
      </c>
      <c r="R63" s="27">
        <v>2</v>
      </c>
      <c r="S63" s="27">
        <v>39</v>
      </c>
      <c r="T63" s="28">
        <f t="shared" si="0"/>
        <v>84</v>
      </c>
      <c r="U63" s="27">
        <f t="shared" si="1"/>
        <v>0</v>
      </c>
      <c r="V63" s="109"/>
      <c r="W63" s="47">
        <v>1</v>
      </c>
    </row>
    <row r="64" spans="1:25" ht="31.5" customHeight="1" outlineLevel="1" thickBot="1" x14ac:dyDescent="0.3">
      <c r="A64" s="119"/>
      <c r="B64" s="87" t="s">
        <v>36</v>
      </c>
      <c r="C64" s="80" t="s">
        <v>302</v>
      </c>
      <c r="D64" s="80" t="s">
        <v>303</v>
      </c>
      <c r="E64" s="80" t="s">
        <v>304</v>
      </c>
      <c r="F64" s="80" t="s">
        <v>305</v>
      </c>
      <c r="G64" s="81" t="s">
        <v>171</v>
      </c>
      <c r="H64" s="81" t="s">
        <v>92</v>
      </c>
      <c r="I64" s="81" t="s">
        <v>277</v>
      </c>
      <c r="J64" s="81" t="s">
        <v>297</v>
      </c>
      <c r="K64" s="27">
        <v>65</v>
      </c>
      <c r="L64" s="27">
        <v>0</v>
      </c>
      <c r="M64" s="27">
        <v>0</v>
      </c>
      <c r="N64" s="27">
        <v>1</v>
      </c>
      <c r="O64" s="27">
        <v>18</v>
      </c>
      <c r="P64" s="27">
        <v>1</v>
      </c>
      <c r="Q64" s="27">
        <v>26</v>
      </c>
      <c r="R64" s="27">
        <v>1</v>
      </c>
      <c r="S64" s="27">
        <v>20</v>
      </c>
      <c r="T64" s="28">
        <f t="shared" si="0"/>
        <v>64</v>
      </c>
      <c r="U64" s="27">
        <f t="shared" si="1"/>
        <v>0</v>
      </c>
      <c r="V64" s="39"/>
      <c r="W64" s="40">
        <v>1</v>
      </c>
    </row>
    <row r="65" spans="1:24" ht="31.5" customHeight="1" outlineLevel="1" thickBot="1" x14ac:dyDescent="0.3">
      <c r="A65" s="119"/>
      <c r="B65" s="87" t="s">
        <v>27</v>
      </c>
      <c r="C65" s="80" t="s">
        <v>306</v>
      </c>
      <c r="D65" s="80" t="s">
        <v>307</v>
      </c>
      <c r="E65" s="80" t="s">
        <v>308</v>
      </c>
      <c r="F65" s="80" t="s">
        <v>309</v>
      </c>
      <c r="G65" s="81" t="s">
        <v>45</v>
      </c>
      <c r="H65" s="81" t="s">
        <v>310</v>
      </c>
      <c r="I65" s="81" t="s">
        <v>288</v>
      </c>
      <c r="J65" s="81" t="s">
        <v>311</v>
      </c>
      <c r="K65" s="27">
        <v>104</v>
      </c>
      <c r="L65" s="27">
        <v>0</v>
      </c>
      <c r="M65" s="27">
        <v>0</v>
      </c>
      <c r="N65" s="27">
        <v>0</v>
      </c>
      <c r="O65" s="27">
        <v>0</v>
      </c>
      <c r="P65" s="27"/>
      <c r="Q65" s="27">
        <v>34</v>
      </c>
      <c r="R65" s="27"/>
      <c r="S65" s="27">
        <v>65</v>
      </c>
      <c r="T65" s="28">
        <f t="shared" si="0"/>
        <v>99</v>
      </c>
      <c r="U65" s="27">
        <f t="shared" si="1"/>
        <v>5</v>
      </c>
      <c r="V65" s="46"/>
      <c r="W65" s="47"/>
    </row>
    <row r="66" spans="1:24" ht="31.5" customHeight="1" outlineLevel="1" thickBot="1" x14ac:dyDescent="0.3">
      <c r="A66" s="119"/>
      <c r="B66" s="87" t="s">
        <v>45</v>
      </c>
      <c r="C66" s="80" t="s">
        <v>312</v>
      </c>
      <c r="D66" s="80" t="s">
        <v>313</v>
      </c>
      <c r="E66" s="80" t="s">
        <v>314</v>
      </c>
      <c r="F66" s="80" t="s">
        <v>309</v>
      </c>
      <c r="G66" s="81" t="s">
        <v>57</v>
      </c>
      <c r="H66" s="81" t="s">
        <v>230</v>
      </c>
      <c r="I66" s="81" t="s">
        <v>288</v>
      </c>
      <c r="J66" s="81" t="s">
        <v>297</v>
      </c>
      <c r="K66" s="27">
        <v>80</v>
      </c>
      <c r="L66" s="27">
        <v>0</v>
      </c>
      <c r="M66" s="27">
        <v>0</v>
      </c>
      <c r="N66" s="27">
        <v>0</v>
      </c>
      <c r="O66" s="27">
        <v>0</v>
      </c>
      <c r="P66" s="27">
        <v>2</v>
      </c>
      <c r="Q66" s="27">
        <v>41</v>
      </c>
      <c r="R66" s="27">
        <v>2</v>
      </c>
      <c r="S66" s="27">
        <v>39</v>
      </c>
      <c r="T66" s="28">
        <f t="shared" si="0"/>
        <v>80</v>
      </c>
      <c r="U66" s="27">
        <f t="shared" si="1"/>
        <v>0</v>
      </c>
      <c r="V66" s="39"/>
      <c r="W66" s="40"/>
    </row>
    <row r="67" spans="1:24" ht="31.5" customHeight="1" outlineLevel="1" thickBot="1" x14ac:dyDescent="0.3">
      <c r="A67" s="119"/>
      <c r="B67" s="87" t="s">
        <v>97</v>
      </c>
      <c r="C67" s="80" t="s">
        <v>315</v>
      </c>
      <c r="D67" s="80" t="s">
        <v>315</v>
      </c>
      <c r="E67" s="80" t="s">
        <v>316</v>
      </c>
      <c r="F67" s="80" t="s">
        <v>317</v>
      </c>
      <c r="G67" s="81" t="s">
        <v>211</v>
      </c>
      <c r="H67" s="81" t="s">
        <v>318</v>
      </c>
      <c r="I67" s="81" t="s">
        <v>288</v>
      </c>
      <c r="J67" s="81" t="s">
        <v>297</v>
      </c>
      <c r="K67" s="27">
        <v>76</v>
      </c>
      <c r="L67" s="27">
        <v>0</v>
      </c>
      <c r="M67" s="27">
        <v>0</v>
      </c>
      <c r="N67" s="27">
        <v>0</v>
      </c>
      <c r="O67" s="27">
        <v>0</v>
      </c>
      <c r="P67" s="27"/>
      <c r="Q67" s="27">
        <v>36</v>
      </c>
      <c r="R67" s="27"/>
      <c r="S67" s="27">
        <v>40</v>
      </c>
      <c r="T67" s="28">
        <f t="shared" si="0"/>
        <v>76</v>
      </c>
      <c r="U67" s="27">
        <f t="shared" si="1"/>
        <v>0</v>
      </c>
      <c r="V67" s="46"/>
      <c r="W67" s="47"/>
    </row>
    <row r="68" spans="1:24" ht="31.5" customHeight="1" outlineLevel="1" thickBot="1" x14ac:dyDescent="0.3">
      <c r="A68" s="119"/>
      <c r="B68" s="87" t="s">
        <v>101</v>
      </c>
      <c r="C68" s="80" t="s">
        <v>126</v>
      </c>
      <c r="D68" s="80" t="s">
        <v>319</v>
      </c>
      <c r="E68" s="80" t="s">
        <v>320</v>
      </c>
      <c r="F68" s="80" t="s">
        <v>309</v>
      </c>
      <c r="G68" s="81" t="s">
        <v>111</v>
      </c>
      <c r="H68" s="81" t="s">
        <v>124</v>
      </c>
      <c r="I68" s="81" t="s">
        <v>288</v>
      </c>
      <c r="J68" s="81" t="s">
        <v>297</v>
      </c>
      <c r="K68" s="27">
        <v>60</v>
      </c>
      <c r="L68" s="27">
        <v>0</v>
      </c>
      <c r="M68" s="27">
        <v>0</v>
      </c>
      <c r="N68" s="27">
        <v>0</v>
      </c>
      <c r="O68" s="27">
        <v>0</v>
      </c>
      <c r="P68" s="27">
        <v>1</v>
      </c>
      <c r="Q68" s="27">
        <v>24</v>
      </c>
      <c r="R68" s="27">
        <v>2</v>
      </c>
      <c r="S68" s="27">
        <v>30</v>
      </c>
      <c r="T68" s="28">
        <f t="shared" si="0"/>
        <v>54</v>
      </c>
      <c r="U68" s="27">
        <f t="shared" si="1"/>
        <v>6</v>
      </c>
      <c r="V68" s="39"/>
      <c r="W68" s="40"/>
    </row>
    <row r="69" spans="1:24" ht="31.5" customHeight="1" outlineLevel="1" thickBot="1" x14ac:dyDescent="0.3">
      <c r="A69" s="119"/>
      <c r="B69" s="87" t="s">
        <v>107</v>
      </c>
      <c r="C69" s="80" t="s">
        <v>126</v>
      </c>
      <c r="D69" s="80" t="s">
        <v>321</v>
      </c>
      <c r="E69" s="80" t="s">
        <v>322</v>
      </c>
      <c r="F69" s="80" t="s">
        <v>323</v>
      </c>
      <c r="G69" s="81" t="s">
        <v>180</v>
      </c>
      <c r="H69" s="81" t="s">
        <v>324</v>
      </c>
      <c r="I69" s="81" t="s">
        <v>288</v>
      </c>
      <c r="J69" s="81" t="s">
        <v>53</v>
      </c>
      <c r="K69" s="27">
        <v>255</v>
      </c>
      <c r="L69" s="27">
        <v>0</v>
      </c>
      <c r="M69" s="27">
        <v>0</v>
      </c>
      <c r="N69" s="27">
        <v>0</v>
      </c>
      <c r="O69" s="27">
        <v>0</v>
      </c>
      <c r="P69" s="27">
        <v>5</v>
      </c>
      <c r="Q69" s="27">
        <v>113</v>
      </c>
      <c r="R69" s="27">
        <v>6</v>
      </c>
      <c r="S69" s="27">
        <v>142</v>
      </c>
      <c r="T69" s="28">
        <f t="shared" ref="T69:T132" si="2">SUM(M69,O69,Q69,S69)</f>
        <v>255</v>
      </c>
      <c r="U69" s="27">
        <f t="shared" ref="U69:U132" si="3">SUM(K69-T69-(W69*1))</f>
        <v>0</v>
      </c>
      <c r="V69" s="39"/>
      <c r="W69" s="40"/>
    </row>
    <row r="70" spans="1:24" ht="31.5" customHeight="1" outlineLevel="1" thickBot="1" x14ac:dyDescent="0.3">
      <c r="A70" s="119"/>
      <c r="B70" s="87" t="s">
        <v>112</v>
      </c>
      <c r="C70" s="80" t="s">
        <v>325</v>
      </c>
      <c r="D70" s="80" t="s">
        <v>326</v>
      </c>
      <c r="E70" s="80" t="s">
        <v>327</v>
      </c>
      <c r="F70" s="80" t="s">
        <v>282</v>
      </c>
      <c r="G70" s="81" t="s">
        <v>130</v>
      </c>
      <c r="H70" s="81" t="s">
        <v>106</v>
      </c>
      <c r="I70" s="81" t="s">
        <v>277</v>
      </c>
      <c r="J70" s="81" t="s">
        <v>297</v>
      </c>
      <c r="K70" s="27">
        <v>75</v>
      </c>
      <c r="L70" s="27">
        <v>0</v>
      </c>
      <c r="M70" s="27">
        <v>0</v>
      </c>
      <c r="N70" s="27">
        <v>1</v>
      </c>
      <c r="O70" s="27">
        <v>16</v>
      </c>
      <c r="P70" s="27">
        <v>1</v>
      </c>
      <c r="Q70" s="27">
        <v>29</v>
      </c>
      <c r="R70" s="27">
        <v>1</v>
      </c>
      <c r="S70" s="27">
        <v>30</v>
      </c>
      <c r="T70" s="28">
        <f t="shared" si="2"/>
        <v>75</v>
      </c>
      <c r="U70" s="27">
        <f t="shared" si="3"/>
        <v>0</v>
      </c>
      <c r="V70" s="44"/>
      <c r="W70" s="45"/>
    </row>
    <row r="71" spans="1:24" ht="31.5" customHeight="1" outlineLevel="1" thickBot="1" x14ac:dyDescent="0.3">
      <c r="A71" s="119"/>
      <c r="B71" s="87" t="s">
        <v>118</v>
      </c>
      <c r="C71" s="80" t="s">
        <v>328</v>
      </c>
      <c r="D71" s="80" t="s">
        <v>329</v>
      </c>
      <c r="E71" s="80" t="s">
        <v>330</v>
      </c>
      <c r="F71" s="80" t="s">
        <v>331</v>
      </c>
      <c r="G71" s="81" t="s">
        <v>123</v>
      </c>
      <c r="H71" s="81" t="s">
        <v>332</v>
      </c>
      <c r="I71" s="81" t="s">
        <v>333</v>
      </c>
      <c r="J71" s="81" t="s">
        <v>297</v>
      </c>
      <c r="K71" s="27">
        <v>180</v>
      </c>
      <c r="L71" s="27">
        <v>1</v>
      </c>
      <c r="M71" s="27">
        <v>19</v>
      </c>
      <c r="N71" s="27">
        <v>2</v>
      </c>
      <c r="O71" s="27">
        <v>39</v>
      </c>
      <c r="P71" s="27">
        <v>2</v>
      </c>
      <c r="Q71" s="27">
        <v>45</v>
      </c>
      <c r="R71" s="27">
        <v>3</v>
      </c>
      <c r="S71" s="27">
        <v>75</v>
      </c>
      <c r="T71" s="28">
        <f t="shared" si="2"/>
        <v>178</v>
      </c>
      <c r="U71" s="27">
        <f t="shared" si="3"/>
        <v>1</v>
      </c>
      <c r="V71" s="39"/>
      <c r="W71" s="40">
        <v>1</v>
      </c>
      <c r="X71" s="36"/>
    </row>
    <row r="72" spans="1:24" ht="31.5" customHeight="1" outlineLevel="1" thickBot="1" x14ac:dyDescent="0.3">
      <c r="A72" s="119"/>
      <c r="B72" s="87" t="s">
        <v>125</v>
      </c>
      <c r="C72" s="80" t="s">
        <v>334</v>
      </c>
      <c r="D72" s="80" t="s">
        <v>335</v>
      </c>
      <c r="E72" s="80" t="s">
        <v>336</v>
      </c>
      <c r="F72" s="80" t="s">
        <v>337</v>
      </c>
      <c r="G72" s="81" t="s">
        <v>176</v>
      </c>
      <c r="H72" s="81" t="s">
        <v>246</v>
      </c>
      <c r="I72" s="81" t="s">
        <v>29</v>
      </c>
      <c r="J72" s="81" t="s">
        <v>39</v>
      </c>
      <c r="K72" s="27">
        <v>110</v>
      </c>
      <c r="L72" s="27">
        <v>0</v>
      </c>
      <c r="M72" s="27">
        <v>0</v>
      </c>
      <c r="N72" s="27">
        <v>1</v>
      </c>
      <c r="O72" s="27">
        <v>15</v>
      </c>
      <c r="P72" s="27">
        <v>2</v>
      </c>
      <c r="Q72" s="27">
        <v>21</v>
      </c>
      <c r="R72" s="27">
        <v>3</v>
      </c>
      <c r="S72" s="27">
        <v>44</v>
      </c>
      <c r="T72" s="28">
        <f t="shared" si="2"/>
        <v>80</v>
      </c>
      <c r="U72" s="27">
        <f t="shared" si="3"/>
        <v>30</v>
      </c>
      <c r="V72" s="39"/>
      <c r="W72" s="40"/>
    </row>
    <row r="73" spans="1:24" ht="31.5" customHeight="1" outlineLevel="1" thickBot="1" x14ac:dyDescent="0.3">
      <c r="A73" s="119"/>
      <c r="B73" s="87" t="s">
        <v>132</v>
      </c>
      <c r="C73" s="80" t="s">
        <v>302</v>
      </c>
      <c r="D73" s="80" t="s">
        <v>338</v>
      </c>
      <c r="E73" s="80" t="s">
        <v>339</v>
      </c>
      <c r="F73" s="80" t="s">
        <v>305</v>
      </c>
      <c r="G73" s="81" t="s">
        <v>75</v>
      </c>
      <c r="H73" s="81" t="s">
        <v>138</v>
      </c>
      <c r="I73" s="81" t="s">
        <v>288</v>
      </c>
      <c r="J73" s="81" t="s">
        <v>297</v>
      </c>
      <c r="K73" s="27">
        <v>45</v>
      </c>
      <c r="L73" s="27">
        <v>0</v>
      </c>
      <c r="M73" s="27">
        <v>0</v>
      </c>
      <c r="N73" s="27">
        <v>0</v>
      </c>
      <c r="O73" s="27">
        <v>0</v>
      </c>
      <c r="P73" s="27">
        <v>1</v>
      </c>
      <c r="Q73" s="27">
        <v>18</v>
      </c>
      <c r="R73" s="27">
        <v>1</v>
      </c>
      <c r="S73" s="27">
        <v>27</v>
      </c>
      <c r="T73" s="28">
        <f t="shared" si="2"/>
        <v>45</v>
      </c>
      <c r="U73" s="27">
        <f t="shared" si="3"/>
        <v>0</v>
      </c>
      <c r="V73" s="39"/>
      <c r="W73" s="40"/>
    </row>
    <row r="74" spans="1:24" ht="31.5" customHeight="1" outlineLevel="1" thickBot="1" x14ac:dyDescent="0.3">
      <c r="A74" s="119"/>
      <c r="B74" s="87" t="s">
        <v>139</v>
      </c>
      <c r="C74" s="80" t="s">
        <v>340</v>
      </c>
      <c r="D74" s="80" t="s">
        <v>340</v>
      </c>
      <c r="E74" s="80" t="s">
        <v>341</v>
      </c>
      <c r="F74" s="80" t="s">
        <v>342</v>
      </c>
      <c r="G74" s="81" t="s">
        <v>199</v>
      </c>
      <c r="H74" s="81" t="s">
        <v>148</v>
      </c>
      <c r="I74" s="81" t="s">
        <v>288</v>
      </c>
      <c r="J74" s="81" t="s">
        <v>39</v>
      </c>
      <c r="K74" s="27">
        <v>47</v>
      </c>
      <c r="L74" s="27">
        <v>0</v>
      </c>
      <c r="M74" s="27">
        <v>0</v>
      </c>
      <c r="N74" s="27">
        <v>0</v>
      </c>
      <c r="O74" s="27">
        <v>0</v>
      </c>
      <c r="P74" s="27">
        <v>1</v>
      </c>
      <c r="Q74" s="27">
        <v>22</v>
      </c>
      <c r="R74" s="27">
        <v>1</v>
      </c>
      <c r="S74" s="27">
        <v>25</v>
      </c>
      <c r="T74" s="28">
        <f t="shared" si="2"/>
        <v>47</v>
      </c>
      <c r="U74" s="27">
        <f t="shared" si="3"/>
        <v>0</v>
      </c>
      <c r="V74" s="39"/>
      <c r="W74" s="40"/>
    </row>
    <row r="75" spans="1:24" ht="31.5" customHeight="1" outlineLevel="1" thickBot="1" x14ac:dyDescent="0.3">
      <c r="A75" s="119"/>
      <c r="B75" s="87" t="s">
        <v>111</v>
      </c>
      <c r="C75" s="100" t="s">
        <v>126</v>
      </c>
      <c r="D75" s="100" t="s">
        <v>343</v>
      </c>
      <c r="E75" s="100" t="s">
        <v>344</v>
      </c>
      <c r="F75" s="100" t="s">
        <v>317</v>
      </c>
      <c r="G75" s="81" t="s">
        <v>97</v>
      </c>
      <c r="H75" s="81" t="s">
        <v>345</v>
      </c>
      <c r="I75" s="81" t="s">
        <v>288</v>
      </c>
      <c r="J75" s="81" t="s">
        <v>39</v>
      </c>
      <c r="K75" s="27">
        <v>125</v>
      </c>
      <c r="L75" s="27">
        <v>0</v>
      </c>
      <c r="M75" s="27">
        <v>0</v>
      </c>
      <c r="N75" s="27">
        <v>0</v>
      </c>
      <c r="O75" s="27">
        <v>0</v>
      </c>
      <c r="P75" s="27">
        <v>2</v>
      </c>
      <c r="Q75" s="27">
        <v>50</v>
      </c>
      <c r="R75" s="27">
        <v>3</v>
      </c>
      <c r="S75" s="27">
        <v>73</v>
      </c>
      <c r="T75" s="28">
        <f t="shared" si="2"/>
        <v>123</v>
      </c>
      <c r="U75" s="27">
        <f t="shared" si="3"/>
        <v>2</v>
      </c>
      <c r="V75" s="39"/>
      <c r="W75" s="40"/>
      <c r="X75" s="36"/>
    </row>
    <row r="76" spans="1:24" ht="31.5" customHeight="1" outlineLevel="1" thickBot="1" x14ac:dyDescent="0.3">
      <c r="A76" s="119"/>
      <c r="B76" s="87" t="s">
        <v>149</v>
      </c>
      <c r="C76" s="80" t="s">
        <v>346</v>
      </c>
      <c r="D76" s="80" t="s">
        <v>347</v>
      </c>
      <c r="E76" s="80" t="s">
        <v>348</v>
      </c>
      <c r="F76" s="80" t="s">
        <v>309</v>
      </c>
      <c r="G76" s="81" t="s">
        <v>215</v>
      </c>
      <c r="H76" s="81" t="s">
        <v>301</v>
      </c>
      <c r="I76" s="81" t="s">
        <v>277</v>
      </c>
      <c r="J76" s="81" t="s">
        <v>297</v>
      </c>
      <c r="K76" s="27">
        <v>85</v>
      </c>
      <c r="L76" s="27"/>
      <c r="M76" s="27"/>
      <c r="N76" s="27">
        <v>1</v>
      </c>
      <c r="O76" s="27">
        <v>24</v>
      </c>
      <c r="P76" s="27">
        <v>1</v>
      </c>
      <c r="Q76" s="27">
        <v>24</v>
      </c>
      <c r="R76" s="27">
        <v>1</v>
      </c>
      <c r="S76" s="27">
        <v>37</v>
      </c>
      <c r="T76" s="28">
        <f t="shared" si="2"/>
        <v>85</v>
      </c>
      <c r="U76" s="27">
        <f t="shared" si="3"/>
        <v>-1</v>
      </c>
      <c r="V76" s="39"/>
      <c r="W76" s="40">
        <v>1</v>
      </c>
      <c r="X76" s="36"/>
    </row>
    <row r="77" spans="1:24" ht="31.5" customHeight="1" outlineLevel="1" thickBot="1" x14ac:dyDescent="0.3">
      <c r="A77" s="119"/>
      <c r="B77" s="87" t="s">
        <v>154</v>
      </c>
      <c r="C77" s="80" t="s">
        <v>349</v>
      </c>
      <c r="D77" s="80" t="s">
        <v>350</v>
      </c>
      <c r="E77" s="80" t="s">
        <v>351</v>
      </c>
      <c r="F77" s="80" t="s">
        <v>291</v>
      </c>
      <c r="G77" s="81" t="s">
        <v>163</v>
      </c>
      <c r="H77" s="81" t="s">
        <v>352</v>
      </c>
      <c r="I77" s="81" t="s">
        <v>277</v>
      </c>
      <c r="J77" s="81" t="s">
        <v>353</v>
      </c>
      <c r="K77" s="27">
        <v>211</v>
      </c>
      <c r="L77" s="27">
        <v>0</v>
      </c>
      <c r="M77" s="27">
        <v>0</v>
      </c>
      <c r="N77" s="27"/>
      <c r="O77" s="27">
        <v>55</v>
      </c>
      <c r="P77" s="27"/>
      <c r="Q77" s="27">
        <v>82</v>
      </c>
      <c r="R77" s="27"/>
      <c r="S77" s="27">
        <v>74</v>
      </c>
      <c r="T77" s="28">
        <f t="shared" si="2"/>
        <v>211</v>
      </c>
      <c r="U77" s="27">
        <f t="shared" si="3"/>
        <v>0</v>
      </c>
      <c r="V77" s="39"/>
      <c r="W77" s="40"/>
      <c r="X77" s="36"/>
    </row>
    <row r="78" spans="1:24" ht="31.5" customHeight="1" outlineLevel="1" thickBot="1" x14ac:dyDescent="0.3">
      <c r="A78" s="119"/>
      <c r="B78" s="87" t="s">
        <v>91</v>
      </c>
      <c r="C78" s="80" t="s">
        <v>354</v>
      </c>
      <c r="D78" s="80" t="s">
        <v>355</v>
      </c>
      <c r="E78" s="80" t="s">
        <v>356</v>
      </c>
      <c r="F78" s="80" t="s">
        <v>357</v>
      </c>
      <c r="G78" s="81" t="s">
        <v>67</v>
      </c>
      <c r="H78" s="81" t="s">
        <v>220</v>
      </c>
      <c r="I78" s="81" t="s">
        <v>277</v>
      </c>
      <c r="J78" s="81" t="s">
        <v>358</v>
      </c>
      <c r="K78" s="27">
        <v>90</v>
      </c>
      <c r="L78" s="27">
        <v>0</v>
      </c>
      <c r="M78" s="27">
        <v>0</v>
      </c>
      <c r="N78" s="27">
        <v>1</v>
      </c>
      <c r="O78" s="27">
        <v>25</v>
      </c>
      <c r="P78" s="27">
        <v>2</v>
      </c>
      <c r="Q78" s="27">
        <v>49</v>
      </c>
      <c r="R78" s="27">
        <v>1</v>
      </c>
      <c r="S78" s="27">
        <v>16</v>
      </c>
      <c r="T78" s="28">
        <f t="shared" si="2"/>
        <v>90</v>
      </c>
      <c r="U78" s="27">
        <f t="shared" si="3"/>
        <v>0</v>
      </c>
      <c r="V78" s="39"/>
      <c r="W78" s="40"/>
    </row>
    <row r="79" spans="1:24" ht="31.5" customHeight="1" outlineLevel="1" thickBot="1" x14ac:dyDescent="0.3">
      <c r="A79" s="119"/>
      <c r="B79" s="87" t="s">
        <v>100</v>
      </c>
      <c r="C79" s="80" t="s">
        <v>359</v>
      </c>
      <c r="D79" s="80" t="s">
        <v>359</v>
      </c>
      <c r="E79" s="80" t="s">
        <v>360</v>
      </c>
      <c r="F79" s="80" t="s">
        <v>361</v>
      </c>
      <c r="G79" s="81" t="s">
        <v>36</v>
      </c>
      <c r="H79" s="81" t="s">
        <v>362</v>
      </c>
      <c r="I79" s="81" t="s">
        <v>363</v>
      </c>
      <c r="J79" s="81" t="s">
        <v>358</v>
      </c>
      <c r="K79" s="27">
        <v>94</v>
      </c>
      <c r="L79" s="27">
        <v>1</v>
      </c>
      <c r="M79" s="27">
        <v>18</v>
      </c>
      <c r="N79" s="27">
        <v>1</v>
      </c>
      <c r="O79" s="27">
        <v>19</v>
      </c>
      <c r="P79" s="27">
        <v>1</v>
      </c>
      <c r="Q79" s="27">
        <v>28</v>
      </c>
      <c r="R79" s="27">
        <v>1</v>
      </c>
      <c r="S79" s="27">
        <v>28</v>
      </c>
      <c r="T79" s="28">
        <f t="shared" si="2"/>
        <v>93</v>
      </c>
      <c r="U79" s="27">
        <f t="shared" si="3"/>
        <v>1</v>
      </c>
      <c r="V79" s="39"/>
      <c r="W79" s="40"/>
    </row>
    <row r="80" spans="1:24" ht="31.5" customHeight="1" outlineLevel="1" thickBot="1" x14ac:dyDescent="0.3">
      <c r="A80" s="119"/>
      <c r="B80" s="87" t="s">
        <v>153</v>
      </c>
      <c r="C80" s="80" t="s">
        <v>364</v>
      </c>
      <c r="D80" s="80" t="s">
        <v>365</v>
      </c>
      <c r="E80" s="80" t="s">
        <v>366</v>
      </c>
      <c r="F80" s="80" t="s">
        <v>282</v>
      </c>
      <c r="G80" s="81" t="s">
        <v>27</v>
      </c>
      <c r="H80" s="81" t="s">
        <v>367</v>
      </c>
      <c r="I80" s="81" t="s">
        <v>288</v>
      </c>
      <c r="J80" s="81" t="s">
        <v>278</v>
      </c>
      <c r="K80" s="27">
        <v>92</v>
      </c>
      <c r="L80" s="27">
        <v>0</v>
      </c>
      <c r="M80" s="27">
        <v>0</v>
      </c>
      <c r="N80" s="27">
        <v>0</v>
      </c>
      <c r="O80" s="27">
        <v>0</v>
      </c>
      <c r="P80" s="27"/>
      <c r="Q80" s="27">
        <v>44</v>
      </c>
      <c r="R80" s="27"/>
      <c r="S80" s="27">
        <v>43</v>
      </c>
      <c r="T80" s="28">
        <f t="shared" si="2"/>
        <v>87</v>
      </c>
      <c r="U80" s="27">
        <f t="shared" si="3"/>
        <v>5</v>
      </c>
      <c r="V80" s="39"/>
      <c r="W80" s="40"/>
    </row>
    <row r="81" spans="1:24" ht="31.5" customHeight="1" outlineLevel="1" thickBot="1" x14ac:dyDescent="0.3">
      <c r="A81" s="119"/>
      <c r="B81" s="87" t="s">
        <v>171</v>
      </c>
      <c r="C81" s="80" t="s">
        <v>368</v>
      </c>
      <c r="D81" s="80" t="s">
        <v>369</v>
      </c>
      <c r="E81" s="80" t="s">
        <v>370</v>
      </c>
      <c r="F81" s="80" t="s">
        <v>371</v>
      </c>
      <c r="G81" s="81" t="s">
        <v>70</v>
      </c>
      <c r="H81" s="81">
        <v>143</v>
      </c>
      <c r="I81" s="81" t="s">
        <v>288</v>
      </c>
      <c r="J81" s="81" t="s">
        <v>278</v>
      </c>
      <c r="K81" s="27">
        <v>143</v>
      </c>
      <c r="L81" s="27">
        <v>0</v>
      </c>
      <c r="M81" s="27">
        <v>0</v>
      </c>
      <c r="N81" s="27">
        <v>2</v>
      </c>
      <c r="O81" s="27">
        <v>43</v>
      </c>
      <c r="P81" s="27">
        <v>2</v>
      </c>
      <c r="Q81" s="27">
        <v>49</v>
      </c>
      <c r="R81" s="27">
        <v>2</v>
      </c>
      <c r="S81" s="27">
        <v>49</v>
      </c>
      <c r="T81" s="28">
        <f t="shared" si="2"/>
        <v>141</v>
      </c>
      <c r="U81" s="27">
        <f t="shared" si="3"/>
        <v>2</v>
      </c>
      <c r="V81" s="54"/>
      <c r="W81" s="40"/>
    </row>
    <row r="82" spans="1:24" ht="31.5" customHeight="1" outlineLevel="1" thickBot="1" x14ac:dyDescent="0.3">
      <c r="A82" s="119"/>
      <c r="B82" s="87" t="s">
        <v>57</v>
      </c>
      <c r="C82" s="80" t="s">
        <v>372</v>
      </c>
      <c r="D82" s="80" t="s">
        <v>373</v>
      </c>
      <c r="E82" s="80" t="s">
        <v>374</v>
      </c>
      <c r="F82" s="80" t="s">
        <v>323</v>
      </c>
      <c r="G82" s="81" t="s">
        <v>77</v>
      </c>
      <c r="H82" s="81" t="s">
        <v>375</v>
      </c>
      <c r="I82" s="81" t="s">
        <v>288</v>
      </c>
      <c r="J82" s="81" t="s">
        <v>278</v>
      </c>
      <c r="K82" s="27">
        <v>98</v>
      </c>
      <c r="L82" s="27">
        <v>0</v>
      </c>
      <c r="M82" s="27">
        <v>0</v>
      </c>
      <c r="N82" s="27">
        <v>0</v>
      </c>
      <c r="O82" s="27">
        <v>0</v>
      </c>
      <c r="P82" s="27">
        <v>1</v>
      </c>
      <c r="Q82" s="27">
        <v>19</v>
      </c>
      <c r="R82" s="27">
        <v>3</v>
      </c>
      <c r="S82" s="27">
        <v>79</v>
      </c>
      <c r="T82" s="28">
        <f t="shared" si="2"/>
        <v>98</v>
      </c>
      <c r="U82" s="27">
        <f t="shared" si="3"/>
        <v>0</v>
      </c>
      <c r="V82" s="39"/>
      <c r="W82" s="40"/>
    </row>
    <row r="83" spans="1:24" ht="31.5" customHeight="1" outlineLevel="1" thickBot="1" x14ac:dyDescent="0.3">
      <c r="A83" s="119"/>
      <c r="B83" s="87" t="s">
        <v>180</v>
      </c>
      <c r="C83" s="80" t="s">
        <v>376</v>
      </c>
      <c r="D83" s="80" t="s">
        <v>377</v>
      </c>
      <c r="E83" s="80" t="s">
        <v>378</v>
      </c>
      <c r="F83" s="80" t="s">
        <v>379</v>
      </c>
      <c r="G83" s="81" t="s">
        <v>62</v>
      </c>
      <c r="H83" s="81" t="s">
        <v>85</v>
      </c>
      <c r="I83" s="81" t="s">
        <v>288</v>
      </c>
      <c r="J83" s="81" t="s">
        <v>380</v>
      </c>
      <c r="K83" s="27">
        <v>140</v>
      </c>
      <c r="L83" s="27">
        <v>0</v>
      </c>
      <c r="M83" s="27">
        <v>0</v>
      </c>
      <c r="N83" s="27">
        <v>0</v>
      </c>
      <c r="O83" s="27">
        <v>0</v>
      </c>
      <c r="P83" s="27">
        <v>1</v>
      </c>
      <c r="Q83" s="27">
        <v>48</v>
      </c>
      <c r="R83" s="27">
        <v>3</v>
      </c>
      <c r="S83" s="27">
        <v>92</v>
      </c>
      <c r="T83" s="28">
        <f t="shared" si="2"/>
        <v>140</v>
      </c>
      <c r="U83" s="27">
        <f t="shared" si="3"/>
        <v>0</v>
      </c>
      <c r="V83" s="39"/>
      <c r="W83" s="40"/>
      <c r="X83" s="36"/>
    </row>
    <row r="84" spans="1:24" ht="31.5" customHeight="1" outlineLevel="1" thickBot="1" x14ac:dyDescent="0.3">
      <c r="A84" s="119"/>
      <c r="B84" s="88" t="s">
        <v>130</v>
      </c>
      <c r="C84" s="84" t="s">
        <v>381</v>
      </c>
      <c r="D84" s="84" t="s">
        <v>382</v>
      </c>
      <c r="E84" s="84" t="s">
        <v>383</v>
      </c>
      <c r="F84" s="84" t="s">
        <v>296</v>
      </c>
      <c r="G84" s="85" t="s">
        <v>384</v>
      </c>
      <c r="H84" s="88" t="s">
        <v>385</v>
      </c>
      <c r="I84" s="85" t="s">
        <v>288</v>
      </c>
      <c r="J84" s="85" t="s">
        <v>386</v>
      </c>
      <c r="K84" s="35">
        <v>269</v>
      </c>
      <c r="L84" s="35">
        <v>0</v>
      </c>
      <c r="M84" s="35">
        <v>0</v>
      </c>
      <c r="N84" s="35">
        <v>1</v>
      </c>
      <c r="O84" s="35">
        <v>56</v>
      </c>
      <c r="P84" s="35">
        <v>3</v>
      </c>
      <c r="Q84" s="35">
        <v>63</v>
      </c>
      <c r="R84" s="35">
        <v>4</v>
      </c>
      <c r="S84" s="35">
        <v>95</v>
      </c>
      <c r="T84" s="28">
        <f t="shared" si="2"/>
        <v>214</v>
      </c>
      <c r="U84" s="27">
        <f t="shared" si="3"/>
        <v>55</v>
      </c>
      <c r="V84" s="46"/>
      <c r="W84" s="47"/>
    </row>
    <row r="85" spans="1:24" ht="31.5" customHeight="1" outlineLevel="1" thickBot="1" x14ac:dyDescent="0.3">
      <c r="A85" s="7"/>
      <c r="B85" s="60"/>
      <c r="C85" s="61"/>
      <c r="D85" s="61"/>
      <c r="E85" s="61"/>
      <c r="F85" s="61"/>
      <c r="G85" s="60"/>
      <c r="H85" s="62"/>
      <c r="I85" s="60"/>
      <c r="J85" s="60"/>
      <c r="K85" s="63"/>
      <c r="L85" s="63"/>
      <c r="M85" s="63"/>
      <c r="N85" s="63"/>
      <c r="O85" s="63"/>
      <c r="P85" s="63"/>
      <c r="Q85" s="63"/>
      <c r="R85" s="63"/>
      <c r="S85" s="63"/>
      <c r="T85" s="57"/>
      <c r="U85" s="56"/>
      <c r="V85" s="60"/>
      <c r="W85" s="68"/>
    </row>
    <row r="86" spans="1:24" ht="31.5" customHeight="1" outlineLevel="1" thickBot="1" x14ac:dyDescent="0.3">
      <c r="A86" s="119" t="s">
        <v>387</v>
      </c>
      <c r="B86" s="76" t="s">
        <v>22</v>
      </c>
      <c r="C86" s="90" t="s">
        <v>388</v>
      </c>
      <c r="D86" s="90" t="s">
        <v>389</v>
      </c>
      <c r="E86" s="90" t="s">
        <v>390</v>
      </c>
      <c r="F86" s="90" t="s">
        <v>309</v>
      </c>
      <c r="G86" s="78" t="s">
        <v>391</v>
      </c>
      <c r="H86" s="78" t="s">
        <v>28</v>
      </c>
      <c r="I86" s="78" t="s">
        <v>38</v>
      </c>
      <c r="J86" s="78" t="s">
        <v>297</v>
      </c>
      <c r="K86" s="38">
        <v>50</v>
      </c>
      <c r="L86" s="38">
        <v>0</v>
      </c>
      <c r="M86" s="38">
        <v>0</v>
      </c>
      <c r="N86" s="38">
        <v>1</v>
      </c>
      <c r="O86" s="38">
        <v>6</v>
      </c>
      <c r="P86" s="38">
        <v>1</v>
      </c>
      <c r="Q86" s="38">
        <v>19</v>
      </c>
      <c r="R86" s="38">
        <v>1</v>
      </c>
      <c r="S86" s="38">
        <v>25</v>
      </c>
      <c r="T86" s="28">
        <f t="shared" si="2"/>
        <v>50</v>
      </c>
      <c r="U86" s="27">
        <f t="shared" si="3"/>
        <v>0</v>
      </c>
      <c r="V86" s="39"/>
      <c r="W86" s="40"/>
    </row>
    <row r="87" spans="1:24" ht="31.5" customHeight="1" outlineLevel="1" thickBot="1" x14ac:dyDescent="0.3">
      <c r="A87" s="119"/>
      <c r="B87" s="87" t="s">
        <v>31</v>
      </c>
      <c r="C87" s="80" t="s">
        <v>392</v>
      </c>
      <c r="D87" s="41" t="s">
        <v>393</v>
      </c>
      <c r="E87" s="80" t="s">
        <v>394</v>
      </c>
      <c r="F87" s="80" t="s">
        <v>395</v>
      </c>
      <c r="G87" s="81" t="s">
        <v>396</v>
      </c>
      <c r="H87" s="81" t="s">
        <v>397</v>
      </c>
      <c r="I87" s="81" t="s">
        <v>38</v>
      </c>
      <c r="J87" s="81" t="s">
        <v>297</v>
      </c>
      <c r="K87" s="27">
        <v>202</v>
      </c>
      <c r="L87" s="27">
        <v>0</v>
      </c>
      <c r="M87" s="27">
        <v>0</v>
      </c>
      <c r="N87" s="27">
        <v>4</v>
      </c>
      <c r="O87" s="27">
        <v>60</v>
      </c>
      <c r="P87" s="27">
        <v>4</v>
      </c>
      <c r="Q87" s="27">
        <v>72</v>
      </c>
      <c r="R87" s="27">
        <v>3</v>
      </c>
      <c r="S87" s="27">
        <v>72</v>
      </c>
      <c r="T87" s="28">
        <f t="shared" si="2"/>
        <v>204</v>
      </c>
      <c r="U87" s="27">
        <f t="shared" si="3"/>
        <v>-2</v>
      </c>
      <c r="V87" s="39"/>
      <c r="W87" s="40"/>
      <c r="X87" s="36"/>
    </row>
    <row r="88" spans="1:24" ht="31.5" customHeight="1" outlineLevel="1" thickBot="1" x14ac:dyDescent="0.3">
      <c r="A88" s="119"/>
      <c r="B88" s="87" t="s">
        <v>40</v>
      </c>
      <c r="C88" s="80" t="s">
        <v>126</v>
      </c>
      <c r="D88" s="80" t="s">
        <v>398</v>
      </c>
      <c r="E88" s="80" t="s">
        <v>399</v>
      </c>
      <c r="F88" s="80" t="s">
        <v>400</v>
      </c>
      <c r="G88" s="81" t="s">
        <v>401</v>
      </c>
      <c r="H88" s="81" t="s">
        <v>402</v>
      </c>
      <c r="I88" s="81" t="s">
        <v>29</v>
      </c>
      <c r="J88" s="81" t="s">
        <v>403</v>
      </c>
      <c r="K88" s="27">
        <v>84</v>
      </c>
      <c r="L88" s="27">
        <v>0</v>
      </c>
      <c r="M88" s="27">
        <v>0</v>
      </c>
      <c r="N88" s="27">
        <v>0</v>
      </c>
      <c r="O88" s="27">
        <v>0</v>
      </c>
      <c r="P88" s="27">
        <v>2</v>
      </c>
      <c r="Q88" s="27">
        <v>56</v>
      </c>
      <c r="R88" s="27">
        <v>1</v>
      </c>
      <c r="S88" s="27">
        <v>28</v>
      </c>
      <c r="T88" s="28">
        <f t="shared" si="2"/>
        <v>84</v>
      </c>
      <c r="U88" s="27">
        <f t="shared" si="3"/>
        <v>0</v>
      </c>
      <c r="V88" s="39"/>
      <c r="W88" s="40"/>
    </row>
    <row r="89" spans="1:24" ht="31.5" customHeight="1" outlineLevel="1" thickBot="1" x14ac:dyDescent="0.3">
      <c r="A89" s="119"/>
      <c r="B89" s="87" t="s">
        <v>64</v>
      </c>
      <c r="C89" s="80" t="s">
        <v>404</v>
      </c>
      <c r="D89" s="80" t="s">
        <v>404</v>
      </c>
      <c r="E89" s="80" t="s">
        <v>405</v>
      </c>
      <c r="F89" s="80" t="s">
        <v>400</v>
      </c>
      <c r="G89" s="81" t="s">
        <v>406</v>
      </c>
      <c r="H89" s="81" t="s">
        <v>407</v>
      </c>
      <c r="I89" s="81" t="s">
        <v>29</v>
      </c>
      <c r="J89" s="81" t="s">
        <v>297</v>
      </c>
      <c r="K89" s="27">
        <v>165</v>
      </c>
      <c r="L89" s="27">
        <v>0</v>
      </c>
      <c r="M89" s="27">
        <v>0</v>
      </c>
      <c r="N89" s="27">
        <v>0</v>
      </c>
      <c r="O89" s="27">
        <v>0</v>
      </c>
      <c r="P89" s="27">
        <v>3</v>
      </c>
      <c r="Q89" s="27">
        <v>66</v>
      </c>
      <c r="R89" s="27">
        <v>1</v>
      </c>
      <c r="S89" s="27">
        <v>22</v>
      </c>
      <c r="T89" s="28">
        <f t="shared" si="2"/>
        <v>88</v>
      </c>
      <c r="U89" s="27">
        <f t="shared" si="3"/>
        <v>77</v>
      </c>
      <c r="V89" s="39"/>
      <c r="W89" s="40"/>
    </row>
    <row r="90" spans="1:24" ht="31.5" customHeight="1" outlineLevel="1" thickBot="1" x14ac:dyDescent="0.3">
      <c r="A90" s="119"/>
      <c r="B90" s="87" t="s">
        <v>70</v>
      </c>
      <c r="C90" s="80" t="s">
        <v>408</v>
      </c>
      <c r="D90" s="80" t="s">
        <v>409</v>
      </c>
      <c r="E90" s="80" t="s">
        <v>410</v>
      </c>
      <c r="F90" s="80" t="s">
        <v>400</v>
      </c>
      <c r="G90" s="81" t="s">
        <v>411</v>
      </c>
      <c r="H90" s="81" t="s">
        <v>96</v>
      </c>
      <c r="I90" s="81" t="s">
        <v>29</v>
      </c>
      <c r="J90" s="81" t="s">
        <v>297</v>
      </c>
      <c r="K90" s="27">
        <v>100</v>
      </c>
      <c r="L90" s="27">
        <v>0</v>
      </c>
      <c r="M90" s="27">
        <v>0</v>
      </c>
      <c r="N90" s="27">
        <v>0</v>
      </c>
      <c r="O90" s="27">
        <v>0</v>
      </c>
      <c r="P90" s="27">
        <v>2</v>
      </c>
      <c r="Q90" s="27">
        <v>50</v>
      </c>
      <c r="R90" s="27">
        <v>2</v>
      </c>
      <c r="S90" s="27">
        <v>50</v>
      </c>
      <c r="T90" s="28">
        <f t="shared" si="2"/>
        <v>100</v>
      </c>
      <c r="U90" s="27">
        <f t="shared" si="3"/>
        <v>0</v>
      </c>
      <c r="V90" s="39"/>
      <c r="W90" s="40"/>
    </row>
    <row r="91" spans="1:24" ht="31.5" customHeight="1" outlineLevel="1" thickBot="1" x14ac:dyDescent="0.3">
      <c r="A91" s="119"/>
      <c r="B91" s="87" t="s">
        <v>77</v>
      </c>
      <c r="C91" s="80" t="s">
        <v>126</v>
      </c>
      <c r="D91" s="80" t="s">
        <v>412</v>
      </c>
      <c r="E91" s="80" t="s">
        <v>413</v>
      </c>
      <c r="F91" s="80" t="s">
        <v>414</v>
      </c>
      <c r="G91" s="81" t="s">
        <v>415</v>
      </c>
      <c r="H91" s="81" t="s">
        <v>117</v>
      </c>
      <c r="I91" s="81" t="s">
        <v>29</v>
      </c>
      <c r="J91" s="81" t="s">
        <v>297</v>
      </c>
      <c r="K91" s="27">
        <v>150</v>
      </c>
      <c r="L91" s="27">
        <v>0</v>
      </c>
      <c r="M91" s="27">
        <v>0</v>
      </c>
      <c r="N91" s="27">
        <v>0</v>
      </c>
      <c r="O91" s="27">
        <v>0</v>
      </c>
      <c r="P91" s="27">
        <v>3</v>
      </c>
      <c r="Q91" s="27">
        <v>75</v>
      </c>
      <c r="R91" s="27">
        <v>3</v>
      </c>
      <c r="S91" s="27">
        <v>73</v>
      </c>
      <c r="T91" s="28">
        <f t="shared" si="2"/>
        <v>148</v>
      </c>
      <c r="U91" s="27">
        <f>SUM(K91-T91-(W91*2))</f>
        <v>0</v>
      </c>
      <c r="V91" s="42"/>
      <c r="W91" s="40">
        <v>1</v>
      </c>
    </row>
    <row r="92" spans="1:24" ht="31.5" customHeight="1" outlineLevel="1" thickBot="1" x14ac:dyDescent="0.3">
      <c r="A92" s="119"/>
      <c r="B92" s="87" t="s">
        <v>36</v>
      </c>
      <c r="C92" s="80" t="s">
        <v>416</v>
      </c>
      <c r="D92" s="80" t="s">
        <v>417</v>
      </c>
      <c r="E92" s="80" t="s">
        <v>418</v>
      </c>
      <c r="F92" s="80" t="s">
        <v>309</v>
      </c>
      <c r="G92" s="81" t="s">
        <v>419</v>
      </c>
      <c r="H92" s="81" t="s">
        <v>230</v>
      </c>
      <c r="I92" s="81" t="s">
        <v>29</v>
      </c>
      <c r="J92" s="43" t="s">
        <v>403</v>
      </c>
      <c r="K92" s="27">
        <v>80</v>
      </c>
      <c r="L92" s="27">
        <v>0</v>
      </c>
      <c r="M92" s="27">
        <v>0</v>
      </c>
      <c r="N92" s="27">
        <v>0</v>
      </c>
      <c r="O92" s="27">
        <v>0</v>
      </c>
      <c r="P92" s="27">
        <v>2</v>
      </c>
      <c r="Q92" s="27">
        <v>38</v>
      </c>
      <c r="R92" s="27">
        <v>2</v>
      </c>
      <c r="S92" s="27">
        <v>42</v>
      </c>
      <c r="T92" s="28">
        <f t="shared" si="2"/>
        <v>80</v>
      </c>
      <c r="U92" s="27">
        <f t="shared" si="3"/>
        <v>0</v>
      </c>
      <c r="V92" s="44"/>
      <c r="W92" s="45"/>
      <c r="X92" s="36"/>
    </row>
    <row r="93" spans="1:24" ht="31.5" customHeight="1" outlineLevel="1" thickBot="1" x14ac:dyDescent="0.3">
      <c r="A93" s="119"/>
      <c r="B93" s="87" t="s">
        <v>27</v>
      </c>
      <c r="C93" s="80" t="s">
        <v>420</v>
      </c>
      <c r="D93" s="80" t="s">
        <v>421</v>
      </c>
      <c r="E93" s="80" t="s">
        <v>422</v>
      </c>
      <c r="F93" s="80" t="s">
        <v>423</v>
      </c>
      <c r="G93" s="81" t="s">
        <v>424</v>
      </c>
      <c r="H93" s="81" t="s">
        <v>96</v>
      </c>
      <c r="I93" s="81" t="s">
        <v>29</v>
      </c>
      <c r="J93" s="81" t="s">
        <v>297</v>
      </c>
      <c r="K93" s="27">
        <v>100</v>
      </c>
      <c r="L93" s="27">
        <v>0</v>
      </c>
      <c r="M93" s="27">
        <v>0</v>
      </c>
      <c r="N93" s="27">
        <v>0</v>
      </c>
      <c r="O93" s="27">
        <v>0</v>
      </c>
      <c r="P93" s="27">
        <v>2</v>
      </c>
      <c r="Q93" s="27">
        <v>50</v>
      </c>
      <c r="R93" s="27">
        <v>2</v>
      </c>
      <c r="S93" s="27">
        <v>49</v>
      </c>
      <c r="T93" s="28">
        <f t="shared" si="2"/>
        <v>99</v>
      </c>
      <c r="U93" s="27">
        <f t="shared" si="3"/>
        <v>0</v>
      </c>
      <c r="V93" s="46"/>
      <c r="W93" s="47">
        <v>1</v>
      </c>
    </row>
    <row r="94" spans="1:24" ht="31.5" customHeight="1" outlineLevel="1" thickBot="1" x14ac:dyDescent="0.3">
      <c r="A94" s="119"/>
      <c r="B94" s="87" t="s">
        <v>45</v>
      </c>
      <c r="C94" s="80" t="s">
        <v>425</v>
      </c>
      <c r="D94" s="80" t="s">
        <v>426</v>
      </c>
      <c r="E94" s="80" t="s">
        <v>427</v>
      </c>
      <c r="F94" s="80" t="s">
        <v>428</v>
      </c>
      <c r="G94" s="81" t="s">
        <v>429</v>
      </c>
      <c r="H94" s="81" t="s">
        <v>430</v>
      </c>
      <c r="I94" s="81" t="s">
        <v>38</v>
      </c>
      <c r="J94" s="81" t="s">
        <v>297</v>
      </c>
      <c r="K94" s="27">
        <v>220</v>
      </c>
      <c r="L94" s="27">
        <v>0</v>
      </c>
      <c r="M94" s="27">
        <v>0</v>
      </c>
      <c r="N94" s="27">
        <v>2</v>
      </c>
      <c r="O94" s="27">
        <v>40</v>
      </c>
      <c r="P94" s="27">
        <v>4</v>
      </c>
      <c r="Q94" s="27">
        <v>83</v>
      </c>
      <c r="R94" s="27">
        <v>4</v>
      </c>
      <c r="S94" s="27">
        <v>97</v>
      </c>
      <c r="T94" s="28">
        <f t="shared" si="2"/>
        <v>220</v>
      </c>
      <c r="U94" s="27">
        <f t="shared" si="3"/>
        <v>0</v>
      </c>
      <c r="V94" s="39"/>
      <c r="W94" s="40"/>
    </row>
    <row r="95" spans="1:24" ht="31.5" customHeight="1" outlineLevel="1" thickBot="1" x14ac:dyDescent="0.3">
      <c r="A95" s="119"/>
      <c r="B95" s="87" t="s">
        <v>97</v>
      </c>
      <c r="C95" s="80" t="s">
        <v>431</v>
      </c>
      <c r="D95" s="80" t="s">
        <v>432</v>
      </c>
      <c r="E95" s="80" t="s">
        <v>433</v>
      </c>
      <c r="F95" s="80" t="s">
        <v>434</v>
      </c>
      <c r="G95" s="81" t="s">
        <v>435</v>
      </c>
      <c r="H95" s="81" t="s">
        <v>287</v>
      </c>
      <c r="I95" s="81" t="s">
        <v>29</v>
      </c>
      <c r="J95" s="81" t="s">
        <v>297</v>
      </c>
      <c r="K95" s="27">
        <v>200</v>
      </c>
      <c r="L95" s="27">
        <v>0</v>
      </c>
      <c r="M95" s="27">
        <v>0</v>
      </c>
      <c r="N95" s="27">
        <v>3</v>
      </c>
      <c r="O95" s="27">
        <v>65</v>
      </c>
      <c r="P95" s="27">
        <v>3</v>
      </c>
      <c r="Q95" s="27">
        <v>65</v>
      </c>
      <c r="R95" s="27">
        <v>3</v>
      </c>
      <c r="S95" s="27">
        <v>70</v>
      </c>
      <c r="T95" s="28">
        <f t="shared" si="2"/>
        <v>200</v>
      </c>
      <c r="U95" s="27">
        <f t="shared" si="3"/>
        <v>0</v>
      </c>
      <c r="V95" s="48"/>
      <c r="W95" s="49"/>
    </row>
    <row r="96" spans="1:24" ht="31.5" customHeight="1" outlineLevel="1" thickBot="1" x14ac:dyDescent="0.3">
      <c r="A96" s="119"/>
      <c r="B96" s="87" t="s">
        <v>101</v>
      </c>
      <c r="C96" s="80" t="s">
        <v>436</v>
      </c>
      <c r="D96" s="80" t="s">
        <v>437</v>
      </c>
      <c r="E96" s="80" t="s">
        <v>438</v>
      </c>
      <c r="F96" s="80" t="s">
        <v>439</v>
      </c>
      <c r="G96" s="81" t="s">
        <v>440</v>
      </c>
      <c r="H96" s="81" t="s">
        <v>441</v>
      </c>
      <c r="I96" s="81" t="s">
        <v>38</v>
      </c>
      <c r="J96" s="81" t="s">
        <v>297</v>
      </c>
      <c r="K96" s="27">
        <v>142</v>
      </c>
      <c r="L96" s="27">
        <v>0</v>
      </c>
      <c r="M96" s="27">
        <v>0</v>
      </c>
      <c r="N96" s="27">
        <v>2</v>
      </c>
      <c r="O96" s="27">
        <v>44</v>
      </c>
      <c r="P96" s="27">
        <v>2</v>
      </c>
      <c r="Q96" s="27">
        <v>48</v>
      </c>
      <c r="R96" s="27">
        <v>2</v>
      </c>
      <c r="S96" s="27">
        <v>50</v>
      </c>
      <c r="T96" s="28">
        <f t="shared" si="2"/>
        <v>142</v>
      </c>
      <c r="U96" s="27">
        <f t="shared" si="3"/>
        <v>0</v>
      </c>
      <c r="V96" s="39"/>
      <c r="W96" s="40"/>
    </row>
    <row r="97" spans="1:24" ht="31.5" customHeight="1" outlineLevel="1" thickBot="1" x14ac:dyDescent="0.3">
      <c r="A97" s="119"/>
      <c r="B97" s="87" t="s">
        <v>107</v>
      </c>
      <c r="C97" s="80" t="s">
        <v>442</v>
      </c>
      <c r="D97" s="80" t="s">
        <v>443</v>
      </c>
      <c r="E97" s="80" t="s">
        <v>444</v>
      </c>
      <c r="F97" s="80" t="s">
        <v>445</v>
      </c>
      <c r="G97" s="81" t="s">
        <v>446</v>
      </c>
      <c r="H97" s="81" t="s">
        <v>204</v>
      </c>
      <c r="I97" s="81" t="s">
        <v>29</v>
      </c>
      <c r="J97" s="81" t="s">
        <v>297</v>
      </c>
      <c r="K97" s="27">
        <v>70</v>
      </c>
      <c r="L97" s="27">
        <v>0</v>
      </c>
      <c r="M97" s="27">
        <v>0</v>
      </c>
      <c r="N97" s="27">
        <v>0</v>
      </c>
      <c r="O97" s="27">
        <v>0</v>
      </c>
      <c r="P97" s="27">
        <v>1</v>
      </c>
      <c r="Q97" s="27">
        <v>20</v>
      </c>
      <c r="R97" s="27">
        <v>2</v>
      </c>
      <c r="S97" s="27">
        <v>49</v>
      </c>
      <c r="T97" s="28">
        <f t="shared" si="2"/>
        <v>69</v>
      </c>
      <c r="U97" s="27">
        <f t="shared" si="3"/>
        <v>1</v>
      </c>
      <c r="V97" s="44"/>
      <c r="W97" s="45"/>
    </row>
    <row r="98" spans="1:24" ht="31.5" customHeight="1" outlineLevel="1" thickBot="1" x14ac:dyDescent="0.3">
      <c r="A98" s="119"/>
      <c r="B98" s="87" t="s">
        <v>112</v>
      </c>
      <c r="C98" s="80" t="s">
        <v>447</v>
      </c>
      <c r="D98" s="80" t="s">
        <v>447</v>
      </c>
      <c r="E98" s="80" t="s">
        <v>448</v>
      </c>
      <c r="F98" s="80" t="s">
        <v>434</v>
      </c>
      <c r="G98" s="81" t="s">
        <v>449</v>
      </c>
      <c r="H98" s="81" t="s">
        <v>345</v>
      </c>
      <c r="I98" s="81" t="s">
        <v>38</v>
      </c>
      <c r="J98" s="81" t="s">
        <v>297</v>
      </c>
      <c r="K98" s="27">
        <v>125</v>
      </c>
      <c r="L98" s="27">
        <v>0</v>
      </c>
      <c r="M98" s="27">
        <v>0</v>
      </c>
      <c r="N98" s="27">
        <v>1</v>
      </c>
      <c r="O98" s="27">
        <v>11</v>
      </c>
      <c r="P98" s="27">
        <v>2</v>
      </c>
      <c r="Q98" s="27">
        <v>51</v>
      </c>
      <c r="R98" s="27">
        <v>2</v>
      </c>
      <c r="S98" s="27">
        <v>49</v>
      </c>
      <c r="T98" s="28">
        <f t="shared" si="2"/>
        <v>111</v>
      </c>
      <c r="U98" s="27">
        <f t="shared" si="3"/>
        <v>14</v>
      </c>
      <c r="V98" s="46"/>
      <c r="W98" s="47"/>
      <c r="X98" s="15"/>
    </row>
    <row r="99" spans="1:24" ht="31.5" customHeight="1" outlineLevel="1" thickBot="1" x14ac:dyDescent="0.3">
      <c r="A99" s="119"/>
      <c r="B99" s="87" t="s">
        <v>118</v>
      </c>
      <c r="C99" s="80" t="s">
        <v>450</v>
      </c>
      <c r="D99" s="80" t="s">
        <v>451</v>
      </c>
      <c r="E99" s="80" t="s">
        <v>452</v>
      </c>
      <c r="F99" s="80" t="s">
        <v>400</v>
      </c>
      <c r="G99" s="81" t="s">
        <v>453</v>
      </c>
      <c r="H99" s="81" t="s">
        <v>28</v>
      </c>
      <c r="I99" s="81" t="s">
        <v>38</v>
      </c>
      <c r="J99" s="81" t="s">
        <v>297</v>
      </c>
      <c r="K99" s="27">
        <v>50</v>
      </c>
      <c r="L99" s="27">
        <v>0</v>
      </c>
      <c r="M99" s="27">
        <v>0</v>
      </c>
      <c r="N99" s="27">
        <v>1</v>
      </c>
      <c r="O99" s="27">
        <v>3</v>
      </c>
      <c r="P99" s="27">
        <v>1</v>
      </c>
      <c r="Q99" s="27">
        <v>15</v>
      </c>
      <c r="R99" s="27">
        <v>2</v>
      </c>
      <c r="S99" s="27">
        <v>32</v>
      </c>
      <c r="T99" s="28">
        <f t="shared" si="2"/>
        <v>50</v>
      </c>
      <c r="U99" s="27">
        <f t="shared" si="3"/>
        <v>0</v>
      </c>
      <c r="V99" s="39"/>
      <c r="W99" s="40"/>
    </row>
    <row r="100" spans="1:24" ht="31.5" customHeight="1" outlineLevel="1" thickBot="1" x14ac:dyDescent="0.3">
      <c r="A100" s="119"/>
      <c r="B100" s="87" t="s">
        <v>125</v>
      </c>
      <c r="C100" s="80" t="s">
        <v>454</v>
      </c>
      <c r="D100" s="80" t="s">
        <v>454</v>
      </c>
      <c r="E100" s="80" t="s">
        <v>455</v>
      </c>
      <c r="F100" s="80" t="s">
        <v>434</v>
      </c>
      <c r="G100" s="81" t="s">
        <v>456</v>
      </c>
      <c r="H100" s="81" t="s">
        <v>457</v>
      </c>
      <c r="I100" s="81" t="s">
        <v>29</v>
      </c>
      <c r="J100" s="81" t="s">
        <v>297</v>
      </c>
      <c r="K100" s="27">
        <v>210</v>
      </c>
      <c r="L100" s="27">
        <v>0</v>
      </c>
      <c r="M100" s="27">
        <v>0</v>
      </c>
      <c r="N100" s="27">
        <v>0</v>
      </c>
      <c r="O100" s="27">
        <v>0</v>
      </c>
      <c r="P100" s="27">
        <v>4</v>
      </c>
      <c r="Q100" s="27">
        <v>98</v>
      </c>
      <c r="R100" s="27">
        <v>4</v>
      </c>
      <c r="S100" s="27">
        <v>112</v>
      </c>
      <c r="T100" s="28">
        <f t="shared" si="2"/>
        <v>210</v>
      </c>
      <c r="U100" s="27">
        <f t="shared" si="3"/>
        <v>0</v>
      </c>
      <c r="V100" s="46"/>
      <c r="W100" s="47"/>
    </row>
    <row r="101" spans="1:24" ht="31.5" customHeight="1" outlineLevel="1" thickBot="1" x14ac:dyDescent="0.3">
      <c r="A101" s="119"/>
      <c r="B101" s="87" t="s">
        <v>132</v>
      </c>
      <c r="C101" s="80" t="s">
        <v>458</v>
      </c>
      <c r="D101" s="80" t="s">
        <v>459</v>
      </c>
      <c r="E101" s="80" t="s">
        <v>460</v>
      </c>
      <c r="F101" s="80" t="s">
        <v>445</v>
      </c>
      <c r="G101" s="81" t="s">
        <v>461</v>
      </c>
      <c r="H101" s="81" t="s">
        <v>68</v>
      </c>
      <c r="I101" s="81" t="s">
        <v>38</v>
      </c>
      <c r="J101" s="81" t="s">
        <v>297</v>
      </c>
      <c r="K101" s="27">
        <v>120</v>
      </c>
      <c r="L101" s="27">
        <v>0</v>
      </c>
      <c r="M101" s="27">
        <v>0</v>
      </c>
      <c r="N101" s="27">
        <v>1</v>
      </c>
      <c r="O101" s="27">
        <v>25</v>
      </c>
      <c r="P101" s="27">
        <v>2</v>
      </c>
      <c r="Q101" s="27">
        <v>50</v>
      </c>
      <c r="R101" s="27">
        <v>2</v>
      </c>
      <c r="S101" s="27">
        <v>45</v>
      </c>
      <c r="T101" s="28">
        <f t="shared" si="2"/>
        <v>120</v>
      </c>
      <c r="U101" s="27">
        <f t="shared" si="3"/>
        <v>0</v>
      </c>
      <c r="V101" s="39"/>
      <c r="W101" s="40"/>
      <c r="X101" s="36"/>
    </row>
    <row r="102" spans="1:24" ht="31.5" customHeight="1" outlineLevel="1" thickBot="1" x14ac:dyDescent="0.3">
      <c r="A102" s="119"/>
      <c r="B102" s="87" t="s">
        <v>139</v>
      </c>
      <c r="C102" s="80" t="s">
        <v>462</v>
      </c>
      <c r="D102" s="80" t="s">
        <v>462</v>
      </c>
      <c r="E102" s="80" t="s">
        <v>463</v>
      </c>
      <c r="F102" s="80" t="s">
        <v>464</v>
      </c>
      <c r="G102" s="81" t="s">
        <v>465</v>
      </c>
      <c r="H102" s="81" t="s">
        <v>85</v>
      </c>
      <c r="I102" s="81" t="s">
        <v>38</v>
      </c>
      <c r="J102" s="81" t="s">
        <v>297</v>
      </c>
      <c r="K102" s="27">
        <v>140</v>
      </c>
      <c r="L102" s="27">
        <v>0</v>
      </c>
      <c r="M102" s="27">
        <v>0</v>
      </c>
      <c r="N102" s="27">
        <v>1</v>
      </c>
      <c r="O102" s="27">
        <v>17</v>
      </c>
      <c r="P102" s="27">
        <v>2</v>
      </c>
      <c r="Q102" s="27">
        <v>49</v>
      </c>
      <c r="R102" s="27">
        <v>3</v>
      </c>
      <c r="S102" s="27">
        <v>73</v>
      </c>
      <c r="T102" s="28">
        <f t="shared" si="2"/>
        <v>139</v>
      </c>
      <c r="U102" s="27">
        <f t="shared" si="3"/>
        <v>0</v>
      </c>
      <c r="V102" s="46"/>
      <c r="W102" s="47">
        <v>1</v>
      </c>
    </row>
    <row r="103" spans="1:24" ht="31.5" customHeight="1" outlineLevel="1" thickBot="1" x14ac:dyDescent="0.3">
      <c r="A103" s="119"/>
      <c r="B103" s="87" t="s">
        <v>111</v>
      </c>
      <c r="C103" s="80" t="s">
        <v>466</v>
      </c>
      <c r="D103" s="80" t="s">
        <v>467</v>
      </c>
      <c r="E103" s="80" t="s">
        <v>468</v>
      </c>
      <c r="F103" s="80" t="s">
        <v>434</v>
      </c>
      <c r="G103" s="81" t="s">
        <v>469</v>
      </c>
      <c r="H103" s="81" t="s">
        <v>345</v>
      </c>
      <c r="I103" s="81" t="s">
        <v>29</v>
      </c>
      <c r="J103" s="81" t="s">
        <v>297</v>
      </c>
      <c r="K103" s="27">
        <v>125</v>
      </c>
      <c r="L103" s="27">
        <v>0</v>
      </c>
      <c r="M103" s="27">
        <v>0</v>
      </c>
      <c r="N103" s="27">
        <v>0</v>
      </c>
      <c r="O103" s="27">
        <v>0</v>
      </c>
      <c r="P103" s="27">
        <v>2</v>
      </c>
      <c r="Q103" s="27">
        <v>51</v>
      </c>
      <c r="R103" s="27">
        <v>3</v>
      </c>
      <c r="S103" s="27">
        <v>74</v>
      </c>
      <c r="T103" s="28">
        <f t="shared" si="2"/>
        <v>125</v>
      </c>
      <c r="U103" s="27">
        <f t="shared" si="3"/>
        <v>0</v>
      </c>
      <c r="V103" s="39"/>
      <c r="W103" s="40"/>
    </row>
    <row r="104" spans="1:24" ht="31.5" customHeight="1" outlineLevel="1" thickBot="1" x14ac:dyDescent="0.3">
      <c r="A104" s="119"/>
      <c r="B104" s="87" t="s">
        <v>149</v>
      </c>
      <c r="C104" s="80" t="s">
        <v>470</v>
      </c>
      <c r="D104" s="80" t="s">
        <v>471</v>
      </c>
      <c r="E104" s="80" t="s">
        <v>472</v>
      </c>
      <c r="F104" s="80" t="s">
        <v>445</v>
      </c>
      <c r="G104" s="81" t="s">
        <v>473</v>
      </c>
      <c r="H104" s="81" t="s">
        <v>474</v>
      </c>
      <c r="I104" s="81" t="s">
        <v>475</v>
      </c>
      <c r="J104" s="81" t="s">
        <v>476</v>
      </c>
      <c r="K104" s="27">
        <v>217</v>
      </c>
      <c r="L104" s="27">
        <v>1</v>
      </c>
      <c r="M104" s="27">
        <v>16</v>
      </c>
      <c r="N104" s="27">
        <v>3</v>
      </c>
      <c r="O104" s="27">
        <v>66</v>
      </c>
      <c r="P104" s="27">
        <v>3</v>
      </c>
      <c r="Q104" s="27">
        <v>66</v>
      </c>
      <c r="R104" s="27">
        <v>3</v>
      </c>
      <c r="S104" s="27">
        <v>69</v>
      </c>
      <c r="T104" s="28">
        <f t="shared" si="2"/>
        <v>217</v>
      </c>
      <c r="U104" s="27">
        <f t="shared" si="3"/>
        <v>0</v>
      </c>
      <c r="V104" s="39"/>
      <c r="W104" s="40"/>
    </row>
    <row r="105" spans="1:24" ht="31.5" customHeight="1" outlineLevel="1" thickBot="1" x14ac:dyDescent="0.3">
      <c r="A105" s="119"/>
      <c r="B105" s="87" t="s">
        <v>154</v>
      </c>
      <c r="C105" s="80" t="s">
        <v>477</v>
      </c>
      <c r="D105" s="80" t="s">
        <v>477</v>
      </c>
      <c r="E105" s="80" t="s">
        <v>478</v>
      </c>
      <c r="F105" s="80" t="s">
        <v>479</v>
      </c>
      <c r="G105" s="81" t="s">
        <v>480</v>
      </c>
      <c r="H105" s="81" t="s">
        <v>481</v>
      </c>
      <c r="I105" s="81" t="s">
        <v>38</v>
      </c>
      <c r="J105" s="81" t="s">
        <v>278</v>
      </c>
      <c r="K105" s="27">
        <v>215</v>
      </c>
      <c r="L105" s="27">
        <v>0</v>
      </c>
      <c r="M105" s="27">
        <v>0</v>
      </c>
      <c r="N105" s="27">
        <v>1</v>
      </c>
      <c r="O105" s="27">
        <v>45</v>
      </c>
      <c r="P105" s="27">
        <v>2</v>
      </c>
      <c r="Q105" s="27">
        <v>56</v>
      </c>
      <c r="R105" s="27">
        <v>4</v>
      </c>
      <c r="S105" s="27">
        <v>91</v>
      </c>
      <c r="T105" s="28">
        <f t="shared" si="2"/>
        <v>192</v>
      </c>
      <c r="U105" s="27">
        <f t="shared" si="3"/>
        <v>23</v>
      </c>
      <c r="V105" s="44"/>
      <c r="W105" s="45"/>
    </row>
    <row r="106" spans="1:24" ht="31.5" customHeight="1" outlineLevel="1" thickBot="1" x14ac:dyDescent="0.3">
      <c r="A106" s="119"/>
      <c r="B106" s="87" t="s">
        <v>91</v>
      </c>
      <c r="C106" s="80" t="s">
        <v>482</v>
      </c>
      <c r="D106" s="80" t="s">
        <v>483</v>
      </c>
      <c r="E106" s="80" t="s">
        <v>484</v>
      </c>
      <c r="F106" s="80" t="s">
        <v>400</v>
      </c>
      <c r="G106" s="81" t="s">
        <v>485</v>
      </c>
      <c r="H106" s="81" t="s">
        <v>486</v>
      </c>
      <c r="I106" s="81" t="s">
        <v>38</v>
      </c>
      <c r="J106" s="81" t="s">
        <v>297</v>
      </c>
      <c r="K106" s="27">
        <v>204</v>
      </c>
      <c r="L106" s="27">
        <v>0</v>
      </c>
      <c r="M106" s="27">
        <v>0</v>
      </c>
      <c r="N106" s="27">
        <v>1</v>
      </c>
      <c r="O106" s="27">
        <v>34</v>
      </c>
      <c r="P106" s="27">
        <v>1</v>
      </c>
      <c r="Q106" s="27">
        <v>35</v>
      </c>
      <c r="R106" s="27">
        <v>3</v>
      </c>
      <c r="S106" s="27">
        <v>135</v>
      </c>
      <c r="T106" s="28">
        <f t="shared" si="2"/>
        <v>204</v>
      </c>
      <c r="U106" s="27">
        <f t="shared" si="3"/>
        <v>0</v>
      </c>
      <c r="V106" s="39"/>
      <c r="W106" s="40"/>
    </row>
    <row r="107" spans="1:24" ht="31.5" customHeight="1" outlineLevel="1" thickBot="1" x14ac:dyDescent="0.3">
      <c r="A107" s="119"/>
      <c r="B107" s="87" t="s">
        <v>100</v>
      </c>
      <c r="C107" s="80" t="s">
        <v>392</v>
      </c>
      <c r="D107" s="41" t="s">
        <v>487</v>
      </c>
      <c r="E107" s="80" t="s">
        <v>488</v>
      </c>
      <c r="F107" s="80" t="s">
        <v>489</v>
      </c>
      <c r="G107" s="81" t="s">
        <v>490</v>
      </c>
      <c r="H107" s="81" t="s">
        <v>481</v>
      </c>
      <c r="I107" s="81" t="s">
        <v>38</v>
      </c>
      <c r="J107" s="81" t="s">
        <v>297</v>
      </c>
      <c r="K107" s="27">
        <v>215</v>
      </c>
      <c r="L107" s="27">
        <v>0</v>
      </c>
      <c r="M107" s="27">
        <v>0</v>
      </c>
      <c r="N107" s="27">
        <v>2</v>
      </c>
      <c r="O107" s="27">
        <v>31</v>
      </c>
      <c r="P107" s="27">
        <v>2</v>
      </c>
      <c r="Q107" s="27">
        <v>59</v>
      </c>
      <c r="R107" s="27">
        <v>3</v>
      </c>
      <c r="S107" s="27">
        <v>79</v>
      </c>
      <c r="T107" s="28">
        <f t="shared" si="2"/>
        <v>169</v>
      </c>
      <c r="U107" s="27">
        <f t="shared" si="3"/>
        <v>46</v>
      </c>
      <c r="V107" s="39"/>
      <c r="W107" s="40"/>
      <c r="X107" s="37"/>
    </row>
    <row r="108" spans="1:24" ht="31.5" customHeight="1" outlineLevel="1" thickBot="1" x14ac:dyDescent="0.3">
      <c r="A108" s="119"/>
      <c r="B108" s="87" t="s">
        <v>153</v>
      </c>
      <c r="C108" s="80" t="s">
        <v>491</v>
      </c>
      <c r="D108" s="80" t="s">
        <v>492</v>
      </c>
      <c r="E108" s="80" t="s">
        <v>493</v>
      </c>
      <c r="F108" s="80" t="s">
        <v>428</v>
      </c>
      <c r="G108" s="81" t="s">
        <v>494</v>
      </c>
      <c r="H108" s="81" t="s">
        <v>117</v>
      </c>
      <c r="I108" s="81" t="s">
        <v>38</v>
      </c>
      <c r="J108" s="81" t="s">
        <v>495</v>
      </c>
      <c r="K108" s="27">
        <v>150</v>
      </c>
      <c r="L108" s="27">
        <v>0</v>
      </c>
      <c r="M108" s="27">
        <v>0</v>
      </c>
      <c r="N108" s="27">
        <v>1</v>
      </c>
      <c r="O108" s="27">
        <v>28</v>
      </c>
      <c r="P108" s="27">
        <v>2</v>
      </c>
      <c r="Q108" s="27">
        <v>56</v>
      </c>
      <c r="R108" s="27">
        <v>2</v>
      </c>
      <c r="S108" s="27">
        <v>66</v>
      </c>
      <c r="T108" s="28">
        <f t="shared" si="2"/>
        <v>150</v>
      </c>
      <c r="U108" s="27">
        <f t="shared" si="3"/>
        <v>0</v>
      </c>
      <c r="V108" s="39"/>
      <c r="W108" s="40"/>
      <c r="X108" s="36"/>
    </row>
    <row r="109" spans="1:24" ht="31.5" customHeight="1" outlineLevel="1" thickBot="1" x14ac:dyDescent="0.3">
      <c r="A109" s="119"/>
      <c r="B109" s="87" t="s">
        <v>171</v>
      </c>
      <c r="C109" s="80" t="s">
        <v>496</v>
      </c>
      <c r="D109" s="80" t="s">
        <v>496</v>
      </c>
      <c r="E109" s="80" t="s">
        <v>497</v>
      </c>
      <c r="F109" s="80" t="s">
        <v>498</v>
      </c>
      <c r="G109" s="81" t="s">
        <v>499</v>
      </c>
      <c r="H109" s="81" t="s">
        <v>385</v>
      </c>
      <c r="I109" s="81" t="s">
        <v>38</v>
      </c>
      <c r="J109" s="81" t="s">
        <v>495</v>
      </c>
      <c r="K109" s="27">
        <v>269</v>
      </c>
      <c r="L109" s="27">
        <v>0</v>
      </c>
      <c r="M109" s="27">
        <v>0</v>
      </c>
      <c r="N109" s="27">
        <v>1</v>
      </c>
      <c r="O109" s="27">
        <v>48</v>
      </c>
      <c r="P109" s="27">
        <v>2</v>
      </c>
      <c r="Q109" s="27">
        <v>88</v>
      </c>
      <c r="R109" s="27">
        <v>3</v>
      </c>
      <c r="S109" s="27">
        <v>133</v>
      </c>
      <c r="T109" s="28">
        <f t="shared" si="2"/>
        <v>269</v>
      </c>
      <c r="U109" s="27">
        <f t="shared" si="3"/>
        <v>0</v>
      </c>
      <c r="V109" s="39"/>
      <c r="W109" s="40"/>
    </row>
    <row r="110" spans="1:24" ht="31.5" customHeight="1" outlineLevel="1" thickBot="1" x14ac:dyDescent="0.3">
      <c r="A110" s="119"/>
      <c r="B110" s="87" t="s">
        <v>57</v>
      </c>
      <c r="C110" s="80" t="s">
        <v>500</v>
      </c>
      <c r="D110" s="80" t="s">
        <v>500</v>
      </c>
      <c r="E110" s="80" t="s">
        <v>501</v>
      </c>
      <c r="F110" s="80" t="s">
        <v>502</v>
      </c>
      <c r="G110" s="81" t="s">
        <v>503</v>
      </c>
      <c r="H110" s="81" t="s">
        <v>504</v>
      </c>
      <c r="I110" s="81" t="s">
        <v>38</v>
      </c>
      <c r="J110" s="81" t="s">
        <v>495</v>
      </c>
      <c r="K110" s="27">
        <v>145</v>
      </c>
      <c r="L110" s="27">
        <v>0</v>
      </c>
      <c r="M110" s="27">
        <v>0</v>
      </c>
      <c r="N110" s="27">
        <v>1</v>
      </c>
      <c r="O110" s="27">
        <v>30</v>
      </c>
      <c r="P110" s="27">
        <v>2</v>
      </c>
      <c r="Q110" s="27">
        <v>59</v>
      </c>
      <c r="R110" s="27">
        <v>2</v>
      </c>
      <c r="S110" s="27">
        <v>55</v>
      </c>
      <c r="T110" s="28">
        <f t="shared" si="2"/>
        <v>144</v>
      </c>
      <c r="U110" s="27">
        <f t="shared" si="3"/>
        <v>1</v>
      </c>
      <c r="V110" s="39"/>
      <c r="W110" s="40"/>
    </row>
    <row r="111" spans="1:24" ht="31.5" customHeight="1" outlineLevel="1" thickBot="1" x14ac:dyDescent="0.3">
      <c r="A111" s="119"/>
      <c r="B111" s="87" t="s">
        <v>180</v>
      </c>
      <c r="C111" s="80" t="s">
        <v>505</v>
      </c>
      <c r="D111" s="80" t="s">
        <v>505</v>
      </c>
      <c r="E111" s="80" t="s">
        <v>506</v>
      </c>
      <c r="F111" s="80" t="s">
        <v>309</v>
      </c>
      <c r="G111" s="81" t="s">
        <v>507</v>
      </c>
      <c r="H111" s="81" t="s">
        <v>62</v>
      </c>
      <c r="I111" s="81" t="s">
        <v>38</v>
      </c>
      <c r="J111" s="81" t="s">
        <v>508</v>
      </c>
      <c r="K111" s="27">
        <v>36</v>
      </c>
      <c r="L111" s="27">
        <v>0</v>
      </c>
      <c r="M111" s="27">
        <v>0</v>
      </c>
      <c r="N111" s="27">
        <v>0</v>
      </c>
      <c r="O111" s="27">
        <v>0</v>
      </c>
      <c r="P111" s="27">
        <v>1</v>
      </c>
      <c r="Q111" s="27">
        <v>14</v>
      </c>
      <c r="R111" s="27">
        <v>1</v>
      </c>
      <c r="S111" s="27">
        <v>22</v>
      </c>
      <c r="T111" s="28">
        <f t="shared" si="2"/>
        <v>36</v>
      </c>
      <c r="U111" s="27">
        <f t="shared" si="3"/>
        <v>0</v>
      </c>
      <c r="V111" s="39"/>
      <c r="W111" s="40"/>
    </row>
    <row r="112" spans="1:24" ht="31.5" customHeight="1" outlineLevel="1" thickBot="1" x14ac:dyDescent="0.3">
      <c r="A112" s="119"/>
      <c r="B112" s="87" t="s">
        <v>130</v>
      </c>
      <c r="C112" s="80" t="s">
        <v>509</v>
      </c>
      <c r="D112" s="41" t="s">
        <v>510</v>
      </c>
      <c r="E112" s="80" t="s">
        <v>511</v>
      </c>
      <c r="F112" s="80" t="s">
        <v>512</v>
      </c>
      <c r="G112" s="81" t="s">
        <v>513</v>
      </c>
      <c r="H112" s="81" t="s">
        <v>287</v>
      </c>
      <c r="I112" s="81" t="s">
        <v>38</v>
      </c>
      <c r="J112" s="81" t="s">
        <v>508</v>
      </c>
      <c r="K112" s="27">
        <v>200</v>
      </c>
      <c r="L112" s="27">
        <v>0</v>
      </c>
      <c r="M112" s="27">
        <v>0</v>
      </c>
      <c r="N112" s="27">
        <v>1</v>
      </c>
      <c r="O112" s="27">
        <v>26</v>
      </c>
      <c r="P112" s="27">
        <v>2</v>
      </c>
      <c r="Q112" s="27">
        <v>46</v>
      </c>
      <c r="R112" s="27">
        <v>3</v>
      </c>
      <c r="S112" s="27">
        <v>127</v>
      </c>
      <c r="T112" s="28">
        <f t="shared" si="2"/>
        <v>199</v>
      </c>
      <c r="U112" s="27">
        <f t="shared" si="3"/>
        <v>0</v>
      </c>
      <c r="V112" s="39"/>
      <c r="W112" s="40">
        <v>1</v>
      </c>
    </row>
    <row r="113" spans="1:23" ht="31.5" customHeight="1" outlineLevel="1" thickBot="1" x14ac:dyDescent="0.3">
      <c r="A113" s="119"/>
      <c r="B113" s="87" t="s">
        <v>123</v>
      </c>
      <c r="C113" s="80" t="s">
        <v>514</v>
      </c>
      <c r="D113" s="80" t="s">
        <v>515</v>
      </c>
      <c r="E113" s="80" t="s">
        <v>516</v>
      </c>
      <c r="F113" s="80" t="s">
        <v>498</v>
      </c>
      <c r="G113" s="81" t="s">
        <v>384</v>
      </c>
      <c r="H113" s="81" t="s">
        <v>517</v>
      </c>
      <c r="I113" s="81" t="s">
        <v>38</v>
      </c>
      <c r="J113" s="81" t="s">
        <v>508</v>
      </c>
      <c r="K113" s="27">
        <v>188</v>
      </c>
      <c r="L113" s="27">
        <v>0</v>
      </c>
      <c r="M113" s="27">
        <v>0</v>
      </c>
      <c r="N113" s="27">
        <v>1</v>
      </c>
      <c r="O113" s="27">
        <v>17</v>
      </c>
      <c r="P113" s="27">
        <v>1</v>
      </c>
      <c r="Q113" s="27">
        <v>18</v>
      </c>
      <c r="R113" s="27">
        <v>4</v>
      </c>
      <c r="S113" s="27">
        <v>153</v>
      </c>
      <c r="T113" s="28">
        <f t="shared" si="2"/>
        <v>188</v>
      </c>
      <c r="U113" s="27">
        <f t="shared" si="3"/>
        <v>0</v>
      </c>
      <c r="V113" s="39"/>
      <c r="W113" s="40"/>
    </row>
    <row r="114" spans="1:23" ht="31.5" customHeight="1" outlineLevel="1" thickBot="1" x14ac:dyDescent="0.3">
      <c r="A114" s="7"/>
      <c r="B114" s="60"/>
      <c r="C114" s="61"/>
      <c r="D114" s="61"/>
      <c r="E114" s="61"/>
      <c r="F114" s="61"/>
      <c r="G114" s="60"/>
      <c r="H114" s="62"/>
      <c r="I114" s="60"/>
      <c r="J114" s="60"/>
      <c r="K114" s="63"/>
      <c r="L114" s="63"/>
      <c r="M114" s="63"/>
      <c r="N114" s="63"/>
      <c r="O114" s="63"/>
      <c r="P114" s="63"/>
      <c r="Q114" s="63"/>
      <c r="R114" s="63"/>
      <c r="S114" s="63"/>
      <c r="T114" s="57"/>
      <c r="U114" s="56"/>
      <c r="V114" s="74"/>
      <c r="W114" s="68"/>
    </row>
    <row r="115" spans="1:23" ht="31.5" customHeight="1" outlineLevel="1" thickBot="1" x14ac:dyDescent="0.3">
      <c r="A115" s="119" t="s">
        <v>518</v>
      </c>
      <c r="B115" s="76" t="s">
        <v>22</v>
      </c>
      <c r="C115" s="90" t="s">
        <v>126</v>
      </c>
      <c r="D115" s="90" t="s">
        <v>519</v>
      </c>
      <c r="E115" s="90" t="s">
        <v>520</v>
      </c>
      <c r="F115" s="90" t="s">
        <v>521</v>
      </c>
      <c r="G115" s="78" t="s">
        <v>107</v>
      </c>
      <c r="H115" s="78" t="s">
        <v>96</v>
      </c>
      <c r="I115" s="78" t="s">
        <v>29</v>
      </c>
      <c r="J115" s="78" t="s">
        <v>53</v>
      </c>
      <c r="K115" s="38">
        <v>100</v>
      </c>
      <c r="L115" s="38">
        <v>0</v>
      </c>
      <c r="M115" s="38">
        <v>0</v>
      </c>
      <c r="N115" s="38">
        <v>0</v>
      </c>
      <c r="O115" s="38">
        <v>0</v>
      </c>
      <c r="P115" s="38">
        <v>2</v>
      </c>
      <c r="Q115" s="38">
        <v>38</v>
      </c>
      <c r="R115" s="38">
        <v>3</v>
      </c>
      <c r="S115" s="38">
        <v>60</v>
      </c>
      <c r="T115" s="28">
        <f t="shared" si="2"/>
        <v>98</v>
      </c>
      <c r="U115" s="27">
        <f t="shared" si="3"/>
        <v>1</v>
      </c>
      <c r="V115" s="39"/>
      <c r="W115" s="40">
        <v>1</v>
      </c>
    </row>
    <row r="116" spans="1:23" ht="31.5" customHeight="1" outlineLevel="1" thickBot="1" x14ac:dyDescent="0.3">
      <c r="A116" s="119"/>
      <c r="B116" s="87" t="s">
        <v>31</v>
      </c>
      <c r="C116" s="80" t="s">
        <v>522</v>
      </c>
      <c r="D116" s="80" t="s">
        <v>523</v>
      </c>
      <c r="E116" s="80" t="s">
        <v>524</v>
      </c>
      <c r="F116" s="80" t="s">
        <v>525</v>
      </c>
      <c r="G116" s="81" t="s">
        <v>118</v>
      </c>
      <c r="H116" s="81" t="s">
        <v>526</v>
      </c>
      <c r="I116" s="81" t="s">
        <v>333</v>
      </c>
      <c r="J116" s="78" t="s">
        <v>53</v>
      </c>
      <c r="K116" s="27">
        <v>115</v>
      </c>
      <c r="L116" s="27">
        <v>1</v>
      </c>
      <c r="M116" s="27">
        <v>7</v>
      </c>
      <c r="N116" s="27">
        <v>2</v>
      </c>
      <c r="O116" s="27">
        <v>26</v>
      </c>
      <c r="P116" s="27">
        <v>2</v>
      </c>
      <c r="Q116" s="27">
        <v>40</v>
      </c>
      <c r="R116" s="27">
        <v>2</v>
      </c>
      <c r="S116" s="27">
        <v>40</v>
      </c>
      <c r="T116" s="28">
        <f t="shared" si="2"/>
        <v>113</v>
      </c>
      <c r="U116" s="27">
        <f t="shared" si="3"/>
        <v>1</v>
      </c>
      <c r="V116" s="46"/>
      <c r="W116" s="47">
        <v>1</v>
      </c>
    </row>
    <row r="117" spans="1:23" ht="31.5" customHeight="1" outlineLevel="1" thickBot="1" x14ac:dyDescent="0.3">
      <c r="A117" s="119"/>
      <c r="B117" s="87" t="s">
        <v>40</v>
      </c>
      <c r="C117" s="80" t="s">
        <v>527</v>
      </c>
      <c r="D117" s="80" t="s">
        <v>528</v>
      </c>
      <c r="E117" s="80" t="s">
        <v>529</v>
      </c>
      <c r="F117" s="80" t="s">
        <v>530</v>
      </c>
      <c r="G117" s="81" t="s">
        <v>132</v>
      </c>
      <c r="H117" s="81" t="s">
        <v>287</v>
      </c>
      <c r="I117" s="81" t="s">
        <v>38</v>
      </c>
      <c r="J117" s="78" t="s">
        <v>53</v>
      </c>
      <c r="K117" s="27">
        <v>200</v>
      </c>
      <c r="L117" s="27">
        <v>0</v>
      </c>
      <c r="M117" s="27">
        <v>0</v>
      </c>
      <c r="N117" s="27">
        <v>3</v>
      </c>
      <c r="O117" s="27">
        <v>56</v>
      </c>
      <c r="P117" s="27">
        <v>4</v>
      </c>
      <c r="Q117" s="27">
        <v>80</v>
      </c>
      <c r="R117" s="27">
        <v>3</v>
      </c>
      <c r="S117" s="27">
        <v>64</v>
      </c>
      <c r="T117" s="28">
        <f t="shared" si="2"/>
        <v>200</v>
      </c>
      <c r="U117" s="27">
        <f t="shared" si="3"/>
        <v>0</v>
      </c>
      <c r="V117" s="39"/>
      <c r="W117" s="40"/>
    </row>
    <row r="118" spans="1:23" ht="31.5" customHeight="1" outlineLevel="1" thickBot="1" x14ac:dyDescent="0.3">
      <c r="A118" s="119"/>
      <c r="B118" s="87" t="s">
        <v>64</v>
      </c>
      <c r="C118" s="80" t="s">
        <v>531</v>
      </c>
      <c r="D118" s="80" t="s">
        <v>532</v>
      </c>
      <c r="E118" s="80" t="s">
        <v>533</v>
      </c>
      <c r="F118" s="80" t="s">
        <v>534</v>
      </c>
      <c r="G118" s="81" t="s">
        <v>125</v>
      </c>
      <c r="H118" s="81" t="s">
        <v>137</v>
      </c>
      <c r="I118" s="81" t="s">
        <v>29</v>
      </c>
      <c r="J118" s="78" t="s">
        <v>53</v>
      </c>
      <c r="K118" s="27">
        <v>56</v>
      </c>
      <c r="L118" s="27">
        <v>0</v>
      </c>
      <c r="M118" s="27">
        <v>0</v>
      </c>
      <c r="N118" s="27">
        <v>0</v>
      </c>
      <c r="O118" s="27">
        <v>0</v>
      </c>
      <c r="P118" s="27">
        <v>1</v>
      </c>
      <c r="Q118" s="27">
        <v>20</v>
      </c>
      <c r="R118" s="27">
        <v>3</v>
      </c>
      <c r="S118" s="27">
        <v>36</v>
      </c>
      <c r="T118" s="28">
        <f t="shared" si="2"/>
        <v>56</v>
      </c>
      <c r="U118" s="27">
        <f t="shared" si="3"/>
        <v>0</v>
      </c>
      <c r="V118" s="39"/>
      <c r="W118" s="40"/>
    </row>
    <row r="119" spans="1:23" ht="31.5" customHeight="1" outlineLevel="1" thickBot="1" x14ac:dyDescent="0.3">
      <c r="A119" s="119"/>
      <c r="B119" s="87" t="s">
        <v>70</v>
      </c>
      <c r="C119" s="80" t="s">
        <v>126</v>
      </c>
      <c r="D119" s="80" t="s">
        <v>535</v>
      </c>
      <c r="E119" s="80" t="s">
        <v>536</v>
      </c>
      <c r="F119" s="80" t="s">
        <v>537</v>
      </c>
      <c r="G119" s="81" t="s">
        <v>112</v>
      </c>
      <c r="H119" s="81" t="s">
        <v>92</v>
      </c>
      <c r="I119" s="81" t="s">
        <v>29</v>
      </c>
      <c r="J119" s="78" t="s">
        <v>53</v>
      </c>
      <c r="K119" s="27">
        <v>65</v>
      </c>
      <c r="L119" s="27">
        <v>0</v>
      </c>
      <c r="M119" s="27">
        <v>0</v>
      </c>
      <c r="N119" s="27">
        <v>0</v>
      </c>
      <c r="O119" s="27">
        <v>0</v>
      </c>
      <c r="P119" s="27">
        <v>2</v>
      </c>
      <c r="Q119" s="27">
        <v>30</v>
      </c>
      <c r="R119" s="27">
        <v>2</v>
      </c>
      <c r="S119" s="27">
        <v>35</v>
      </c>
      <c r="T119" s="28">
        <f t="shared" si="2"/>
        <v>65</v>
      </c>
      <c r="U119" s="27">
        <f t="shared" si="3"/>
        <v>-1</v>
      </c>
      <c r="V119" s="39"/>
      <c r="W119" s="40">
        <v>1</v>
      </c>
    </row>
    <row r="120" spans="1:23" ht="31.5" customHeight="1" outlineLevel="1" thickBot="1" x14ac:dyDescent="0.3">
      <c r="A120" s="119"/>
      <c r="B120" s="88" t="s">
        <v>77</v>
      </c>
      <c r="C120" s="84" t="s">
        <v>538</v>
      </c>
      <c r="D120" s="84" t="s">
        <v>539</v>
      </c>
      <c r="E120" s="84" t="s">
        <v>540</v>
      </c>
      <c r="F120" s="84" t="s">
        <v>541</v>
      </c>
      <c r="G120" s="85" t="s">
        <v>139</v>
      </c>
      <c r="H120" s="85" t="s">
        <v>148</v>
      </c>
      <c r="I120" s="85" t="s">
        <v>38</v>
      </c>
      <c r="J120" s="99" t="s">
        <v>53</v>
      </c>
      <c r="K120" s="35">
        <v>47</v>
      </c>
      <c r="L120" s="35">
        <v>0</v>
      </c>
      <c r="M120" s="35">
        <v>0</v>
      </c>
      <c r="N120" s="35">
        <v>0</v>
      </c>
      <c r="O120" s="35">
        <v>0</v>
      </c>
      <c r="P120" s="35">
        <v>1</v>
      </c>
      <c r="Q120" s="35">
        <v>24</v>
      </c>
      <c r="R120" s="35">
        <v>1</v>
      </c>
      <c r="S120" s="35">
        <v>23</v>
      </c>
      <c r="T120" s="28">
        <f t="shared" si="2"/>
        <v>47</v>
      </c>
      <c r="U120" s="27">
        <f t="shared" si="3"/>
        <v>0</v>
      </c>
      <c r="V120" s="39"/>
      <c r="W120" s="40"/>
    </row>
    <row r="121" spans="1:23" ht="31.5" customHeight="1" outlineLevel="1" thickBot="1" x14ac:dyDescent="0.3">
      <c r="A121" s="7"/>
      <c r="B121" s="60"/>
      <c r="C121" s="61"/>
      <c r="D121" s="61"/>
      <c r="E121" s="61"/>
      <c r="F121" s="61"/>
      <c r="G121" s="60"/>
      <c r="H121" s="62"/>
      <c r="I121" s="60"/>
      <c r="J121" s="60"/>
      <c r="K121" s="63"/>
      <c r="L121" s="63"/>
      <c r="M121" s="63"/>
      <c r="N121" s="63"/>
      <c r="O121" s="63"/>
      <c r="P121" s="63"/>
      <c r="Q121" s="63"/>
      <c r="R121" s="63"/>
      <c r="S121" s="63"/>
      <c r="T121" s="57"/>
      <c r="U121" s="56"/>
      <c r="V121" s="60"/>
      <c r="W121" s="68"/>
    </row>
    <row r="122" spans="1:23" ht="31.5" customHeight="1" outlineLevel="1" thickBot="1" x14ac:dyDescent="0.3">
      <c r="A122" s="119" t="s">
        <v>542</v>
      </c>
      <c r="B122" s="76" t="s">
        <v>22</v>
      </c>
      <c r="C122" s="95" t="s">
        <v>543</v>
      </c>
      <c r="D122" s="90" t="s">
        <v>544</v>
      </c>
      <c r="E122" s="90" t="s">
        <v>545</v>
      </c>
      <c r="F122" s="90" t="s">
        <v>546</v>
      </c>
      <c r="G122" s="78" t="s">
        <v>97</v>
      </c>
      <c r="H122" s="78" t="s">
        <v>547</v>
      </c>
      <c r="I122" s="78" t="s">
        <v>333</v>
      </c>
      <c r="J122" s="78" t="s">
        <v>297</v>
      </c>
      <c r="K122" s="38">
        <v>74</v>
      </c>
      <c r="L122" s="27">
        <v>0</v>
      </c>
      <c r="M122" s="27">
        <v>0</v>
      </c>
      <c r="N122" s="27">
        <v>0</v>
      </c>
      <c r="O122" s="27">
        <v>0</v>
      </c>
      <c r="P122" s="27">
        <v>2</v>
      </c>
      <c r="Q122" s="27">
        <v>26</v>
      </c>
      <c r="R122" s="27">
        <v>2</v>
      </c>
      <c r="S122" s="27">
        <v>48</v>
      </c>
      <c r="T122" s="28">
        <f t="shared" si="2"/>
        <v>74</v>
      </c>
      <c r="U122" s="27">
        <f t="shared" si="3"/>
        <v>0</v>
      </c>
      <c r="V122" s="46"/>
      <c r="W122" s="47"/>
    </row>
    <row r="123" spans="1:23" ht="31.5" customHeight="1" outlineLevel="1" thickBot="1" x14ac:dyDescent="0.3">
      <c r="A123" s="119"/>
      <c r="B123" s="87" t="s">
        <v>31</v>
      </c>
      <c r="C123" s="80" t="s">
        <v>548</v>
      </c>
      <c r="D123" s="80" t="s">
        <v>549</v>
      </c>
      <c r="E123" s="80" t="s">
        <v>550</v>
      </c>
      <c r="F123" s="80" t="s">
        <v>546</v>
      </c>
      <c r="G123" s="81" t="s">
        <v>45</v>
      </c>
      <c r="H123" s="81" t="s">
        <v>68</v>
      </c>
      <c r="I123" s="81" t="s">
        <v>333</v>
      </c>
      <c r="J123" s="78" t="s">
        <v>297</v>
      </c>
      <c r="K123" s="27">
        <v>120</v>
      </c>
      <c r="L123" s="27">
        <v>0</v>
      </c>
      <c r="M123" s="27">
        <v>0</v>
      </c>
      <c r="N123" s="27">
        <v>0</v>
      </c>
      <c r="O123" s="27">
        <v>0</v>
      </c>
      <c r="P123" s="27">
        <v>2</v>
      </c>
      <c r="Q123" s="27">
        <v>45</v>
      </c>
      <c r="R123" s="27">
        <v>3</v>
      </c>
      <c r="S123" s="27">
        <v>68</v>
      </c>
      <c r="T123" s="28">
        <f t="shared" si="2"/>
        <v>113</v>
      </c>
      <c r="U123" s="27">
        <f t="shared" si="3"/>
        <v>7</v>
      </c>
      <c r="V123" s="39"/>
      <c r="W123" s="40"/>
    </row>
    <row r="124" spans="1:23" ht="31.5" customHeight="1" outlineLevel="1" thickBot="1" x14ac:dyDescent="0.3">
      <c r="A124" s="119"/>
      <c r="B124" s="87" t="s">
        <v>40</v>
      </c>
      <c r="C124" s="80" t="s">
        <v>551</v>
      </c>
      <c r="D124" s="80" t="s">
        <v>551</v>
      </c>
      <c r="E124" s="80" t="s">
        <v>552</v>
      </c>
      <c r="F124" s="80" t="s">
        <v>553</v>
      </c>
      <c r="G124" s="81" t="s">
        <v>112</v>
      </c>
      <c r="H124" s="81" t="s">
        <v>160</v>
      </c>
      <c r="I124" s="81" t="s">
        <v>333</v>
      </c>
      <c r="J124" s="78" t="s">
        <v>297</v>
      </c>
      <c r="K124" s="27">
        <v>170</v>
      </c>
      <c r="L124" s="27">
        <v>1</v>
      </c>
      <c r="M124" s="27">
        <v>14</v>
      </c>
      <c r="N124" s="27">
        <v>3</v>
      </c>
      <c r="O124" s="27">
        <v>44</v>
      </c>
      <c r="P124" s="27">
        <v>3</v>
      </c>
      <c r="Q124" s="27">
        <v>64</v>
      </c>
      <c r="R124" s="27">
        <v>3</v>
      </c>
      <c r="S124" s="27">
        <v>48</v>
      </c>
      <c r="T124" s="28">
        <f t="shared" si="2"/>
        <v>170</v>
      </c>
      <c r="U124" s="27">
        <f t="shared" si="3"/>
        <v>0</v>
      </c>
      <c r="V124" s="39"/>
      <c r="W124" s="40"/>
    </row>
    <row r="125" spans="1:23" ht="31.5" customHeight="1" outlineLevel="1" thickBot="1" x14ac:dyDescent="0.3">
      <c r="A125" s="119"/>
      <c r="B125" s="87" t="s">
        <v>64</v>
      </c>
      <c r="C125" s="80" t="s">
        <v>126</v>
      </c>
      <c r="D125" s="80" t="s">
        <v>554</v>
      </c>
      <c r="E125" s="80" t="s">
        <v>555</v>
      </c>
      <c r="F125" s="80" t="s">
        <v>556</v>
      </c>
      <c r="G125" s="81" t="s">
        <v>107</v>
      </c>
      <c r="H125" s="81" t="s">
        <v>124</v>
      </c>
      <c r="I125" s="81" t="s">
        <v>333</v>
      </c>
      <c r="J125" s="78" t="s">
        <v>297</v>
      </c>
      <c r="K125" s="27">
        <v>60</v>
      </c>
      <c r="L125" s="27">
        <v>0</v>
      </c>
      <c r="M125" s="27">
        <v>0</v>
      </c>
      <c r="N125" s="27">
        <v>0</v>
      </c>
      <c r="O125" s="27">
        <v>0</v>
      </c>
      <c r="P125" s="27">
        <v>1</v>
      </c>
      <c r="Q125" s="27">
        <v>28</v>
      </c>
      <c r="R125" s="27">
        <v>1</v>
      </c>
      <c r="S125" s="27">
        <v>31</v>
      </c>
      <c r="T125" s="28">
        <f t="shared" si="2"/>
        <v>59</v>
      </c>
      <c r="U125" s="27">
        <f t="shared" si="3"/>
        <v>0</v>
      </c>
      <c r="V125" s="44"/>
      <c r="W125" s="45">
        <v>1</v>
      </c>
    </row>
    <row r="126" spans="1:23" ht="31.5" customHeight="1" outlineLevel="1" thickBot="1" x14ac:dyDescent="0.3">
      <c r="A126" s="119"/>
      <c r="B126" s="87" t="s">
        <v>70</v>
      </c>
      <c r="C126" s="80" t="s">
        <v>557</v>
      </c>
      <c r="D126" s="80" t="s">
        <v>558</v>
      </c>
      <c r="E126" s="80" t="s">
        <v>559</v>
      </c>
      <c r="F126" s="80" t="s">
        <v>556</v>
      </c>
      <c r="G126" s="81" t="s">
        <v>118</v>
      </c>
      <c r="H126" s="81" t="s">
        <v>560</v>
      </c>
      <c r="I126" s="81" t="s">
        <v>333</v>
      </c>
      <c r="J126" s="78" t="s">
        <v>297</v>
      </c>
      <c r="K126" s="27">
        <v>112</v>
      </c>
      <c r="L126" s="27">
        <v>0</v>
      </c>
      <c r="M126" s="27">
        <v>0</v>
      </c>
      <c r="N126" s="27">
        <v>0</v>
      </c>
      <c r="O126" s="27">
        <v>0</v>
      </c>
      <c r="P126" s="27">
        <v>3</v>
      </c>
      <c r="Q126" s="27">
        <v>57</v>
      </c>
      <c r="R126" s="27">
        <v>3</v>
      </c>
      <c r="S126" s="27">
        <v>55</v>
      </c>
      <c r="T126" s="28">
        <f t="shared" si="2"/>
        <v>112</v>
      </c>
      <c r="U126" s="27">
        <f t="shared" si="3"/>
        <v>-1</v>
      </c>
      <c r="V126" s="46"/>
      <c r="W126" s="47">
        <v>1</v>
      </c>
    </row>
    <row r="127" spans="1:23" ht="31.5" customHeight="1" outlineLevel="1" thickBot="1" x14ac:dyDescent="0.3">
      <c r="A127" s="119"/>
      <c r="B127" s="87" t="s">
        <v>77</v>
      </c>
      <c r="C127" s="80" t="s">
        <v>561</v>
      </c>
      <c r="D127" s="80" t="s">
        <v>561</v>
      </c>
      <c r="E127" s="80" t="s">
        <v>562</v>
      </c>
      <c r="F127" s="80" t="s">
        <v>556</v>
      </c>
      <c r="G127" s="81" t="s">
        <v>27</v>
      </c>
      <c r="H127" s="81" t="s">
        <v>266</v>
      </c>
      <c r="I127" s="81" t="s">
        <v>333</v>
      </c>
      <c r="J127" s="78" t="s">
        <v>297</v>
      </c>
      <c r="K127" s="27">
        <v>71</v>
      </c>
      <c r="L127" s="27">
        <v>0</v>
      </c>
      <c r="M127" s="27">
        <v>0</v>
      </c>
      <c r="N127" s="27">
        <v>1</v>
      </c>
      <c r="O127" s="27">
        <v>9</v>
      </c>
      <c r="P127" s="27">
        <v>2</v>
      </c>
      <c r="Q127" s="27">
        <v>29</v>
      </c>
      <c r="R127" s="27">
        <v>2</v>
      </c>
      <c r="S127" s="27">
        <v>33</v>
      </c>
      <c r="T127" s="28">
        <f t="shared" si="2"/>
        <v>71</v>
      </c>
      <c r="U127" s="27">
        <f t="shared" si="3"/>
        <v>0</v>
      </c>
      <c r="V127" s="39"/>
      <c r="W127" s="40"/>
    </row>
    <row r="128" spans="1:23" ht="31.5" customHeight="1" outlineLevel="1" thickBot="1" x14ac:dyDescent="0.3">
      <c r="A128" s="119"/>
      <c r="B128" s="87" t="s">
        <v>36</v>
      </c>
      <c r="C128" s="80" t="s">
        <v>563</v>
      </c>
      <c r="D128" s="80" t="s">
        <v>563</v>
      </c>
      <c r="E128" s="80" t="s">
        <v>564</v>
      </c>
      <c r="F128" s="80" t="s">
        <v>546</v>
      </c>
      <c r="G128" s="81" t="s">
        <v>101</v>
      </c>
      <c r="H128" s="81" t="s">
        <v>106</v>
      </c>
      <c r="I128" s="81" t="s">
        <v>333</v>
      </c>
      <c r="J128" s="78" t="s">
        <v>297</v>
      </c>
      <c r="K128" s="27">
        <v>75</v>
      </c>
      <c r="L128" s="27">
        <v>0</v>
      </c>
      <c r="M128" s="27">
        <v>0</v>
      </c>
      <c r="N128" s="27">
        <v>0</v>
      </c>
      <c r="O128" s="27">
        <v>0</v>
      </c>
      <c r="P128" s="27">
        <v>1</v>
      </c>
      <c r="Q128" s="27">
        <v>25</v>
      </c>
      <c r="R128" s="27">
        <v>2</v>
      </c>
      <c r="S128" s="27">
        <v>50</v>
      </c>
      <c r="T128" s="28">
        <f t="shared" si="2"/>
        <v>75</v>
      </c>
      <c r="U128" s="27">
        <f t="shared" si="3"/>
        <v>0</v>
      </c>
      <c r="V128" s="39"/>
      <c r="W128" s="40"/>
    </row>
    <row r="129" spans="1:23" ht="31.5" customHeight="1" outlineLevel="1" thickBot="1" x14ac:dyDescent="0.3">
      <c r="A129" s="119"/>
      <c r="B129" s="88" t="s">
        <v>27</v>
      </c>
      <c r="C129" s="84" t="s">
        <v>565</v>
      </c>
      <c r="D129" s="84" t="s">
        <v>566</v>
      </c>
      <c r="E129" s="84" t="s">
        <v>567</v>
      </c>
      <c r="F129" s="84" t="s">
        <v>556</v>
      </c>
      <c r="G129" s="85" t="s">
        <v>22</v>
      </c>
      <c r="H129" s="85" t="s">
        <v>568</v>
      </c>
      <c r="I129" s="85" t="s">
        <v>29</v>
      </c>
      <c r="J129" s="85" t="s">
        <v>278</v>
      </c>
      <c r="K129" s="35">
        <v>77</v>
      </c>
      <c r="L129" s="35">
        <v>0</v>
      </c>
      <c r="M129" s="35">
        <v>0</v>
      </c>
      <c r="N129" s="35">
        <v>0</v>
      </c>
      <c r="O129" s="35">
        <v>0</v>
      </c>
      <c r="P129" s="35">
        <v>1</v>
      </c>
      <c r="Q129" s="35">
        <v>27</v>
      </c>
      <c r="R129" s="35">
        <v>2</v>
      </c>
      <c r="S129" s="35">
        <v>50</v>
      </c>
      <c r="T129" s="28">
        <f t="shared" si="2"/>
        <v>77</v>
      </c>
      <c r="U129" s="27">
        <f t="shared" si="3"/>
        <v>0</v>
      </c>
      <c r="V129" s="39"/>
      <c r="W129" s="40"/>
    </row>
    <row r="130" spans="1:23" ht="31.5" customHeight="1" outlineLevel="1" thickBot="1" x14ac:dyDescent="0.3">
      <c r="A130" s="7"/>
      <c r="B130" s="60"/>
      <c r="C130" s="61"/>
      <c r="D130" s="61"/>
      <c r="E130" s="61"/>
      <c r="F130" s="61"/>
      <c r="G130" s="60"/>
      <c r="H130" s="62"/>
      <c r="I130" s="60"/>
      <c r="J130" s="60"/>
      <c r="K130" s="63"/>
      <c r="L130" s="63"/>
      <c r="M130" s="63"/>
      <c r="N130" s="63"/>
      <c r="O130" s="63"/>
      <c r="P130" s="63"/>
      <c r="Q130" s="63"/>
      <c r="R130" s="63"/>
      <c r="S130" s="63"/>
      <c r="T130" s="57"/>
      <c r="U130" s="56"/>
      <c r="V130" s="60"/>
      <c r="W130" s="68"/>
    </row>
    <row r="131" spans="1:23" ht="31.5" customHeight="1" outlineLevel="1" thickBot="1" x14ac:dyDescent="0.3">
      <c r="A131" s="116" t="s">
        <v>569</v>
      </c>
      <c r="B131" s="76" t="s">
        <v>22</v>
      </c>
      <c r="C131" s="90" t="s">
        <v>570</v>
      </c>
      <c r="D131" s="90" t="s">
        <v>571</v>
      </c>
      <c r="E131" s="90" t="s">
        <v>572</v>
      </c>
      <c r="F131" s="90" t="s">
        <v>573</v>
      </c>
      <c r="G131" s="78" t="s">
        <v>132</v>
      </c>
      <c r="H131" s="78" t="s">
        <v>526</v>
      </c>
      <c r="I131" s="78" t="s">
        <v>38</v>
      </c>
      <c r="J131" s="78" t="s">
        <v>353</v>
      </c>
      <c r="K131" s="38">
        <v>115</v>
      </c>
      <c r="L131" s="38"/>
      <c r="M131" s="38"/>
      <c r="N131" s="38">
        <v>1</v>
      </c>
      <c r="O131" s="38">
        <v>19</v>
      </c>
      <c r="P131" s="38">
        <v>2</v>
      </c>
      <c r="Q131" s="38">
        <v>48</v>
      </c>
      <c r="R131" s="38">
        <v>2</v>
      </c>
      <c r="S131" s="38">
        <v>48</v>
      </c>
      <c r="T131" s="28">
        <f t="shared" si="2"/>
        <v>115</v>
      </c>
      <c r="U131" s="27">
        <f t="shared" si="3"/>
        <v>-1</v>
      </c>
      <c r="V131" s="54"/>
      <c r="W131" s="40">
        <v>1</v>
      </c>
    </row>
    <row r="132" spans="1:23" ht="31.5" customHeight="1" outlineLevel="1" thickBot="1" x14ac:dyDescent="0.3">
      <c r="A132" s="116"/>
      <c r="B132" s="87" t="s">
        <v>31</v>
      </c>
      <c r="C132" s="80" t="s">
        <v>570</v>
      </c>
      <c r="D132" s="80" t="s">
        <v>574</v>
      </c>
      <c r="E132" s="80" t="s">
        <v>575</v>
      </c>
      <c r="F132" s="80" t="s">
        <v>573</v>
      </c>
      <c r="G132" s="81" t="s">
        <v>100</v>
      </c>
      <c r="H132" s="81" t="s">
        <v>526</v>
      </c>
      <c r="I132" s="81" t="s">
        <v>38</v>
      </c>
      <c r="J132" s="81" t="s">
        <v>297</v>
      </c>
      <c r="K132" s="27">
        <v>115</v>
      </c>
      <c r="L132" s="27">
        <v>1</v>
      </c>
      <c r="M132" s="27">
        <v>19</v>
      </c>
      <c r="N132" s="27"/>
      <c r="O132" s="27"/>
      <c r="P132" s="27">
        <v>2</v>
      </c>
      <c r="Q132" s="27">
        <v>48</v>
      </c>
      <c r="R132" s="27">
        <v>2</v>
      </c>
      <c r="S132" s="27">
        <v>48</v>
      </c>
      <c r="T132" s="28">
        <f t="shared" si="2"/>
        <v>115</v>
      </c>
      <c r="U132" s="27">
        <f t="shared" si="3"/>
        <v>0</v>
      </c>
      <c r="V132" s="39"/>
      <c r="W132" s="40"/>
    </row>
    <row r="133" spans="1:23" ht="31.5" customHeight="1" outlineLevel="1" thickBot="1" x14ac:dyDescent="0.3">
      <c r="A133" s="116"/>
      <c r="B133" s="87" t="s">
        <v>40</v>
      </c>
      <c r="C133" s="80" t="s">
        <v>368</v>
      </c>
      <c r="D133" s="80" t="s">
        <v>576</v>
      </c>
      <c r="E133" s="80" t="s">
        <v>577</v>
      </c>
      <c r="F133" s="80" t="s">
        <v>578</v>
      </c>
      <c r="G133" s="81" t="s">
        <v>64</v>
      </c>
      <c r="H133" s="81" t="s">
        <v>117</v>
      </c>
      <c r="I133" s="81" t="s">
        <v>29</v>
      </c>
      <c r="J133" s="81" t="s">
        <v>278</v>
      </c>
      <c r="K133" s="27">
        <v>150</v>
      </c>
      <c r="L133" s="27"/>
      <c r="M133" s="27"/>
      <c r="N133" s="27"/>
      <c r="O133" s="27"/>
      <c r="P133" s="27">
        <v>3</v>
      </c>
      <c r="Q133" s="27">
        <v>75</v>
      </c>
      <c r="R133" s="27">
        <v>3</v>
      </c>
      <c r="S133" s="27">
        <v>75</v>
      </c>
      <c r="T133" s="28">
        <f t="shared" ref="T133:T196" si="4">SUM(M133,O133,Q133,S133)</f>
        <v>150</v>
      </c>
      <c r="U133" s="27">
        <f t="shared" ref="U133:U196" si="5">SUM(K133-T133-(W133*1))</f>
        <v>0</v>
      </c>
      <c r="V133" s="39"/>
      <c r="W133" s="40"/>
    </row>
    <row r="134" spans="1:23" ht="31.5" customHeight="1" outlineLevel="1" thickBot="1" x14ac:dyDescent="0.3">
      <c r="A134" s="116"/>
      <c r="B134" s="87" t="s">
        <v>64</v>
      </c>
      <c r="C134" s="80" t="s">
        <v>579</v>
      </c>
      <c r="D134" s="80" t="s">
        <v>580</v>
      </c>
      <c r="E134" s="80" t="s">
        <v>581</v>
      </c>
      <c r="F134" s="80" t="s">
        <v>582</v>
      </c>
      <c r="G134" s="81" t="s">
        <v>149</v>
      </c>
      <c r="H134" s="81" t="s">
        <v>96</v>
      </c>
      <c r="I134" s="81" t="s">
        <v>69</v>
      </c>
      <c r="J134" s="81" t="s">
        <v>297</v>
      </c>
      <c r="K134" s="27">
        <v>100</v>
      </c>
      <c r="L134" s="27"/>
      <c r="M134" s="27"/>
      <c r="N134" s="27"/>
      <c r="O134" s="27"/>
      <c r="P134" s="27">
        <v>2</v>
      </c>
      <c r="Q134" s="27">
        <v>50</v>
      </c>
      <c r="R134" s="27">
        <v>2</v>
      </c>
      <c r="S134" s="27">
        <v>47</v>
      </c>
      <c r="T134" s="28">
        <f t="shared" si="4"/>
        <v>97</v>
      </c>
      <c r="U134" s="27">
        <f t="shared" si="5"/>
        <v>2</v>
      </c>
      <c r="V134" s="39"/>
      <c r="W134" s="40">
        <v>1</v>
      </c>
    </row>
    <row r="135" spans="1:23" ht="31.5" customHeight="1" outlineLevel="1" thickBot="1" x14ac:dyDescent="0.3">
      <c r="A135" s="116"/>
      <c r="B135" s="87" t="s">
        <v>70</v>
      </c>
      <c r="C135" s="80" t="s">
        <v>583</v>
      </c>
      <c r="D135" s="80" t="s">
        <v>584</v>
      </c>
      <c r="E135" s="80" t="s">
        <v>585</v>
      </c>
      <c r="F135" s="80" t="s">
        <v>586</v>
      </c>
      <c r="G135" s="81" t="s">
        <v>70</v>
      </c>
      <c r="H135" s="81" t="s">
        <v>587</v>
      </c>
      <c r="I135" s="81" t="s">
        <v>588</v>
      </c>
      <c r="J135" s="81" t="s">
        <v>278</v>
      </c>
      <c r="K135" s="27">
        <v>261</v>
      </c>
      <c r="L135" s="27">
        <v>1</v>
      </c>
      <c r="M135" s="27">
        <v>24</v>
      </c>
      <c r="N135" s="27">
        <v>1</v>
      </c>
      <c r="O135" s="27">
        <v>26</v>
      </c>
      <c r="P135" s="27"/>
      <c r="Q135" s="27">
        <v>118</v>
      </c>
      <c r="R135" s="27"/>
      <c r="S135" s="27">
        <v>94</v>
      </c>
      <c r="T135" s="28">
        <f t="shared" si="4"/>
        <v>262</v>
      </c>
      <c r="U135" s="27">
        <f t="shared" si="5"/>
        <v>-1</v>
      </c>
      <c r="V135" s="39"/>
      <c r="W135" s="40"/>
    </row>
    <row r="136" spans="1:23" ht="31.5" customHeight="1" outlineLevel="1" thickBot="1" x14ac:dyDescent="0.3">
      <c r="A136" s="116"/>
      <c r="B136" s="87" t="s">
        <v>77</v>
      </c>
      <c r="C136" s="80" t="s">
        <v>589</v>
      </c>
      <c r="D136" s="80" t="s">
        <v>590</v>
      </c>
      <c r="E136" s="80" t="s">
        <v>591</v>
      </c>
      <c r="F136" s="80" t="s">
        <v>592</v>
      </c>
      <c r="G136" s="81" t="s">
        <v>153</v>
      </c>
      <c r="H136" s="81" t="s">
        <v>593</v>
      </c>
      <c r="I136" s="81" t="s">
        <v>29</v>
      </c>
      <c r="J136" s="81" t="s">
        <v>594</v>
      </c>
      <c r="K136" s="27">
        <v>87</v>
      </c>
      <c r="L136" s="27"/>
      <c r="M136" s="27"/>
      <c r="N136" s="27"/>
      <c r="O136" s="27"/>
      <c r="P136" s="27">
        <v>2</v>
      </c>
      <c r="Q136" s="27">
        <v>33</v>
      </c>
      <c r="R136" s="27">
        <v>3</v>
      </c>
      <c r="S136" s="27">
        <v>52</v>
      </c>
      <c r="T136" s="28">
        <f t="shared" si="4"/>
        <v>85</v>
      </c>
      <c r="U136" s="27">
        <f t="shared" si="5"/>
        <v>1</v>
      </c>
      <c r="V136" s="46"/>
      <c r="W136" s="47">
        <v>1</v>
      </c>
    </row>
    <row r="137" spans="1:23" ht="31.5" customHeight="1" outlineLevel="1" thickBot="1" x14ac:dyDescent="0.3">
      <c r="A137" s="116"/>
      <c r="B137" s="87" t="s">
        <v>36</v>
      </c>
      <c r="C137" s="80" t="s">
        <v>595</v>
      </c>
      <c r="D137" s="80" t="s">
        <v>596</v>
      </c>
      <c r="E137" s="80" t="s">
        <v>597</v>
      </c>
      <c r="F137" s="80" t="s">
        <v>598</v>
      </c>
      <c r="G137" s="81" t="s">
        <v>27</v>
      </c>
      <c r="H137" s="81" t="s">
        <v>526</v>
      </c>
      <c r="I137" s="81" t="s">
        <v>29</v>
      </c>
      <c r="J137" s="81" t="s">
        <v>278</v>
      </c>
      <c r="K137" s="27">
        <v>115</v>
      </c>
      <c r="L137" s="27"/>
      <c r="M137" s="27"/>
      <c r="N137" s="27"/>
      <c r="O137" s="27"/>
      <c r="P137" s="27">
        <v>3</v>
      </c>
      <c r="Q137" s="27">
        <v>53</v>
      </c>
      <c r="R137" s="27">
        <v>5</v>
      </c>
      <c r="S137" s="27">
        <v>62</v>
      </c>
      <c r="T137" s="28">
        <f t="shared" si="4"/>
        <v>115</v>
      </c>
      <c r="U137" s="27">
        <f t="shared" si="5"/>
        <v>0</v>
      </c>
      <c r="V137" s="39"/>
      <c r="W137" s="40"/>
    </row>
    <row r="138" spans="1:23" ht="31.5" customHeight="1" outlineLevel="1" thickBot="1" x14ac:dyDescent="0.3">
      <c r="A138" s="116"/>
      <c r="B138" s="87" t="s">
        <v>27</v>
      </c>
      <c r="C138" s="80" t="s">
        <v>599</v>
      </c>
      <c r="D138" s="80" t="s">
        <v>600</v>
      </c>
      <c r="E138" s="80" t="s">
        <v>601</v>
      </c>
      <c r="F138" s="80" t="s">
        <v>578</v>
      </c>
      <c r="G138" s="81" t="s">
        <v>139</v>
      </c>
      <c r="H138" s="81" t="s">
        <v>92</v>
      </c>
      <c r="I138" s="81" t="s">
        <v>29</v>
      </c>
      <c r="J138" s="81" t="s">
        <v>297</v>
      </c>
      <c r="K138" s="27">
        <v>65</v>
      </c>
      <c r="L138" s="27"/>
      <c r="M138" s="27"/>
      <c r="N138" s="27"/>
      <c r="O138" s="27"/>
      <c r="P138" s="27">
        <v>2</v>
      </c>
      <c r="Q138" s="27">
        <v>27</v>
      </c>
      <c r="R138" s="27">
        <v>2</v>
      </c>
      <c r="S138" s="27">
        <v>38</v>
      </c>
      <c r="T138" s="28">
        <f t="shared" si="4"/>
        <v>65</v>
      </c>
      <c r="U138" s="27">
        <f t="shared" si="5"/>
        <v>0</v>
      </c>
      <c r="V138" s="39"/>
      <c r="W138" s="40"/>
    </row>
    <row r="139" spans="1:23" ht="31.5" customHeight="1" outlineLevel="1" thickBot="1" x14ac:dyDescent="0.3">
      <c r="A139" s="116"/>
      <c r="B139" s="87" t="s">
        <v>45</v>
      </c>
      <c r="C139" s="80" t="s">
        <v>602</v>
      </c>
      <c r="D139" s="80" t="s">
        <v>603</v>
      </c>
      <c r="E139" s="80" t="s">
        <v>604</v>
      </c>
      <c r="F139" s="80" t="s">
        <v>605</v>
      </c>
      <c r="G139" s="81" t="s">
        <v>111</v>
      </c>
      <c r="H139" s="81" t="s">
        <v>85</v>
      </c>
      <c r="I139" s="81" t="s">
        <v>38</v>
      </c>
      <c r="J139" s="81" t="s">
        <v>297</v>
      </c>
      <c r="K139" s="27">
        <v>140</v>
      </c>
      <c r="L139" s="27"/>
      <c r="M139" s="27"/>
      <c r="N139" s="27"/>
      <c r="O139" s="27">
        <v>34</v>
      </c>
      <c r="P139" s="27"/>
      <c r="Q139" s="27">
        <v>51</v>
      </c>
      <c r="R139" s="27"/>
      <c r="S139" s="27">
        <v>55</v>
      </c>
      <c r="T139" s="28">
        <f t="shared" si="4"/>
        <v>140</v>
      </c>
      <c r="U139" s="27">
        <f t="shared" si="5"/>
        <v>0</v>
      </c>
      <c r="V139" s="39"/>
      <c r="W139" s="40"/>
    </row>
    <row r="140" spans="1:23" ht="31.5" customHeight="1" outlineLevel="1" thickBot="1" x14ac:dyDescent="0.3">
      <c r="A140" s="116"/>
      <c r="B140" s="87" t="s">
        <v>97</v>
      </c>
      <c r="C140" s="80" t="s">
        <v>589</v>
      </c>
      <c r="D140" s="80" t="s">
        <v>606</v>
      </c>
      <c r="E140" s="80" t="s">
        <v>607</v>
      </c>
      <c r="F140" s="80" t="s">
        <v>592</v>
      </c>
      <c r="G140" s="81" t="s">
        <v>125</v>
      </c>
      <c r="H140" s="81" t="s">
        <v>160</v>
      </c>
      <c r="I140" s="81" t="s">
        <v>29</v>
      </c>
      <c r="J140" s="81" t="s">
        <v>297</v>
      </c>
      <c r="K140" s="27">
        <v>170</v>
      </c>
      <c r="L140" s="27"/>
      <c r="M140" s="27"/>
      <c r="N140" s="27"/>
      <c r="O140" s="27"/>
      <c r="P140" s="27"/>
      <c r="Q140" s="27">
        <v>85</v>
      </c>
      <c r="R140" s="27"/>
      <c r="S140" s="27">
        <v>85</v>
      </c>
      <c r="T140" s="28">
        <f t="shared" si="4"/>
        <v>170</v>
      </c>
      <c r="U140" s="27">
        <f t="shared" si="5"/>
        <v>0</v>
      </c>
      <c r="V140" s="39"/>
      <c r="W140" s="40"/>
    </row>
    <row r="141" spans="1:23" ht="31.5" customHeight="1" outlineLevel="1" thickBot="1" x14ac:dyDescent="0.3">
      <c r="A141" s="116"/>
      <c r="B141" s="87" t="s">
        <v>101</v>
      </c>
      <c r="C141" s="80" t="s">
        <v>608</v>
      </c>
      <c r="D141" s="80" t="s">
        <v>609</v>
      </c>
      <c r="E141" s="80" t="s">
        <v>610</v>
      </c>
      <c r="F141" s="80" t="s">
        <v>582</v>
      </c>
      <c r="G141" s="81" t="s">
        <v>36</v>
      </c>
      <c r="H141" s="81" t="s">
        <v>611</v>
      </c>
      <c r="I141" s="81" t="s">
        <v>38</v>
      </c>
      <c r="J141" s="81" t="s">
        <v>278</v>
      </c>
      <c r="K141" s="27">
        <v>117</v>
      </c>
      <c r="L141" s="27"/>
      <c r="M141" s="27"/>
      <c r="N141" s="27">
        <v>1</v>
      </c>
      <c r="O141" s="27">
        <v>25</v>
      </c>
      <c r="P141" s="27">
        <v>3</v>
      </c>
      <c r="Q141" s="27">
        <v>67</v>
      </c>
      <c r="R141" s="27">
        <v>1</v>
      </c>
      <c r="S141" s="27">
        <v>25</v>
      </c>
      <c r="T141" s="28">
        <f t="shared" si="4"/>
        <v>117</v>
      </c>
      <c r="U141" s="27">
        <f t="shared" si="5"/>
        <v>0</v>
      </c>
      <c r="V141" s="39"/>
      <c r="W141" s="40"/>
    </row>
    <row r="142" spans="1:23" ht="31.5" customHeight="1" outlineLevel="1" thickBot="1" x14ac:dyDescent="0.3">
      <c r="A142" s="116"/>
      <c r="B142" s="87" t="s">
        <v>107</v>
      </c>
      <c r="C142" s="80" t="s">
        <v>612</v>
      </c>
      <c r="D142" s="80" t="s">
        <v>613</v>
      </c>
      <c r="E142" s="80" t="s">
        <v>614</v>
      </c>
      <c r="F142" s="80" t="s">
        <v>615</v>
      </c>
      <c r="G142" s="81" t="s">
        <v>91</v>
      </c>
      <c r="H142" s="81" t="s">
        <v>124</v>
      </c>
      <c r="I142" s="81" t="s">
        <v>29</v>
      </c>
      <c r="J142" s="81" t="s">
        <v>297</v>
      </c>
      <c r="K142" s="27">
        <v>60</v>
      </c>
      <c r="L142" s="27"/>
      <c r="M142" s="27"/>
      <c r="N142" s="27"/>
      <c r="O142" s="27"/>
      <c r="P142" s="27">
        <v>1</v>
      </c>
      <c r="Q142" s="27">
        <v>20</v>
      </c>
      <c r="R142" s="27">
        <v>2</v>
      </c>
      <c r="S142" s="27">
        <v>40</v>
      </c>
      <c r="T142" s="28">
        <f t="shared" si="4"/>
        <v>60</v>
      </c>
      <c r="U142" s="27">
        <f t="shared" si="5"/>
        <v>0</v>
      </c>
      <c r="V142" s="39"/>
      <c r="W142" s="40"/>
    </row>
    <row r="143" spans="1:23" ht="31.5" customHeight="1" outlineLevel="1" thickBot="1" x14ac:dyDescent="0.3">
      <c r="A143" s="116"/>
      <c r="B143" s="87" t="s">
        <v>112</v>
      </c>
      <c r="C143" s="80" t="s">
        <v>616</v>
      </c>
      <c r="D143" s="80" t="s">
        <v>617</v>
      </c>
      <c r="E143" s="80" t="s">
        <v>618</v>
      </c>
      <c r="F143" s="80" t="s">
        <v>619</v>
      </c>
      <c r="G143" s="81" t="s">
        <v>77</v>
      </c>
      <c r="H143" s="81" t="s">
        <v>68</v>
      </c>
      <c r="I143" s="81" t="s">
        <v>29</v>
      </c>
      <c r="J143" s="81" t="s">
        <v>278</v>
      </c>
      <c r="K143" s="27">
        <v>120</v>
      </c>
      <c r="L143" s="27"/>
      <c r="M143" s="27"/>
      <c r="N143" s="27"/>
      <c r="O143" s="27"/>
      <c r="P143" s="27">
        <v>4</v>
      </c>
      <c r="Q143" s="27">
        <v>60</v>
      </c>
      <c r="R143" s="27">
        <v>3</v>
      </c>
      <c r="S143" s="27">
        <v>59</v>
      </c>
      <c r="T143" s="28">
        <f t="shared" si="4"/>
        <v>119</v>
      </c>
      <c r="U143" s="27">
        <f>SUM(K143-T143-(W143*1))</f>
        <v>0</v>
      </c>
      <c r="V143" s="39"/>
      <c r="W143" s="40">
        <v>1</v>
      </c>
    </row>
    <row r="144" spans="1:23" ht="31.5" customHeight="1" outlineLevel="1" thickBot="1" x14ac:dyDescent="0.3">
      <c r="A144" s="116"/>
      <c r="B144" s="87" t="s">
        <v>118</v>
      </c>
      <c r="C144" s="80" t="s">
        <v>620</v>
      </c>
      <c r="D144" s="80" t="s">
        <v>621</v>
      </c>
      <c r="E144" s="80" t="s">
        <v>622</v>
      </c>
      <c r="F144" s="80" t="s">
        <v>623</v>
      </c>
      <c r="G144" s="81" t="s">
        <v>154</v>
      </c>
      <c r="H144" s="81" t="s">
        <v>624</v>
      </c>
      <c r="I144" s="81" t="s">
        <v>69</v>
      </c>
      <c r="J144" s="81" t="s">
        <v>297</v>
      </c>
      <c r="K144" s="27">
        <v>207</v>
      </c>
      <c r="L144" s="27">
        <v>1</v>
      </c>
      <c r="M144" s="27">
        <v>22</v>
      </c>
      <c r="N144" s="27">
        <v>2</v>
      </c>
      <c r="O144" s="27">
        <v>44</v>
      </c>
      <c r="P144" s="27">
        <v>3</v>
      </c>
      <c r="Q144" s="27">
        <v>70</v>
      </c>
      <c r="R144" s="27">
        <v>3</v>
      </c>
      <c r="S144" s="27">
        <v>71</v>
      </c>
      <c r="T144" s="28">
        <f t="shared" si="4"/>
        <v>207</v>
      </c>
      <c r="U144" s="27">
        <f t="shared" si="5"/>
        <v>0</v>
      </c>
      <c r="V144" s="39"/>
      <c r="W144" s="40"/>
    </row>
    <row r="145" spans="1:23" ht="31.5" customHeight="1" outlineLevel="1" thickBot="1" x14ac:dyDescent="0.3">
      <c r="A145" s="116"/>
      <c r="B145" s="87" t="s">
        <v>125</v>
      </c>
      <c r="C145" s="80" t="s">
        <v>625</v>
      </c>
      <c r="D145" s="80" t="s">
        <v>626</v>
      </c>
      <c r="E145" s="80" t="s">
        <v>627</v>
      </c>
      <c r="F145" s="80" t="s">
        <v>598</v>
      </c>
      <c r="G145" s="81" t="s">
        <v>45</v>
      </c>
      <c r="H145" s="81">
        <v>80</v>
      </c>
      <c r="I145" s="81" t="s">
        <v>29</v>
      </c>
      <c r="J145" s="81" t="s">
        <v>278</v>
      </c>
      <c r="K145" s="27">
        <v>80</v>
      </c>
      <c r="L145" s="27"/>
      <c r="M145" s="27"/>
      <c r="N145" s="27"/>
      <c r="O145" s="27"/>
      <c r="P145" s="27"/>
      <c r="Q145" s="27">
        <v>21</v>
      </c>
      <c r="R145" s="27"/>
      <c r="S145" s="27">
        <v>59</v>
      </c>
      <c r="T145" s="28">
        <f t="shared" si="4"/>
        <v>80</v>
      </c>
      <c r="U145" s="27">
        <f t="shared" si="5"/>
        <v>0</v>
      </c>
      <c r="V145" s="39"/>
      <c r="W145" s="40"/>
    </row>
    <row r="146" spans="1:23" ht="31.5" customHeight="1" outlineLevel="1" thickBot="1" x14ac:dyDescent="0.3">
      <c r="A146" s="116"/>
      <c r="B146" s="87" t="s">
        <v>132</v>
      </c>
      <c r="C146" s="80" t="s">
        <v>628</v>
      </c>
      <c r="D146" s="80" t="s">
        <v>629</v>
      </c>
      <c r="E146" s="80" t="s">
        <v>630</v>
      </c>
      <c r="F146" s="80" t="s">
        <v>598</v>
      </c>
      <c r="G146" s="81" t="s">
        <v>97</v>
      </c>
      <c r="H146" s="81" t="s">
        <v>230</v>
      </c>
      <c r="I146" s="81" t="s">
        <v>38</v>
      </c>
      <c r="J146" s="81" t="s">
        <v>278</v>
      </c>
      <c r="K146" s="27">
        <v>80</v>
      </c>
      <c r="L146" s="27"/>
      <c r="M146" s="27"/>
      <c r="N146" s="27">
        <v>1</v>
      </c>
      <c r="O146" s="27">
        <v>13</v>
      </c>
      <c r="P146" s="27">
        <v>1</v>
      </c>
      <c r="Q146" s="27">
        <v>17</v>
      </c>
      <c r="R146" s="27">
        <v>3</v>
      </c>
      <c r="S146" s="27">
        <v>50</v>
      </c>
      <c r="T146" s="28">
        <f t="shared" si="4"/>
        <v>80</v>
      </c>
      <c r="U146" s="27">
        <f t="shared" si="5"/>
        <v>0</v>
      </c>
      <c r="V146" s="46"/>
      <c r="W146" s="47"/>
    </row>
    <row r="147" spans="1:23" ht="31.5" customHeight="1" outlineLevel="1" thickBot="1" x14ac:dyDescent="0.3">
      <c r="A147" s="116"/>
      <c r="B147" s="88">
        <v>17</v>
      </c>
      <c r="C147" s="84" t="s">
        <v>631</v>
      </c>
      <c r="D147" s="84" t="s">
        <v>632</v>
      </c>
      <c r="E147" s="84" t="s">
        <v>633</v>
      </c>
      <c r="F147" s="84" t="s">
        <v>598</v>
      </c>
      <c r="G147" s="85" t="s">
        <v>265</v>
      </c>
      <c r="H147" s="88" t="s">
        <v>46</v>
      </c>
      <c r="I147" s="85" t="s">
        <v>29</v>
      </c>
      <c r="J147" s="85" t="s">
        <v>508</v>
      </c>
      <c r="K147" s="35">
        <v>40</v>
      </c>
      <c r="L147" s="35"/>
      <c r="M147" s="35"/>
      <c r="N147" s="35"/>
      <c r="O147" s="35"/>
      <c r="P147" s="35">
        <v>1</v>
      </c>
      <c r="Q147" s="35">
        <v>20</v>
      </c>
      <c r="R147" s="35">
        <v>1</v>
      </c>
      <c r="S147" s="35">
        <v>20</v>
      </c>
      <c r="T147" s="28">
        <f t="shared" si="4"/>
        <v>40</v>
      </c>
      <c r="U147" s="27">
        <f t="shared" si="5"/>
        <v>0</v>
      </c>
      <c r="V147" s="39"/>
      <c r="W147" s="40"/>
    </row>
    <row r="148" spans="1:23" ht="31.5" customHeight="1" outlineLevel="1" thickBot="1" x14ac:dyDescent="0.3">
      <c r="A148" s="7"/>
      <c r="B148" s="60"/>
      <c r="C148" s="61"/>
      <c r="D148" s="61"/>
      <c r="E148" s="61"/>
      <c r="F148" s="61"/>
      <c r="G148" s="60"/>
      <c r="H148" s="62"/>
      <c r="I148" s="60"/>
      <c r="J148" s="60"/>
      <c r="K148" s="63"/>
      <c r="L148" s="63"/>
      <c r="M148" s="63"/>
      <c r="N148" s="63"/>
      <c r="O148" s="63"/>
      <c r="P148" s="63"/>
      <c r="Q148" s="63"/>
      <c r="R148" s="63"/>
      <c r="S148" s="63"/>
      <c r="T148" s="57"/>
      <c r="U148" s="56"/>
      <c r="V148" s="60"/>
      <c r="W148" s="68"/>
    </row>
    <row r="149" spans="1:23" ht="31.5" customHeight="1" outlineLevel="1" thickBot="1" x14ac:dyDescent="0.3">
      <c r="A149" s="116" t="s">
        <v>634</v>
      </c>
      <c r="B149" s="89" t="s">
        <v>22</v>
      </c>
      <c r="C149" s="90" t="s">
        <v>635</v>
      </c>
      <c r="D149" s="90" t="s">
        <v>636</v>
      </c>
      <c r="E149" s="90" t="s">
        <v>637</v>
      </c>
      <c r="F149" s="90" t="s">
        <v>638</v>
      </c>
      <c r="G149" s="78" t="s">
        <v>125</v>
      </c>
      <c r="H149" s="78" t="s">
        <v>207</v>
      </c>
      <c r="I149" s="78" t="s">
        <v>639</v>
      </c>
      <c r="J149" s="78" t="s">
        <v>640</v>
      </c>
      <c r="K149" s="38">
        <v>52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2</v>
      </c>
      <c r="S149" s="38">
        <v>40</v>
      </c>
      <c r="T149" s="28">
        <f t="shared" si="4"/>
        <v>40</v>
      </c>
      <c r="U149" s="27">
        <f t="shared" si="5"/>
        <v>12</v>
      </c>
      <c r="V149" s="46"/>
      <c r="W149" s="47"/>
    </row>
    <row r="150" spans="1:23" ht="31.5" customHeight="1" outlineLevel="1" thickBot="1" x14ac:dyDescent="0.3">
      <c r="A150" s="116"/>
      <c r="B150" s="79" t="s">
        <v>31</v>
      </c>
      <c r="C150" s="80" t="s">
        <v>641</v>
      </c>
      <c r="D150" s="80" t="s">
        <v>642</v>
      </c>
      <c r="E150" s="80" t="s">
        <v>643</v>
      </c>
      <c r="F150" s="80" t="s">
        <v>644</v>
      </c>
      <c r="G150" s="81" t="s">
        <v>139</v>
      </c>
      <c r="H150" s="81" t="s">
        <v>96</v>
      </c>
      <c r="I150" s="81" t="s">
        <v>645</v>
      </c>
      <c r="J150" s="78" t="s">
        <v>646</v>
      </c>
      <c r="K150" s="27">
        <v>100</v>
      </c>
      <c r="L150" s="27">
        <v>1</v>
      </c>
      <c r="M150" s="27">
        <v>17</v>
      </c>
      <c r="N150" s="27">
        <v>1</v>
      </c>
      <c r="O150" s="27">
        <v>23</v>
      </c>
      <c r="P150" s="27">
        <v>1</v>
      </c>
      <c r="Q150" s="27">
        <v>26</v>
      </c>
      <c r="R150" s="27">
        <v>1</v>
      </c>
      <c r="S150" s="27">
        <v>34</v>
      </c>
      <c r="T150" s="28">
        <f t="shared" si="4"/>
        <v>100</v>
      </c>
      <c r="U150" s="27">
        <f t="shared" si="5"/>
        <v>0</v>
      </c>
      <c r="V150" s="39"/>
      <c r="W150" s="40"/>
    </row>
    <row r="151" spans="1:23" ht="31.5" customHeight="1" outlineLevel="1" thickBot="1" x14ac:dyDescent="0.3">
      <c r="A151" s="116"/>
      <c r="B151" s="79" t="s">
        <v>40</v>
      </c>
      <c r="C151" s="80" t="s">
        <v>647</v>
      </c>
      <c r="D151" s="80" t="s">
        <v>648</v>
      </c>
      <c r="E151" s="80" t="s">
        <v>649</v>
      </c>
      <c r="F151" s="80" t="s">
        <v>650</v>
      </c>
      <c r="G151" s="81" t="s">
        <v>27</v>
      </c>
      <c r="H151" s="81" t="s">
        <v>230</v>
      </c>
      <c r="I151" s="81" t="s">
        <v>29</v>
      </c>
      <c r="J151" s="81" t="s">
        <v>651</v>
      </c>
      <c r="K151" s="27">
        <v>80</v>
      </c>
      <c r="L151" s="27">
        <v>0</v>
      </c>
      <c r="M151" s="27">
        <v>0</v>
      </c>
      <c r="N151" s="27">
        <v>0</v>
      </c>
      <c r="O151" s="27">
        <v>0</v>
      </c>
      <c r="P151" s="27">
        <v>2</v>
      </c>
      <c r="Q151" s="27">
        <v>32</v>
      </c>
      <c r="R151" s="27">
        <v>2</v>
      </c>
      <c r="S151" s="27">
        <v>40</v>
      </c>
      <c r="T151" s="28">
        <f t="shared" si="4"/>
        <v>72</v>
      </c>
      <c r="U151" s="27">
        <f t="shared" si="5"/>
        <v>8</v>
      </c>
      <c r="V151" s="46"/>
      <c r="W151" s="47"/>
    </row>
    <row r="152" spans="1:23" ht="31.5" customHeight="1" outlineLevel="1" thickBot="1" x14ac:dyDescent="0.3">
      <c r="A152" s="116"/>
      <c r="B152" s="79" t="s">
        <v>64</v>
      </c>
      <c r="C152" s="80" t="s">
        <v>652</v>
      </c>
      <c r="D152" s="80" t="s">
        <v>653</v>
      </c>
      <c r="E152" s="80" t="s">
        <v>654</v>
      </c>
      <c r="F152" s="80" t="s">
        <v>638</v>
      </c>
      <c r="G152" s="81" t="s">
        <v>64</v>
      </c>
      <c r="H152" s="81" t="s">
        <v>504</v>
      </c>
      <c r="I152" s="81" t="s">
        <v>38</v>
      </c>
      <c r="J152" s="81" t="s">
        <v>655</v>
      </c>
      <c r="K152" s="27">
        <v>145</v>
      </c>
      <c r="L152" s="27">
        <v>0</v>
      </c>
      <c r="M152" s="27">
        <v>0</v>
      </c>
      <c r="N152" s="27">
        <v>2</v>
      </c>
      <c r="O152" s="27">
        <v>47</v>
      </c>
      <c r="P152" s="27">
        <v>2</v>
      </c>
      <c r="Q152" s="27">
        <v>39</v>
      </c>
      <c r="R152" s="27">
        <v>3</v>
      </c>
      <c r="S152" s="27">
        <v>60</v>
      </c>
      <c r="T152" s="28">
        <f t="shared" si="4"/>
        <v>146</v>
      </c>
      <c r="U152" s="27">
        <f t="shared" si="5"/>
        <v>-1</v>
      </c>
      <c r="V152" s="39"/>
      <c r="W152" s="40"/>
    </row>
    <row r="153" spans="1:23" ht="31.5" customHeight="1" outlineLevel="1" thickBot="1" x14ac:dyDescent="0.3">
      <c r="A153" s="116"/>
      <c r="B153" s="79" t="s">
        <v>70</v>
      </c>
      <c r="C153" s="80" t="s">
        <v>656</v>
      </c>
      <c r="D153" s="80" t="s">
        <v>657</v>
      </c>
      <c r="E153" s="80" t="s">
        <v>658</v>
      </c>
      <c r="F153" s="80" t="s">
        <v>659</v>
      </c>
      <c r="G153" s="81" t="s">
        <v>70</v>
      </c>
      <c r="H153" s="81" t="s">
        <v>660</v>
      </c>
      <c r="I153" s="81" t="s">
        <v>38</v>
      </c>
      <c r="J153" s="81" t="s">
        <v>651</v>
      </c>
      <c r="K153" s="27">
        <v>214</v>
      </c>
      <c r="L153" s="27">
        <v>0</v>
      </c>
      <c r="M153" s="27">
        <v>0</v>
      </c>
      <c r="N153" s="27">
        <v>2</v>
      </c>
      <c r="O153" s="27">
        <v>49</v>
      </c>
      <c r="P153" s="27">
        <v>4</v>
      </c>
      <c r="Q153" s="27">
        <v>90</v>
      </c>
      <c r="R153" s="27">
        <v>3</v>
      </c>
      <c r="S153" s="27">
        <v>75</v>
      </c>
      <c r="T153" s="28">
        <f t="shared" si="4"/>
        <v>214</v>
      </c>
      <c r="U153" s="27">
        <f t="shared" si="5"/>
        <v>0</v>
      </c>
      <c r="V153" s="39"/>
      <c r="W153" s="40"/>
    </row>
    <row r="154" spans="1:23" ht="31.5" customHeight="1" outlineLevel="1" thickBot="1" x14ac:dyDescent="0.3">
      <c r="A154" s="116"/>
      <c r="B154" s="79" t="s">
        <v>77</v>
      </c>
      <c r="C154" s="80" t="s">
        <v>661</v>
      </c>
      <c r="D154" s="80" t="s">
        <v>662</v>
      </c>
      <c r="E154" s="80" t="s">
        <v>663</v>
      </c>
      <c r="F154" s="80" t="s">
        <v>638</v>
      </c>
      <c r="G154" s="81" t="s">
        <v>132</v>
      </c>
      <c r="H154" s="81" t="s">
        <v>215</v>
      </c>
      <c r="I154" s="81" t="s">
        <v>38</v>
      </c>
      <c r="J154" s="78" t="s">
        <v>646</v>
      </c>
      <c r="K154" s="27">
        <v>35</v>
      </c>
      <c r="L154" s="27">
        <v>0</v>
      </c>
      <c r="M154" s="27">
        <v>0</v>
      </c>
      <c r="N154" s="27">
        <v>1</v>
      </c>
      <c r="O154" s="27">
        <v>2</v>
      </c>
      <c r="P154" s="27">
        <v>1</v>
      </c>
      <c r="Q154" s="27">
        <v>9</v>
      </c>
      <c r="R154" s="27">
        <v>1</v>
      </c>
      <c r="S154" s="27">
        <v>9</v>
      </c>
      <c r="T154" s="28">
        <f t="shared" si="4"/>
        <v>20</v>
      </c>
      <c r="U154" s="27">
        <f t="shared" si="5"/>
        <v>15</v>
      </c>
      <c r="V154" s="44"/>
      <c r="W154" s="45"/>
    </row>
    <row r="155" spans="1:23" ht="31.5" customHeight="1" outlineLevel="1" thickBot="1" x14ac:dyDescent="0.3">
      <c r="A155" s="116"/>
      <c r="B155" s="79" t="s">
        <v>36</v>
      </c>
      <c r="C155" s="80" t="s">
        <v>664</v>
      </c>
      <c r="D155" s="80" t="s">
        <v>664</v>
      </c>
      <c r="E155" s="80" t="s">
        <v>665</v>
      </c>
      <c r="F155" s="80" t="s">
        <v>666</v>
      </c>
      <c r="G155" s="81" t="s">
        <v>45</v>
      </c>
      <c r="H155" s="81" t="s">
        <v>28</v>
      </c>
      <c r="I155" s="81" t="s">
        <v>38</v>
      </c>
      <c r="J155" s="81" t="s">
        <v>651</v>
      </c>
      <c r="K155" s="27">
        <v>50</v>
      </c>
      <c r="L155" s="27">
        <v>0</v>
      </c>
      <c r="M155" s="27">
        <v>0</v>
      </c>
      <c r="N155" s="27">
        <v>0</v>
      </c>
      <c r="O155" s="27">
        <v>0</v>
      </c>
      <c r="P155" s="27">
        <v>1</v>
      </c>
      <c r="Q155" s="27">
        <v>11</v>
      </c>
      <c r="R155" s="27">
        <v>2</v>
      </c>
      <c r="S155" s="27">
        <v>39</v>
      </c>
      <c r="T155" s="28">
        <f t="shared" si="4"/>
        <v>50</v>
      </c>
      <c r="U155" s="27">
        <f t="shared" si="5"/>
        <v>0</v>
      </c>
      <c r="V155" s="94"/>
      <c r="W155" s="45"/>
    </row>
    <row r="156" spans="1:23" ht="31.5" customHeight="1" outlineLevel="1" thickBot="1" x14ac:dyDescent="0.3">
      <c r="A156" s="116"/>
      <c r="B156" s="79" t="s">
        <v>27</v>
      </c>
      <c r="C156" s="80" t="s">
        <v>667</v>
      </c>
      <c r="D156" s="80" t="s">
        <v>667</v>
      </c>
      <c r="E156" s="80" t="s">
        <v>668</v>
      </c>
      <c r="F156" s="80" t="s">
        <v>669</v>
      </c>
      <c r="G156" s="81" t="s">
        <v>97</v>
      </c>
      <c r="H156" s="81" t="s">
        <v>375</v>
      </c>
      <c r="I156" s="81" t="s">
        <v>38</v>
      </c>
      <c r="J156" s="81" t="s">
        <v>655</v>
      </c>
      <c r="K156" s="27">
        <v>98</v>
      </c>
      <c r="L156" s="27">
        <v>1</v>
      </c>
      <c r="M156" s="27">
        <v>10</v>
      </c>
      <c r="N156" s="27">
        <v>2</v>
      </c>
      <c r="O156" s="27">
        <v>25</v>
      </c>
      <c r="P156" s="27">
        <v>2</v>
      </c>
      <c r="Q156" s="27">
        <v>35</v>
      </c>
      <c r="R156" s="27">
        <v>1</v>
      </c>
      <c r="S156" s="27">
        <v>25</v>
      </c>
      <c r="T156" s="28">
        <f t="shared" si="4"/>
        <v>95</v>
      </c>
      <c r="U156" s="27">
        <f t="shared" si="5"/>
        <v>3</v>
      </c>
      <c r="V156" s="39"/>
      <c r="W156" s="40"/>
    </row>
    <row r="157" spans="1:23" ht="31.5" customHeight="1" outlineLevel="1" thickBot="1" x14ac:dyDescent="0.3">
      <c r="A157" s="116"/>
      <c r="B157" s="79" t="s">
        <v>45</v>
      </c>
      <c r="C157" s="80" t="s">
        <v>392</v>
      </c>
      <c r="D157" s="80" t="s">
        <v>392</v>
      </c>
      <c r="E157" s="80" t="s">
        <v>670</v>
      </c>
      <c r="F157" s="80" t="s">
        <v>638</v>
      </c>
      <c r="G157" s="81" t="s">
        <v>77</v>
      </c>
      <c r="H157" s="81" t="s">
        <v>137</v>
      </c>
      <c r="I157" s="81" t="s">
        <v>38</v>
      </c>
      <c r="J157" s="81" t="s">
        <v>651</v>
      </c>
      <c r="K157" s="27">
        <v>56</v>
      </c>
      <c r="L157" s="27">
        <v>0</v>
      </c>
      <c r="M157" s="27">
        <v>0</v>
      </c>
      <c r="N157" s="27">
        <v>1</v>
      </c>
      <c r="O157" s="27">
        <v>17</v>
      </c>
      <c r="P157" s="27">
        <v>2</v>
      </c>
      <c r="Q157" s="27">
        <v>21</v>
      </c>
      <c r="R157" s="27">
        <v>2</v>
      </c>
      <c r="S157" s="27">
        <v>21</v>
      </c>
      <c r="T157" s="28">
        <f t="shared" si="4"/>
        <v>59</v>
      </c>
      <c r="U157" s="27">
        <f t="shared" si="5"/>
        <v>-3</v>
      </c>
      <c r="V157" s="39"/>
      <c r="W157" s="40"/>
    </row>
    <row r="158" spans="1:23" ht="31.5" customHeight="1" outlineLevel="1" thickBot="1" x14ac:dyDescent="0.3">
      <c r="A158" s="116"/>
      <c r="B158" s="83" t="s">
        <v>97</v>
      </c>
      <c r="C158" s="84" t="s">
        <v>620</v>
      </c>
      <c r="D158" s="84" t="s">
        <v>671</v>
      </c>
      <c r="E158" s="84" t="s">
        <v>672</v>
      </c>
      <c r="F158" s="84" t="s">
        <v>638</v>
      </c>
      <c r="G158" s="85" t="s">
        <v>36</v>
      </c>
      <c r="H158" s="85" t="s">
        <v>287</v>
      </c>
      <c r="I158" s="85" t="s">
        <v>333</v>
      </c>
      <c r="J158" s="85" t="s">
        <v>655</v>
      </c>
      <c r="K158" s="35">
        <v>200</v>
      </c>
      <c r="L158" s="35">
        <v>1</v>
      </c>
      <c r="M158" s="35">
        <v>18</v>
      </c>
      <c r="N158" s="35">
        <v>2</v>
      </c>
      <c r="O158" s="35">
        <v>44</v>
      </c>
      <c r="P158" s="35">
        <v>3</v>
      </c>
      <c r="Q158" s="35">
        <v>69</v>
      </c>
      <c r="R158" s="35">
        <v>3</v>
      </c>
      <c r="S158" s="35">
        <v>69</v>
      </c>
      <c r="T158" s="28">
        <f t="shared" si="4"/>
        <v>200</v>
      </c>
      <c r="U158" s="27">
        <f t="shared" si="5"/>
        <v>0</v>
      </c>
      <c r="V158" s="39"/>
      <c r="W158" s="40"/>
    </row>
    <row r="159" spans="1:23" ht="31.5" customHeight="1" outlineLevel="1" thickBot="1" x14ac:dyDescent="0.3">
      <c r="A159" s="7"/>
      <c r="B159" s="60"/>
      <c r="C159" s="61"/>
      <c r="D159" s="61"/>
      <c r="E159" s="61"/>
      <c r="F159" s="61"/>
      <c r="G159" s="60"/>
      <c r="H159" s="62"/>
      <c r="I159" s="60"/>
      <c r="J159" s="60"/>
      <c r="K159" s="63"/>
      <c r="L159" s="63"/>
      <c r="M159" s="63"/>
      <c r="N159" s="63"/>
      <c r="O159" s="63"/>
      <c r="P159" s="63"/>
      <c r="Q159" s="63"/>
      <c r="R159" s="63"/>
      <c r="S159" s="63"/>
      <c r="T159" s="57"/>
      <c r="U159" s="56"/>
      <c r="V159" s="60"/>
      <c r="W159" s="68"/>
    </row>
    <row r="160" spans="1:23" ht="31.5" customHeight="1" outlineLevel="1" thickBot="1" x14ac:dyDescent="0.3">
      <c r="A160" s="116" t="s">
        <v>673</v>
      </c>
      <c r="B160" s="89" t="s">
        <v>22</v>
      </c>
      <c r="C160" s="90" t="s">
        <v>126</v>
      </c>
      <c r="D160" s="90" t="s">
        <v>674</v>
      </c>
      <c r="E160" s="90" t="s">
        <v>675</v>
      </c>
      <c r="F160" s="90" t="s">
        <v>676</v>
      </c>
      <c r="G160" s="78" t="s">
        <v>70</v>
      </c>
      <c r="H160" s="78" t="s">
        <v>215</v>
      </c>
      <c r="I160" s="78" t="s">
        <v>29</v>
      </c>
      <c r="J160" s="78" t="s">
        <v>640</v>
      </c>
      <c r="K160" s="38">
        <v>35</v>
      </c>
      <c r="L160" s="38"/>
      <c r="M160" s="38"/>
      <c r="N160" s="38"/>
      <c r="O160" s="38"/>
      <c r="P160" s="38">
        <v>1</v>
      </c>
      <c r="Q160" s="38">
        <v>15</v>
      </c>
      <c r="R160" s="38">
        <v>1</v>
      </c>
      <c r="S160" s="38">
        <v>20</v>
      </c>
      <c r="T160" s="28">
        <f t="shared" si="4"/>
        <v>35</v>
      </c>
      <c r="U160" s="27">
        <f t="shared" si="5"/>
        <v>0</v>
      </c>
      <c r="V160" s="44"/>
      <c r="W160" s="45"/>
    </row>
    <row r="161" spans="1:23" ht="31.5" customHeight="1" outlineLevel="1" thickBot="1" x14ac:dyDescent="0.3">
      <c r="A161" s="116"/>
      <c r="B161" s="79" t="s">
        <v>31</v>
      </c>
      <c r="C161" s="80" t="s">
        <v>126</v>
      </c>
      <c r="D161" s="80" t="s">
        <v>677</v>
      </c>
      <c r="E161" s="80" t="s">
        <v>678</v>
      </c>
      <c r="F161" s="80" t="s">
        <v>679</v>
      </c>
      <c r="G161" s="81" t="s">
        <v>36</v>
      </c>
      <c r="H161" s="81" t="s">
        <v>215</v>
      </c>
      <c r="I161" s="81" t="s">
        <v>29</v>
      </c>
      <c r="J161" s="78" t="s">
        <v>640</v>
      </c>
      <c r="K161" s="27">
        <v>35</v>
      </c>
      <c r="L161" s="27"/>
      <c r="M161" s="27"/>
      <c r="N161" s="27"/>
      <c r="O161" s="27"/>
      <c r="P161" s="27">
        <v>1</v>
      </c>
      <c r="Q161" s="27">
        <v>15</v>
      </c>
      <c r="R161" s="27">
        <v>1</v>
      </c>
      <c r="S161" s="27">
        <v>20</v>
      </c>
      <c r="T161" s="28">
        <f t="shared" si="4"/>
        <v>35</v>
      </c>
      <c r="U161" s="27">
        <f t="shared" si="5"/>
        <v>0</v>
      </c>
      <c r="V161" s="39"/>
      <c r="W161" s="40"/>
    </row>
    <row r="162" spans="1:23" ht="31.5" customHeight="1" outlineLevel="1" thickBot="1" x14ac:dyDescent="0.3">
      <c r="A162" s="116"/>
      <c r="B162" s="79" t="s">
        <v>40</v>
      </c>
      <c r="C162" s="80" t="s">
        <v>126</v>
      </c>
      <c r="D162" s="80" t="s">
        <v>680</v>
      </c>
      <c r="E162" s="80" t="s">
        <v>681</v>
      </c>
      <c r="F162" s="80" t="s">
        <v>676</v>
      </c>
      <c r="G162" s="81" t="s">
        <v>77</v>
      </c>
      <c r="H162" s="81" t="s">
        <v>211</v>
      </c>
      <c r="I162" s="81" t="s">
        <v>29</v>
      </c>
      <c r="J162" s="78" t="s">
        <v>640</v>
      </c>
      <c r="K162" s="27">
        <v>34</v>
      </c>
      <c r="L162" s="27"/>
      <c r="M162" s="27"/>
      <c r="N162" s="27"/>
      <c r="O162" s="27"/>
      <c r="P162" s="27">
        <v>1</v>
      </c>
      <c r="Q162" s="27">
        <v>15</v>
      </c>
      <c r="R162" s="27">
        <v>1</v>
      </c>
      <c r="S162" s="27">
        <v>19</v>
      </c>
      <c r="T162" s="28">
        <f t="shared" si="4"/>
        <v>34</v>
      </c>
      <c r="U162" s="27">
        <f t="shared" si="5"/>
        <v>0</v>
      </c>
      <c r="V162" s="39"/>
      <c r="W162" s="40"/>
    </row>
    <row r="163" spans="1:23" ht="31.5" customHeight="1" outlineLevel="1" thickBot="1" x14ac:dyDescent="0.3">
      <c r="A163" s="116"/>
      <c r="B163" s="79" t="s">
        <v>64</v>
      </c>
      <c r="C163" s="80" t="s">
        <v>682</v>
      </c>
      <c r="D163" s="80" t="s">
        <v>683</v>
      </c>
      <c r="E163" s="80" t="s">
        <v>684</v>
      </c>
      <c r="F163" s="80" t="s">
        <v>685</v>
      </c>
      <c r="G163" s="81" t="s">
        <v>27</v>
      </c>
      <c r="H163" s="81" t="s">
        <v>686</v>
      </c>
      <c r="I163" s="81" t="s">
        <v>687</v>
      </c>
      <c r="J163" s="78" t="s">
        <v>640</v>
      </c>
      <c r="K163" s="27">
        <v>168</v>
      </c>
      <c r="L163" s="27"/>
      <c r="M163" s="27"/>
      <c r="N163" s="27">
        <v>1</v>
      </c>
      <c r="O163" s="27">
        <v>14</v>
      </c>
      <c r="P163" s="27">
        <v>3</v>
      </c>
      <c r="Q163" s="27">
        <v>65</v>
      </c>
      <c r="R163" s="27">
        <v>4</v>
      </c>
      <c r="S163" s="27">
        <v>87</v>
      </c>
      <c r="T163" s="28">
        <f t="shared" si="4"/>
        <v>166</v>
      </c>
      <c r="U163" s="27">
        <f t="shared" si="5"/>
        <v>0</v>
      </c>
      <c r="V163" s="39"/>
      <c r="W163" s="40">
        <v>2</v>
      </c>
    </row>
    <row r="164" spans="1:23" ht="31.5" customHeight="1" outlineLevel="1" thickBot="1" x14ac:dyDescent="0.3">
      <c r="A164" s="116"/>
      <c r="B164" s="83" t="s">
        <v>70</v>
      </c>
      <c r="C164" s="84" t="s">
        <v>688</v>
      </c>
      <c r="D164" s="84" t="s">
        <v>689</v>
      </c>
      <c r="E164" s="84" t="s">
        <v>690</v>
      </c>
      <c r="F164" s="84" t="s">
        <v>676</v>
      </c>
      <c r="G164" s="85" t="s">
        <v>45</v>
      </c>
      <c r="H164" s="85" t="s">
        <v>301</v>
      </c>
      <c r="I164" s="85" t="s">
        <v>38</v>
      </c>
      <c r="J164" s="99" t="s">
        <v>640</v>
      </c>
      <c r="K164" s="35">
        <v>85</v>
      </c>
      <c r="L164" s="35"/>
      <c r="M164" s="35"/>
      <c r="N164" s="35">
        <v>1</v>
      </c>
      <c r="O164" s="35">
        <v>16</v>
      </c>
      <c r="P164" s="35">
        <v>1</v>
      </c>
      <c r="Q164" s="35">
        <v>20</v>
      </c>
      <c r="R164" s="35">
        <v>2</v>
      </c>
      <c r="S164" s="35">
        <v>49</v>
      </c>
      <c r="T164" s="28">
        <f t="shared" si="4"/>
        <v>85</v>
      </c>
      <c r="U164" s="27">
        <f t="shared" si="5"/>
        <v>0</v>
      </c>
      <c r="V164" s="39"/>
      <c r="W164" s="40"/>
    </row>
    <row r="165" spans="1:23" ht="31.5" customHeight="1" outlineLevel="1" thickBot="1" x14ac:dyDescent="0.3">
      <c r="A165" s="7"/>
      <c r="B165" s="60"/>
      <c r="C165" s="61"/>
      <c r="D165" s="61"/>
      <c r="E165" s="61"/>
      <c r="F165" s="61"/>
      <c r="G165" s="60"/>
      <c r="H165" s="62"/>
      <c r="I165" s="60"/>
      <c r="J165" s="60"/>
      <c r="K165" s="63"/>
      <c r="L165" s="63"/>
      <c r="M165" s="63"/>
      <c r="N165" s="63"/>
      <c r="O165" s="63"/>
      <c r="P165" s="63"/>
      <c r="Q165" s="63"/>
      <c r="R165" s="63"/>
      <c r="S165" s="63"/>
      <c r="T165" s="57"/>
      <c r="U165" s="56"/>
      <c r="V165" s="60"/>
      <c r="W165" s="68"/>
    </row>
    <row r="166" spans="1:23" ht="31.5" customHeight="1" outlineLevel="1" thickBot="1" x14ac:dyDescent="0.3">
      <c r="A166" s="116" t="s">
        <v>691</v>
      </c>
      <c r="B166" s="89" t="s">
        <v>22</v>
      </c>
      <c r="C166" s="90" t="s">
        <v>692</v>
      </c>
      <c r="D166" s="90" t="s">
        <v>693</v>
      </c>
      <c r="E166" s="90" t="s">
        <v>694</v>
      </c>
      <c r="F166" s="90" t="s">
        <v>695</v>
      </c>
      <c r="G166" s="78" t="s">
        <v>95</v>
      </c>
      <c r="H166" s="78" t="s">
        <v>611</v>
      </c>
      <c r="I166" s="78" t="s">
        <v>277</v>
      </c>
      <c r="J166" s="78" t="s">
        <v>640</v>
      </c>
      <c r="K166" s="38">
        <v>117</v>
      </c>
      <c r="L166" s="38"/>
      <c r="M166" s="38"/>
      <c r="N166" s="38">
        <v>1</v>
      </c>
      <c r="O166" s="38">
        <v>24</v>
      </c>
      <c r="P166" s="38">
        <v>2</v>
      </c>
      <c r="Q166" s="38">
        <v>51</v>
      </c>
      <c r="R166" s="38">
        <v>2</v>
      </c>
      <c r="S166" s="38">
        <v>48</v>
      </c>
      <c r="T166" s="28">
        <f t="shared" si="4"/>
        <v>123</v>
      </c>
      <c r="U166" s="27">
        <f t="shared" si="5"/>
        <v>-7</v>
      </c>
      <c r="V166" s="54"/>
      <c r="W166" s="40">
        <v>1</v>
      </c>
    </row>
    <row r="167" spans="1:23" ht="31.5" customHeight="1" outlineLevel="1" thickBot="1" x14ac:dyDescent="0.3">
      <c r="A167" s="116"/>
      <c r="B167" s="79" t="s">
        <v>31</v>
      </c>
      <c r="C167" s="80" t="s">
        <v>696</v>
      </c>
      <c r="D167" s="80" t="s">
        <v>697</v>
      </c>
      <c r="E167" s="80" t="s">
        <v>698</v>
      </c>
      <c r="F167" s="80" t="s">
        <v>699</v>
      </c>
      <c r="G167" s="81" t="s">
        <v>36</v>
      </c>
      <c r="H167" s="81" t="s">
        <v>700</v>
      </c>
      <c r="I167" s="81" t="s">
        <v>277</v>
      </c>
      <c r="J167" s="81" t="s">
        <v>278</v>
      </c>
      <c r="K167" s="91">
        <v>350</v>
      </c>
      <c r="L167" s="27"/>
      <c r="M167" s="27"/>
      <c r="N167" s="27">
        <v>3</v>
      </c>
      <c r="O167" s="27">
        <v>72</v>
      </c>
      <c r="P167" s="27">
        <v>5</v>
      </c>
      <c r="Q167" s="27">
        <v>124</v>
      </c>
      <c r="R167" s="27">
        <v>6</v>
      </c>
      <c r="S167" s="27">
        <v>154</v>
      </c>
      <c r="T167" s="28">
        <f t="shared" si="4"/>
        <v>350</v>
      </c>
      <c r="U167" s="27">
        <f t="shared" si="5"/>
        <v>0</v>
      </c>
      <c r="V167" s="39"/>
      <c r="W167" s="40"/>
    </row>
    <row r="168" spans="1:23" ht="31.5" customHeight="1" outlineLevel="1" thickBot="1" x14ac:dyDescent="0.3">
      <c r="A168" s="116"/>
      <c r="B168" s="79" t="s">
        <v>40</v>
      </c>
      <c r="C168" s="80" t="s">
        <v>701</v>
      </c>
      <c r="D168" s="80" t="s">
        <v>702</v>
      </c>
      <c r="E168" s="80" t="s">
        <v>703</v>
      </c>
      <c r="F168" s="80" t="s">
        <v>699</v>
      </c>
      <c r="G168" s="81" t="s">
        <v>64</v>
      </c>
      <c r="H168" s="81" t="s">
        <v>526</v>
      </c>
      <c r="I168" s="81" t="s">
        <v>288</v>
      </c>
      <c r="J168" s="81" t="s">
        <v>278</v>
      </c>
      <c r="K168" s="27">
        <v>115</v>
      </c>
      <c r="L168" s="27"/>
      <c r="M168" s="27"/>
      <c r="N168" s="27"/>
      <c r="O168" s="27"/>
      <c r="P168" s="27">
        <v>2</v>
      </c>
      <c r="Q168" s="27">
        <v>33</v>
      </c>
      <c r="R168" s="27">
        <v>3</v>
      </c>
      <c r="S168" s="27">
        <v>58</v>
      </c>
      <c r="T168" s="28">
        <f t="shared" si="4"/>
        <v>91</v>
      </c>
      <c r="U168" s="27">
        <f t="shared" si="5"/>
        <v>21</v>
      </c>
      <c r="V168" s="46"/>
      <c r="W168" s="47">
        <v>3</v>
      </c>
    </row>
    <row r="169" spans="1:23" ht="31.5" customHeight="1" outlineLevel="1" thickBot="1" x14ac:dyDescent="0.3">
      <c r="A169" s="116"/>
      <c r="B169" s="79" t="s">
        <v>64</v>
      </c>
      <c r="C169" s="80" t="s">
        <v>704</v>
      </c>
      <c r="D169" s="80" t="s">
        <v>704</v>
      </c>
      <c r="E169" s="80" t="s">
        <v>705</v>
      </c>
      <c r="F169" s="80" t="s">
        <v>699</v>
      </c>
      <c r="G169" s="81" t="s">
        <v>143</v>
      </c>
      <c r="H169" s="81" t="s">
        <v>220</v>
      </c>
      <c r="I169" s="81" t="s">
        <v>363</v>
      </c>
      <c r="J169" s="78" t="s">
        <v>640</v>
      </c>
      <c r="K169" s="27">
        <v>90</v>
      </c>
      <c r="L169" s="27"/>
      <c r="M169" s="27"/>
      <c r="N169" s="27">
        <v>2</v>
      </c>
      <c r="O169" s="27">
        <v>31</v>
      </c>
      <c r="P169" s="27">
        <v>2</v>
      </c>
      <c r="Q169" s="27">
        <v>33</v>
      </c>
      <c r="R169" s="27">
        <v>1</v>
      </c>
      <c r="S169" s="27">
        <v>26</v>
      </c>
      <c r="T169" s="28">
        <f t="shared" si="4"/>
        <v>90</v>
      </c>
      <c r="U169" s="27">
        <f t="shared" si="5"/>
        <v>0</v>
      </c>
      <c r="V169" s="39"/>
      <c r="W169" s="40"/>
    </row>
    <row r="170" spans="1:23" ht="31.5" customHeight="1" outlineLevel="1" thickBot="1" x14ac:dyDescent="0.3">
      <c r="A170" s="116"/>
      <c r="B170" s="79" t="s">
        <v>70</v>
      </c>
      <c r="C170" s="80" t="s">
        <v>706</v>
      </c>
      <c r="D170" s="80" t="s">
        <v>706</v>
      </c>
      <c r="E170" s="80" t="s">
        <v>707</v>
      </c>
      <c r="F170" s="80" t="s">
        <v>695</v>
      </c>
      <c r="G170" s="81" t="s">
        <v>118</v>
      </c>
      <c r="H170" s="81" t="s">
        <v>204</v>
      </c>
      <c r="I170" s="81" t="s">
        <v>288</v>
      </c>
      <c r="J170" s="78" t="s">
        <v>640</v>
      </c>
      <c r="K170" s="27">
        <v>70</v>
      </c>
      <c r="L170" s="27"/>
      <c r="M170" s="27"/>
      <c r="N170" s="27"/>
      <c r="O170" s="27"/>
      <c r="P170" s="27">
        <v>2</v>
      </c>
      <c r="Q170" s="27">
        <v>45</v>
      </c>
      <c r="R170" s="27">
        <v>1</v>
      </c>
      <c r="S170" s="27">
        <v>25</v>
      </c>
      <c r="T170" s="28">
        <f t="shared" si="4"/>
        <v>70</v>
      </c>
      <c r="U170" s="27">
        <f t="shared" si="5"/>
        <v>0</v>
      </c>
      <c r="V170" s="92"/>
      <c r="W170" s="45"/>
    </row>
    <row r="171" spans="1:23" ht="31.5" customHeight="1" outlineLevel="1" thickBot="1" x14ac:dyDescent="0.3">
      <c r="A171" s="116"/>
      <c r="B171" s="79" t="s">
        <v>77</v>
      </c>
      <c r="C171" s="80" t="s">
        <v>708</v>
      </c>
      <c r="D171" s="80" t="s">
        <v>708</v>
      </c>
      <c r="E171" s="80" t="s">
        <v>709</v>
      </c>
      <c r="F171" s="80" t="s">
        <v>695</v>
      </c>
      <c r="G171" s="81" t="s">
        <v>111</v>
      </c>
      <c r="H171" s="81" t="s">
        <v>710</v>
      </c>
      <c r="I171" s="81" t="s">
        <v>277</v>
      </c>
      <c r="J171" s="78" t="s">
        <v>640</v>
      </c>
      <c r="K171" s="27">
        <v>160</v>
      </c>
      <c r="L171" s="27"/>
      <c r="M171" s="27"/>
      <c r="N171" s="27">
        <v>2</v>
      </c>
      <c r="O171" s="27">
        <v>52</v>
      </c>
      <c r="P171" s="27">
        <v>2</v>
      </c>
      <c r="Q171" s="27">
        <v>54</v>
      </c>
      <c r="R171" s="27">
        <v>2</v>
      </c>
      <c r="S171" s="27">
        <v>54</v>
      </c>
      <c r="T171" s="28">
        <f t="shared" si="4"/>
        <v>160</v>
      </c>
      <c r="U171" s="27">
        <f t="shared" si="5"/>
        <v>0</v>
      </c>
      <c r="V171" s="92"/>
      <c r="W171" s="45"/>
    </row>
    <row r="172" spans="1:23" ht="31.5" customHeight="1" outlineLevel="1" thickBot="1" x14ac:dyDescent="0.3">
      <c r="A172" s="116"/>
      <c r="B172" s="79" t="s">
        <v>36</v>
      </c>
      <c r="C172" s="80" t="s">
        <v>711</v>
      </c>
      <c r="D172" s="80" t="s">
        <v>712</v>
      </c>
      <c r="E172" s="80" t="s">
        <v>713</v>
      </c>
      <c r="F172" s="80" t="s">
        <v>695</v>
      </c>
      <c r="G172" s="81" t="s">
        <v>149</v>
      </c>
      <c r="H172" s="81" t="s">
        <v>287</v>
      </c>
      <c r="I172" s="81" t="s">
        <v>277</v>
      </c>
      <c r="J172" s="78" t="s">
        <v>640</v>
      </c>
      <c r="K172" s="27">
        <v>200</v>
      </c>
      <c r="L172" s="27"/>
      <c r="M172" s="27"/>
      <c r="N172" s="27">
        <v>3</v>
      </c>
      <c r="O172" s="27">
        <v>51</v>
      </c>
      <c r="P172" s="27">
        <v>3</v>
      </c>
      <c r="Q172" s="27">
        <v>61</v>
      </c>
      <c r="R172" s="27">
        <v>5</v>
      </c>
      <c r="S172" s="27">
        <v>83</v>
      </c>
      <c r="T172" s="28">
        <f t="shared" si="4"/>
        <v>195</v>
      </c>
      <c r="U172" s="27">
        <f t="shared" si="5"/>
        <v>5</v>
      </c>
      <c r="V172" s="46"/>
      <c r="W172" s="45"/>
    </row>
    <row r="173" spans="1:23" ht="31.5" customHeight="1" outlineLevel="1" thickBot="1" x14ac:dyDescent="0.3">
      <c r="A173" s="116"/>
      <c r="B173" s="79" t="s">
        <v>27</v>
      </c>
      <c r="C173" s="80" t="s">
        <v>714</v>
      </c>
      <c r="D173" s="80" t="s">
        <v>715</v>
      </c>
      <c r="E173" s="80" t="s">
        <v>716</v>
      </c>
      <c r="F173" s="80" t="s">
        <v>699</v>
      </c>
      <c r="G173" s="81" t="s">
        <v>57</v>
      </c>
      <c r="H173" s="81" t="s">
        <v>717</v>
      </c>
      <c r="I173" s="81" t="s">
        <v>277</v>
      </c>
      <c r="J173" s="78" t="s">
        <v>640</v>
      </c>
      <c r="K173" s="27">
        <v>181</v>
      </c>
      <c r="L173" s="27"/>
      <c r="M173" s="27"/>
      <c r="N173" s="27">
        <v>3</v>
      </c>
      <c r="O173" s="27">
        <v>54</v>
      </c>
      <c r="P173" s="27">
        <v>4</v>
      </c>
      <c r="Q173" s="27">
        <v>58</v>
      </c>
      <c r="R173" s="27">
        <v>3</v>
      </c>
      <c r="S173" s="27">
        <v>69</v>
      </c>
      <c r="T173" s="28">
        <f t="shared" si="4"/>
        <v>181</v>
      </c>
      <c r="U173" s="27">
        <f t="shared" si="5"/>
        <v>0</v>
      </c>
      <c r="V173" s="93"/>
      <c r="W173" s="49"/>
    </row>
    <row r="174" spans="1:23" ht="31.5" customHeight="1" outlineLevel="1" thickBot="1" x14ac:dyDescent="0.3">
      <c r="A174" s="116"/>
      <c r="B174" s="79" t="s">
        <v>45</v>
      </c>
      <c r="C174" s="80" t="s">
        <v>718</v>
      </c>
      <c r="D174" s="80" t="s">
        <v>718</v>
      </c>
      <c r="E174" s="80" t="s">
        <v>719</v>
      </c>
      <c r="F174" s="80" t="s">
        <v>699</v>
      </c>
      <c r="G174" s="81" t="s">
        <v>75</v>
      </c>
      <c r="H174" s="81" t="s">
        <v>96</v>
      </c>
      <c r="I174" s="81" t="s">
        <v>277</v>
      </c>
      <c r="J174" s="78" t="s">
        <v>640</v>
      </c>
      <c r="K174" s="27">
        <v>100</v>
      </c>
      <c r="L174" s="27"/>
      <c r="M174" s="27"/>
      <c r="N174" s="27">
        <v>1</v>
      </c>
      <c r="O174" s="27">
        <v>25</v>
      </c>
      <c r="P174" s="27">
        <v>1</v>
      </c>
      <c r="Q174" s="27">
        <v>25</v>
      </c>
      <c r="R174" s="27">
        <v>2</v>
      </c>
      <c r="S174" s="27">
        <v>50</v>
      </c>
      <c r="T174" s="28">
        <f t="shared" si="4"/>
        <v>100</v>
      </c>
      <c r="U174" s="27">
        <f t="shared" si="5"/>
        <v>0</v>
      </c>
      <c r="V174" s="82"/>
      <c r="W174" s="49"/>
    </row>
    <row r="175" spans="1:23" ht="31.5" customHeight="1" outlineLevel="1" thickBot="1" x14ac:dyDescent="0.3">
      <c r="A175" s="116"/>
      <c r="B175" s="79" t="s">
        <v>97</v>
      </c>
      <c r="C175" s="80" t="s">
        <v>720</v>
      </c>
      <c r="D175" s="80" t="s">
        <v>720</v>
      </c>
      <c r="E175" s="80" t="s">
        <v>721</v>
      </c>
      <c r="F175" s="80" t="s">
        <v>699</v>
      </c>
      <c r="G175" s="81" t="s">
        <v>211</v>
      </c>
      <c r="H175" s="81" t="s">
        <v>106</v>
      </c>
      <c r="I175" s="81" t="s">
        <v>288</v>
      </c>
      <c r="J175" s="78" t="s">
        <v>640</v>
      </c>
      <c r="K175" s="27">
        <v>75</v>
      </c>
      <c r="L175" s="27"/>
      <c r="M175" s="27"/>
      <c r="N175" s="27"/>
      <c r="O175" s="27"/>
      <c r="P175" s="27">
        <v>1</v>
      </c>
      <c r="Q175" s="27">
        <v>25</v>
      </c>
      <c r="R175" s="27">
        <v>2</v>
      </c>
      <c r="S175" s="27">
        <v>50</v>
      </c>
      <c r="T175" s="28">
        <f t="shared" si="4"/>
        <v>75</v>
      </c>
      <c r="U175" s="27">
        <f t="shared" si="5"/>
        <v>0</v>
      </c>
      <c r="V175" s="82"/>
      <c r="W175" s="40"/>
    </row>
    <row r="176" spans="1:23" ht="31.5" customHeight="1" outlineLevel="1" thickBot="1" x14ac:dyDescent="0.3">
      <c r="A176" s="116"/>
      <c r="B176" s="79" t="s">
        <v>101</v>
      </c>
      <c r="C176" s="80" t="s">
        <v>688</v>
      </c>
      <c r="D176" s="80" t="s">
        <v>689</v>
      </c>
      <c r="E176" s="80" t="s">
        <v>722</v>
      </c>
      <c r="F176" s="80" t="s">
        <v>723</v>
      </c>
      <c r="G176" s="81" t="s">
        <v>46</v>
      </c>
      <c r="H176" s="81" t="s">
        <v>441</v>
      </c>
      <c r="I176" s="81" t="s">
        <v>277</v>
      </c>
      <c r="J176" s="78" t="s">
        <v>640</v>
      </c>
      <c r="K176" s="27">
        <v>142</v>
      </c>
      <c r="L176" s="27"/>
      <c r="M176" s="27"/>
      <c r="N176" s="27">
        <v>1</v>
      </c>
      <c r="O176" s="27">
        <v>20</v>
      </c>
      <c r="P176" s="27">
        <v>4</v>
      </c>
      <c r="Q176" s="27">
        <v>58</v>
      </c>
      <c r="R176" s="27">
        <v>2</v>
      </c>
      <c r="S176" s="27">
        <v>64</v>
      </c>
      <c r="T176" s="28">
        <f t="shared" si="4"/>
        <v>142</v>
      </c>
      <c r="U176" s="27">
        <f t="shared" si="5"/>
        <v>0</v>
      </c>
      <c r="V176" s="82"/>
      <c r="W176" s="47"/>
    </row>
    <row r="177" spans="1:23" ht="31.5" customHeight="1" outlineLevel="1" thickBot="1" x14ac:dyDescent="0.3">
      <c r="A177" s="116"/>
      <c r="B177" s="79" t="s">
        <v>107</v>
      </c>
      <c r="C177" s="80" t="s">
        <v>724</v>
      </c>
      <c r="D177" s="80" t="s">
        <v>725</v>
      </c>
      <c r="E177" s="80" t="s">
        <v>726</v>
      </c>
      <c r="F177" s="80" t="s">
        <v>699</v>
      </c>
      <c r="G177" s="81" t="s">
        <v>215</v>
      </c>
      <c r="H177" s="81" t="s">
        <v>96</v>
      </c>
      <c r="I177" s="81" t="s">
        <v>288</v>
      </c>
      <c r="J177" s="78" t="s">
        <v>640</v>
      </c>
      <c r="K177" s="27">
        <v>100</v>
      </c>
      <c r="L177" s="27"/>
      <c r="M177" s="27"/>
      <c r="N177" s="27"/>
      <c r="O177" s="27"/>
      <c r="P177" s="27">
        <v>2</v>
      </c>
      <c r="Q177" s="27">
        <v>48</v>
      </c>
      <c r="R177" s="27">
        <v>2</v>
      </c>
      <c r="S177" s="27">
        <v>50</v>
      </c>
      <c r="T177" s="28">
        <f t="shared" si="4"/>
        <v>98</v>
      </c>
      <c r="U177" s="27">
        <f t="shared" si="5"/>
        <v>0</v>
      </c>
      <c r="V177" s="82"/>
      <c r="W177" s="49">
        <v>2</v>
      </c>
    </row>
    <row r="178" spans="1:23" ht="31.5" customHeight="1" outlineLevel="1" thickBot="1" x14ac:dyDescent="0.3">
      <c r="A178" s="116"/>
      <c r="B178" s="79" t="s">
        <v>112</v>
      </c>
      <c r="C178" s="80" t="s">
        <v>724</v>
      </c>
      <c r="D178" s="80" t="s">
        <v>727</v>
      </c>
      <c r="E178" s="80" t="s">
        <v>728</v>
      </c>
      <c r="F178" s="80" t="s">
        <v>699</v>
      </c>
      <c r="G178" s="81" t="s">
        <v>62</v>
      </c>
      <c r="H178" s="81" t="s">
        <v>28</v>
      </c>
      <c r="I178" s="81" t="s">
        <v>277</v>
      </c>
      <c r="J178" s="78" t="s">
        <v>640</v>
      </c>
      <c r="K178" s="27">
        <v>50</v>
      </c>
      <c r="L178" s="27"/>
      <c r="M178" s="27"/>
      <c r="N178" s="27"/>
      <c r="O178" s="27"/>
      <c r="P178" s="27">
        <v>1</v>
      </c>
      <c r="Q178" s="27">
        <v>25</v>
      </c>
      <c r="R178" s="27">
        <v>1</v>
      </c>
      <c r="S178" s="27">
        <v>25</v>
      </c>
      <c r="T178" s="28">
        <f t="shared" si="4"/>
        <v>50</v>
      </c>
      <c r="U178" s="27">
        <f t="shared" si="5"/>
        <v>0</v>
      </c>
      <c r="V178" s="82"/>
      <c r="W178" s="40"/>
    </row>
    <row r="179" spans="1:23" ht="31.5" customHeight="1" outlineLevel="1" thickBot="1" x14ac:dyDescent="0.3">
      <c r="A179" s="116"/>
      <c r="B179" s="79" t="s">
        <v>118</v>
      </c>
      <c r="C179" s="80" t="s">
        <v>729</v>
      </c>
      <c r="D179" s="80" t="s">
        <v>729</v>
      </c>
      <c r="E179" s="80" t="s">
        <v>730</v>
      </c>
      <c r="F179" s="80" t="s">
        <v>699</v>
      </c>
      <c r="G179" s="81" t="s">
        <v>139</v>
      </c>
      <c r="H179" s="81" t="s">
        <v>220</v>
      </c>
      <c r="I179" s="81" t="s">
        <v>277</v>
      </c>
      <c r="J179" s="78" t="s">
        <v>640</v>
      </c>
      <c r="K179" s="27">
        <v>90</v>
      </c>
      <c r="L179" s="27"/>
      <c r="M179" s="27"/>
      <c r="N179" s="27">
        <v>1</v>
      </c>
      <c r="O179" s="27">
        <v>20</v>
      </c>
      <c r="P179" s="27">
        <v>2</v>
      </c>
      <c r="Q179" s="27">
        <v>44</v>
      </c>
      <c r="R179" s="27">
        <v>1</v>
      </c>
      <c r="S179" s="27">
        <v>25</v>
      </c>
      <c r="T179" s="28">
        <f t="shared" si="4"/>
        <v>89</v>
      </c>
      <c r="U179" s="27">
        <f t="shared" si="5"/>
        <v>0</v>
      </c>
      <c r="V179" s="82"/>
      <c r="W179" s="40">
        <v>1</v>
      </c>
    </row>
    <row r="180" spans="1:23" ht="31.5" customHeight="1" outlineLevel="1" thickBot="1" x14ac:dyDescent="0.3">
      <c r="A180" s="116"/>
      <c r="B180" s="79" t="s">
        <v>125</v>
      </c>
      <c r="C180" s="80" t="s">
        <v>731</v>
      </c>
      <c r="D180" s="80" t="s">
        <v>731</v>
      </c>
      <c r="E180" s="80" t="s">
        <v>732</v>
      </c>
      <c r="F180" s="80" t="s">
        <v>695</v>
      </c>
      <c r="G180" s="81" t="s">
        <v>27</v>
      </c>
      <c r="H180" s="81" t="s">
        <v>710</v>
      </c>
      <c r="I180" s="81" t="s">
        <v>363</v>
      </c>
      <c r="J180" s="81" t="s">
        <v>278</v>
      </c>
      <c r="K180" s="27">
        <v>160</v>
      </c>
      <c r="L180" s="27">
        <v>1</v>
      </c>
      <c r="M180" s="27">
        <v>15</v>
      </c>
      <c r="N180" s="27">
        <v>1</v>
      </c>
      <c r="O180" s="27">
        <v>25</v>
      </c>
      <c r="P180" s="27">
        <v>2</v>
      </c>
      <c r="Q180" s="27">
        <v>45</v>
      </c>
      <c r="R180" s="27">
        <v>3</v>
      </c>
      <c r="S180" s="27">
        <v>75</v>
      </c>
      <c r="T180" s="28">
        <f t="shared" si="4"/>
        <v>160</v>
      </c>
      <c r="U180" s="27">
        <f t="shared" si="5"/>
        <v>0</v>
      </c>
      <c r="V180" s="82"/>
      <c r="W180" s="47"/>
    </row>
    <row r="181" spans="1:23" ht="31.5" customHeight="1" outlineLevel="1" thickBot="1" x14ac:dyDescent="0.3">
      <c r="A181" s="116"/>
      <c r="B181" s="79" t="s">
        <v>132</v>
      </c>
      <c r="C181" s="80" t="s">
        <v>733</v>
      </c>
      <c r="D181" s="80" t="s">
        <v>734</v>
      </c>
      <c r="E181" s="80" t="s">
        <v>735</v>
      </c>
      <c r="F181" s="80" t="s">
        <v>699</v>
      </c>
      <c r="G181" s="81" t="s">
        <v>123</v>
      </c>
      <c r="H181" s="81" t="s">
        <v>736</v>
      </c>
      <c r="I181" s="81" t="s">
        <v>288</v>
      </c>
      <c r="J181" s="78" t="s">
        <v>640</v>
      </c>
      <c r="K181" s="27">
        <v>135</v>
      </c>
      <c r="L181" s="27"/>
      <c r="M181" s="27"/>
      <c r="N181" s="27"/>
      <c r="O181" s="27"/>
      <c r="P181" s="27">
        <v>3</v>
      </c>
      <c r="Q181" s="27">
        <v>60</v>
      </c>
      <c r="R181" s="27">
        <v>3</v>
      </c>
      <c r="S181" s="27">
        <v>75</v>
      </c>
      <c r="T181" s="28">
        <f t="shared" si="4"/>
        <v>135</v>
      </c>
      <c r="U181" s="27">
        <f t="shared" si="5"/>
        <v>0</v>
      </c>
      <c r="V181" s="29"/>
      <c r="W181" s="49"/>
    </row>
    <row r="182" spans="1:23" ht="31.5" customHeight="1" outlineLevel="1" thickBot="1" x14ac:dyDescent="0.3">
      <c r="A182" s="116"/>
      <c r="B182" s="79" t="s">
        <v>139</v>
      </c>
      <c r="C182" s="80" t="s">
        <v>737</v>
      </c>
      <c r="D182" s="80" t="s">
        <v>737</v>
      </c>
      <c r="E182" s="80" t="s">
        <v>738</v>
      </c>
      <c r="F182" s="80" t="s">
        <v>699</v>
      </c>
      <c r="G182" s="81" t="s">
        <v>132</v>
      </c>
      <c r="H182" s="81" t="s">
        <v>739</v>
      </c>
      <c r="I182" s="81" t="s">
        <v>288</v>
      </c>
      <c r="J182" s="78" t="s">
        <v>640</v>
      </c>
      <c r="K182" s="27">
        <v>118</v>
      </c>
      <c r="L182" s="27"/>
      <c r="M182" s="27"/>
      <c r="N182" s="27"/>
      <c r="O182" s="27"/>
      <c r="P182" s="27">
        <v>2</v>
      </c>
      <c r="Q182" s="27">
        <v>48</v>
      </c>
      <c r="R182" s="27">
        <v>3</v>
      </c>
      <c r="S182" s="27">
        <v>70</v>
      </c>
      <c r="T182" s="28">
        <f t="shared" si="4"/>
        <v>118</v>
      </c>
      <c r="U182" s="27">
        <f t="shared" si="5"/>
        <v>0</v>
      </c>
      <c r="V182" s="52"/>
      <c r="W182" s="49"/>
    </row>
    <row r="183" spans="1:23" ht="31.5" customHeight="1" outlineLevel="1" thickBot="1" x14ac:dyDescent="0.3">
      <c r="A183" s="116"/>
      <c r="B183" s="79" t="s">
        <v>111</v>
      </c>
      <c r="C183" s="80" t="s">
        <v>740</v>
      </c>
      <c r="D183" s="80" t="s">
        <v>741</v>
      </c>
      <c r="E183" s="80" t="s">
        <v>742</v>
      </c>
      <c r="F183" s="80" t="s">
        <v>699</v>
      </c>
      <c r="G183" s="81" t="s">
        <v>171</v>
      </c>
      <c r="H183" s="81" t="s">
        <v>526</v>
      </c>
      <c r="I183" s="81" t="s">
        <v>288</v>
      </c>
      <c r="J183" s="78" t="s">
        <v>640</v>
      </c>
      <c r="K183" s="27">
        <v>115</v>
      </c>
      <c r="L183" s="27"/>
      <c r="M183" s="27"/>
      <c r="N183" s="27"/>
      <c r="O183" s="27"/>
      <c r="P183" s="27">
        <v>2</v>
      </c>
      <c r="Q183" s="27">
        <v>48</v>
      </c>
      <c r="R183" s="27">
        <v>3</v>
      </c>
      <c r="S183" s="27">
        <v>67</v>
      </c>
      <c r="T183" s="28">
        <f t="shared" si="4"/>
        <v>115</v>
      </c>
      <c r="U183" s="27">
        <f t="shared" si="5"/>
        <v>0</v>
      </c>
      <c r="V183" s="29"/>
      <c r="W183" s="40"/>
    </row>
    <row r="184" spans="1:23" ht="31.5" customHeight="1" outlineLevel="1" thickBot="1" x14ac:dyDescent="0.3">
      <c r="A184" s="116"/>
      <c r="B184" s="79" t="s">
        <v>149</v>
      </c>
      <c r="C184" s="80" t="s">
        <v>126</v>
      </c>
      <c r="D184" s="80" t="s">
        <v>743</v>
      </c>
      <c r="E184" s="80" t="s">
        <v>744</v>
      </c>
      <c r="F184" s="80" t="s">
        <v>723</v>
      </c>
      <c r="G184" s="81" t="s">
        <v>180</v>
      </c>
      <c r="H184" s="81" t="s">
        <v>75</v>
      </c>
      <c r="I184" s="81" t="s">
        <v>288</v>
      </c>
      <c r="J184" s="78" t="s">
        <v>640</v>
      </c>
      <c r="K184" s="27">
        <v>30</v>
      </c>
      <c r="L184" s="27"/>
      <c r="M184" s="27"/>
      <c r="N184" s="27"/>
      <c r="O184" s="27"/>
      <c r="P184" s="27">
        <v>1</v>
      </c>
      <c r="Q184" s="27">
        <v>15</v>
      </c>
      <c r="R184" s="27">
        <v>1</v>
      </c>
      <c r="S184" s="27">
        <v>15</v>
      </c>
      <c r="T184" s="28">
        <f t="shared" si="4"/>
        <v>30</v>
      </c>
      <c r="U184" s="27">
        <f t="shared" si="5"/>
        <v>0</v>
      </c>
      <c r="V184" s="29"/>
      <c r="W184" s="49"/>
    </row>
    <row r="185" spans="1:23" ht="31.5" customHeight="1" outlineLevel="1" thickBot="1" x14ac:dyDescent="0.3">
      <c r="A185" s="116"/>
      <c r="B185" s="79" t="s">
        <v>154</v>
      </c>
      <c r="C185" s="80" t="s">
        <v>745</v>
      </c>
      <c r="D185" s="80" t="s">
        <v>745</v>
      </c>
      <c r="E185" s="80" t="s">
        <v>746</v>
      </c>
      <c r="F185" s="80" t="s">
        <v>699</v>
      </c>
      <c r="G185" s="81" t="s">
        <v>153</v>
      </c>
      <c r="H185" s="81" t="s">
        <v>747</v>
      </c>
      <c r="I185" s="81" t="s">
        <v>363</v>
      </c>
      <c r="J185" s="78" t="s">
        <v>640</v>
      </c>
      <c r="K185" s="27">
        <v>137</v>
      </c>
      <c r="L185" s="27"/>
      <c r="M185" s="27"/>
      <c r="N185" s="27">
        <v>2</v>
      </c>
      <c r="O185" s="27">
        <v>33</v>
      </c>
      <c r="P185" s="27">
        <v>2</v>
      </c>
      <c r="Q185" s="27">
        <v>47</v>
      </c>
      <c r="R185" s="27">
        <v>2</v>
      </c>
      <c r="S185" s="27">
        <v>57</v>
      </c>
      <c r="T185" s="28">
        <f t="shared" si="4"/>
        <v>137</v>
      </c>
      <c r="U185" s="27">
        <f t="shared" si="5"/>
        <v>0</v>
      </c>
      <c r="V185" s="94"/>
      <c r="W185" s="40"/>
    </row>
    <row r="186" spans="1:23" ht="31.5" customHeight="1" outlineLevel="1" thickBot="1" x14ac:dyDescent="0.3">
      <c r="A186" s="116"/>
      <c r="B186" s="79" t="s">
        <v>91</v>
      </c>
      <c r="C186" s="80" t="s">
        <v>41</v>
      </c>
      <c r="D186" s="80" t="s">
        <v>748</v>
      </c>
      <c r="E186" s="80" t="s">
        <v>749</v>
      </c>
      <c r="F186" s="80" t="s">
        <v>699</v>
      </c>
      <c r="G186" s="81" t="s">
        <v>176</v>
      </c>
      <c r="H186" s="81" t="s">
        <v>750</v>
      </c>
      <c r="I186" s="81" t="s">
        <v>288</v>
      </c>
      <c r="J186" s="78" t="s">
        <v>640</v>
      </c>
      <c r="K186" s="27">
        <v>175</v>
      </c>
      <c r="L186" s="27"/>
      <c r="M186" s="27"/>
      <c r="N186" s="27"/>
      <c r="O186" s="27"/>
      <c r="P186" s="27">
        <v>3</v>
      </c>
      <c r="Q186" s="27">
        <v>75</v>
      </c>
      <c r="R186" s="27">
        <v>5</v>
      </c>
      <c r="S186" s="27">
        <v>98</v>
      </c>
      <c r="T186" s="28">
        <f t="shared" si="4"/>
        <v>173</v>
      </c>
      <c r="U186" s="27">
        <f t="shared" si="5"/>
        <v>1</v>
      </c>
      <c r="V186" s="29"/>
      <c r="W186" s="49">
        <v>1</v>
      </c>
    </row>
    <row r="187" spans="1:23" ht="31.5" customHeight="1" outlineLevel="1" thickBot="1" x14ac:dyDescent="0.3">
      <c r="A187" s="116"/>
      <c r="B187" s="79" t="s">
        <v>100</v>
      </c>
      <c r="C187" s="80" t="s">
        <v>126</v>
      </c>
      <c r="D187" s="80" t="s">
        <v>751</v>
      </c>
      <c r="E187" s="80" t="s">
        <v>752</v>
      </c>
      <c r="F187" s="80" t="s">
        <v>723</v>
      </c>
      <c r="G187" s="81" t="s">
        <v>130</v>
      </c>
      <c r="H187" s="81" t="s">
        <v>138</v>
      </c>
      <c r="I187" s="81" t="s">
        <v>288</v>
      </c>
      <c r="J187" s="78" t="s">
        <v>640</v>
      </c>
      <c r="K187" s="27">
        <v>45</v>
      </c>
      <c r="L187" s="27"/>
      <c r="M187" s="27"/>
      <c r="N187" s="27"/>
      <c r="O187" s="27"/>
      <c r="P187" s="27">
        <v>1</v>
      </c>
      <c r="Q187" s="27">
        <v>20</v>
      </c>
      <c r="R187" s="27">
        <v>1</v>
      </c>
      <c r="S187" s="27">
        <v>25</v>
      </c>
      <c r="T187" s="28">
        <f t="shared" si="4"/>
        <v>45</v>
      </c>
      <c r="U187" s="27">
        <f t="shared" si="5"/>
        <v>0</v>
      </c>
      <c r="V187" s="94"/>
      <c r="W187" s="40"/>
    </row>
    <row r="188" spans="1:23" ht="31.5" customHeight="1" outlineLevel="1" thickBot="1" x14ac:dyDescent="0.3">
      <c r="A188" s="116"/>
      <c r="B188" s="79" t="s">
        <v>153</v>
      </c>
      <c r="C188" s="80" t="s">
        <v>753</v>
      </c>
      <c r="D188" s="80" t="s">
        <v>753</v>
      </c>
      <c r="E188" s="80" t="s">
        <v>754</v>
      </c>
      <c r="F188" s="80" t="s">
        <v>699</v>
      </c>
      <c r="G188" s="81" t="s">
        <v>77</v>
      </c>
      <c r="H188" s="81" t="s">
        <v>526</v>
      </c>
      <c r="I188" s="81" t="s">
        <v>288</v>
      </c>
      <c r="J188" s="78" t="s">
        <v>640</v>
      </c>
      <c r="K188" s="27">
        <v>115</v>
      </c>
      <c r="L188" s="27"/>
      <c r="M188" s="27"/>
      <c r="N188" s="27">
        <v>1</v>
      </c>
      <c r="O188" s="27">
        <v>25</v>
      </c>
      <c r="P188" s="27">
        <v>2</v>
      </c>
      <c r="Q188" s="27">
        <v>50</v>
      </c>
      <c r="R188" s="27">
        <v>2</v>
      </c>
      <c r="S188" s="27">
        <v>40</v>
      </c>
      <c r="T188" s="28">
        <f t="shared" si="4"/>
        <v>115</v>
      </c>
      <c r="U188" s="27">
        <f t="shared" si="5"/>
        <v>0</v>
      </c>
      <c r="V188" s="52"/>
      <c r="W188" s="47"/>
    </row>
    <row r="189" spans="1:23" ht="31.5" customHeight="1" outlineLevel="1" thickBot="1" x14ac:dyDescent="0.3">
      <c r="A189" s="116"/>
      <c r="B189" s="79" t="s">
        <v>171</v>
      </c>
      <c r="C189" s="80" t="s">
        <v>755</v>
      </c>
      <c r="D189" s="80" t="s">
        <v>755</v>
      </c>
      <c r="E189" s="80" t="s">
        <v>756</v>
      </c>
      <c r="F189" s="80" t="s">
        <v>699</v>
      </c>
      <c r="G189" s="81" t="s">
        <v>84</v>
      </c>
      <c r="H189" s="81" t="s">
        <v>96</v>
      </c>
      <c r="I189" s="81" t="s">
        <v>277</v>
      </c>
      <c r="J189" s="78" t="s">
        <v>640</v>
      </c>
      <c r="K189" s="27">
        <v>100</v>
      </c>
      <c r="L189" s="27"/>
      <c r="M189" s="27"/>
      <c r="N189" s="27">
        <v>1</v>
      </c>
      <c r="O189" s="27">
        <v>22</v>
      </c>
      <c r="P189" s="27">
        <v>2</v>
      </c>
      <c r="Q189" s="27">
        <v>52</v>
      </c>
      <c r="R189" s="27">
        <v>1</v>
      </c>
      <c r="S189" s="27">
        <v>26</v>
      </c>
      <c r="T189" s="28">
        <f t="shared" si="4"/>
        <v>100</v>
      </c>
      <c r="U189" s="27">
        <f t="shared" si="5"/>
        <v>0</v>
      </c>
      <c r="V189" s="27"/>
      <c r="W189" s="49"/>
    </row>
    <row r="190" spans="1:23" ht="31.5" customHeight="1" outlineLevel="1" thickBot="1" x14ac:dyDescent="0.3">
      <c r="A190" s="116"/>
      <c r="B190" s="79" t="s">
        <v>57</v>
      </c>
      <c r="C190" s="80" t="s">
        <v>757</v>
      </c>
      <c r="D190" s="80" t="s">
        <v>757</v>
      </c>
      <c r="E190" s="80" t="s">
        <v>758</v>
      </c>
      <c r="F190" s="80" t="s">
        <v>759</v>
      </c>
      <c r="G190" s="81" t="s">
        <v>154</v>
      </c>
      <c r="H190" s="81" t="s">
        <v>430</v>
      </c>
      <c r="I190" s="81" t="s">
        <v>288</v>
      </c>
      <c r="J190" s="78" t="s">
        <v>640</v>
      </c>
      <c r="K190" s="27">
        <v>220</v>
      </c>
      <c r="L190" s="27"/>
      <c r="M190" s="27"/>
      <c r="N190" s="27"/>
      <c r="O190" s="27"/>
      <c r="P190" s="27">
        <v>3</v>
      </c>
      <c r="Q190" s="27">
        <v>72</v>
      </c>
      <c r="R190" s="27">
        <v>6</v>
      </c>
      <c r="S190" s="27">
        <v>146</v>
      </c>
      <c r="T190" s="28">
        <f t="shared" si="4"/>
        <v>218</v>
      </c>
      <c r="U190" s="27">
        <f t="shared" si="5"/>
        <v>2</v>
      </c>
      <c r="V190" s="94"/>
      <c r="W190" s="49"/>
    </row>
    <row r="191" spans="1:23" ht="31.5" customHeight="1" outlineLevel="1" thickBot="1" x14ac:dyDescent="0.3">
      <c r="A191" s="116"/>
      <c r="B191" s="79" t="s">
        <v>180</v>
      </c>
      <c r="C191" s="80" t="s">
        <v>760</v>
      </c>
      <c r="D191" s="80" t="s">
        <v>761</v>
      </c>
      <c r="E191" s="80" t="s">
        <v>762</v>
      </c>
      <c r="F191" s="80" t="s">
        <v>699</v>
      </c>
      <c r="G191" s="81" t="s">
        <v>45</v>
      </c>
      <c r="H191" s="81" t="s">
        <v>106</v>
      </c>
      <c r="I191" s="81" t="s">
        <v>277</v>
      </c>
      <c r="J191" s="81" t="s">
        <v>278</v>
      </c>
      <c r="K191" s="27">
        <v>75</v>
      </c>
      <c r="L191" s="27"/>
      <c r="M191" s="27"/>
      <c r="N191" s="27">
        <v>1</v>
      </c>
      <c r="O191" s="27">
        <v>24</v>
      </c>
      <c r="P191" s="27">
        <v>1</v>
      </c>
      <c r="Q191" s="27">
        <v>26</v>
      </c>
      <c r="R191" s="27">
        <v>1</v>
      </c>
      <c r="S191" s="27">
        <v>25</v>
      </c>
      <c r="T191" s="28">
        <f t="shared" si="4"/>
        <v>75</v>
      </c>
      <c r="U191" s="27">
        <f t="shared" si="5"/>
        <v>0</v>
      </c>
      <c r="V191" s="38"/>
      <c r="W191" s="40"/>
    </row>
    <row r="192" spans="1:23" ht="31.5" customHeight="1" outlineLevel="1" thickBot="1" x14ac:dyDescent="0.3">
      <c r="A192" s="116"/>
      <c r="B192" s="79" t="s">
        <v>130</v>
      </c>
      <c r="C192" s="80" t="s">
        <v>760</v>
      </c>
      <c r="D192" s="80" t="s">
        <v>760</v>
      </c>
      <c r="E192" s="80" t="s">
        <v>763</v>
      </c>
      <c r="F192" s="80" t="s">
        <v>699</v>
      </c>
      <c r="G192" s="81" t="s">
        <v>91</v>
      </c>
      <c r="H192" s="81" t="s">
        <v>710</v>
      </c>
      <c r="I192" s="81" t="s">
        <v>363</v>
      </c>
      <c r="J192" s="78" t="s">
        <v>640</v>
      </c>
      <c r="K192" s="27">
        <v>160</v>
      </c>
      <c r="L192" s="27"/>
      <c r="M192" s="27"/>
      <c r="N192" s="27">
        <v>2</v>
      </c>
      <c r="O192" s="27">
        <v>41</v>
      </c>
      <c r="P192" s="27">
        <v>2</v>
      </c>
      <c r="Q192" s="27">
        <v>50</v>
      </c>
      <c r="R192" s="27">
        <v>3</v>
      </c>
      <c r="S192" s="27">
        <v>69</v>
      </c>
      <c r="T192" s="28">
        <f t="shared" si="4"/>
        <v>160</v>
      </c>
      <c r="U192" s="27">
        <f t="shared" si="5"/>
        <v>0</v>
      </c>
      <c r="V192" s="29"/>
      <c r="W192" s="40"/>
    </row>
    <row r="193" spans="1:23" ht="31.5" customHeight="1" outlineLevel="1" thickBot="1" x14ac:dyDescent="0.3">
      <c r="A193" s="116"/>
      <c r="B193" s="79" t="s">
        <v>123</v>
      </c>
      <c r="C193" s="80" t="s">
        <v>764</v>
      </c>
      <c r="D193" s="80" t="s">
        <v>764</v>
      </c>
      <c r="E193" s="80" t="s">
        <v>765</v>
      </c>
      <c r="F193" s="80" t="s">
        <v>699</v>
      </c>
      <c r="G193" s="81" t="s">
        <v>100</v>
      </c>
      <c r="H193" s="81" t="s">
        <v>750</v>
      </c>
      <c r="I193" s="81" t="s">
        <v>363</v>
      </c>
      <c r="J193" s="78" t="s">
        <v>640</v>
      </c>
      <c r="K193" s="27">
        <v>175</v>
      </c>
      <c r="L193" s="27"/>
      <c r="M193" s="27"/>
      <c r="N193" s="27">
        <v>2</v>
      </c>
      <c r="O193" s="27">
        <v>49</v>
      </c>
      <c r="P193" s="27">
        <v>2</v>
      </c>
      <c r="Q193" s="27">
        <v>49</v>
      </c>
      <c r="R193" s="27">
        <v>3</v>
      </c>
      <c r="S193" s="27">
        <v>74</v>
      </c>
      <c r="T193" s="28">
        <f t="shared" si="4"/>
        <v>172</v>
      </c>
      <c r="U193" s="27">
        <f t="shared" si="5"/>
        <v>0</v>
      </c>
      <c r="V193" s="52"/>
      <c r="W193" s="47">
        <v>3</v>
      </c>
    </row>
    <row r="194" spans="1:23" ht="31.5" customHeight="1" outlineLevel="1" thickBot="1" x14ac:dyDescent="0.3">
      <c r="A194" s="116"/>
      <c r="B194" s="79" t="s">
        <v>176</v>
      </c>
      <c r="C194" s="80" t="s">
        <v>766</v>
      </c>
      <c r="D194" s="80" t="s">
        <v>766</v>
      </c>
      <c r="E194" s="80" t="s">
        <v>767</v>
      </c>
      <c r="F194" s="80" t="s">
        <v>759</v>
      </c>
      <c r="G194" s="81" t="s">
        <v>163</v>
      </c>
      <c r="H194" s="81" t="s">
        <v>504</v>
      </c>
      <c r="I194" s="81" t="s">
        <v>288</v>
      </c>
      <c r="J194" s="78" t="s">
        <v>640</v>
      </c>
      <c r="K194" s="27">
        <v>145</v>
      </c>
      <c r="L194" s="27"/>
      <c r="M194" s="27"/>
      <c r="N194" s="27"/>
      <c r="O194" s="27"/>
      <c r="P194" s="27">
        <v>3</v>
      </c>
      <c r="Q194" s="27">
        <v>70</v>
      </c>
      <c r="R194" s="27">
        <v>3</v>
      </c>
      <c r="S194" s="27">
        <v>75</v>
      </c>
      <c r="T194" s="28">
        <f t="shared" si="4"/>
        <v>145</v>
      </c>
      <c r="U194" s="27">
        <f t="shared" si="5"/>
        <v>0</v>
      </c>
      <c r="V194" s="29"/>
      <c r="W194" s="40"/>
    </row>
    <row r="195" spans="1:23" ht="31.5" customHeight="1" outlineLevel="1" thickBot="1" x14ac:dyDescent="0.3">
      <c r="A195" s="116"/>
      <c r="B195" s="79" t="s">
        <v>75</v>
      </c>
      <c r="C195" s="80" t="s">
        <v>768</v>
      </c>
      <c r="D195" s="80" t="s">
        <v>768</v>
      </c>
      <c r="E195" s="80" t="s">
        <v>769</v>
      </c>
      <c r="F195" s="80" t="s">
        <v>699</v>
      </c>
      <c r="G195" s="81" t="s">
        <v>67</v>
      </c>
      <c r="H195" s="81" t="s">
        <v>246</v>
      </c>
      <c r="I195" s="81" t="s">
        <v>288</v>
      </c>
      <c r="J195" s="78" t="s">
        <v>640</v>
      </c>
      <c r="K195" s="27">
        <v>110</v>
      </c>
      <c r="L195" s="27"/>
      <c r="M195" s="27"/>
      <c r="N195" s="27"/>
      <c r="O195" s="27"/>
      <c r="P195" s="27">
        <v>2</v>
      </c>
      <c r="Q195" s="27">
        <v>54</v>
      </c>
      <c r="R195" s="27">
        <v>2</v>
      </c>
      <c r="S195" s="27">
        <v>56</v>
      </c>
      <c r="T195" s="28">
        <f t="shared" si="4"/>
        <v>110</v>
      </c>
      <c r="U195" s="27">
        <f t="shared" si="5"/>
        <v>0</v>
      </c>
      <c r="V195" s="94"/>
      <c r="W195" s="45"/>
    </row>
    <row r="196" spans="1:23" ht="31.5" customHeight="1" outlineLevel="1" thickBot="1" x14ac:dyDescent="0.3">
      <c r="A196" s="116"/>
      <c r="B196" s="79" t="s">
        <v>199</v>
      </c>
      <c r="C196" s="80" t="s">
        <v>770</v>
      </c>
      <c r="D196" s="80" t="s">
        <v>771</v>
      </c>
      <c r="E196" s="80" t="s">
        <v>772</v>
      </c>
      <c r="F196" s="80" t="s">
        <v>695</v>
      </c>
      <c r="G196" s="81" t="s">
        <v>70</v>
      </c>
      <c r="H196" s="81" t="s">
        <v>773</v>
      </c>
      <c r="I196" s="81" t="s">
        <v>277</v>
      </c>
      <c r="J196" s="81" t="s">
        <v>278</v>
      </c>
      <c r="K196" s="27">
        <v>128</v>
      </c>
      <c r="L196" s="27"/>
      <c r="M196" s="27"/>
      <c r="N196" s="27">
        <v>2</v>
      </c>
      <c r="O196" s="27">
        <v>17</v>
      </c>
      <c r="P196" s="27">
        <v>3</v>
      </c>
      <c r="Q196" s="27">
        <v>37</v>
      </c>
      <c r="R196" s="27">
        <v>5</v>
      </c>
      <c r="S196" s="27">
        <v>74</v>
      </c>
      <c r="T196" s="28">
        <f t="shared" si="4"/>
        <v>128</v>
      </c>
      <c r="U196" s="27">
        <f t="shared" si="5"/>
        <v>-1</v>
      </c>
      <c r="V196" s="27"/>
      <c r="W196" s="30">
        <v>1</v>
      </c>
    </row>
    <row r="197" spans="1:23" ht="31.5" customHeight="1" outlineLevel="1" thickBot="1" x14ac:dyDescent="0.3">
      <c r="A197" s="116"/>
      <c r="B197" s="79" t="s">
        <v>163</v>
      </c>
      <c r="C197" s="80" t="s">
        <v>760</v>
      </c>
      <c r="D197" s="80" t="s">
        <v>109</v>
      </c>
      <c r="E197" s="80" t="s">
        <v>774</v>
      </c>
      <c r="F197" s="80" t="s">
        <v>699</v>
      </c>
      <c r="G197" s="81" t="s">
        <v>97</v>
      </c>
      <c r="H197" s="81" t="s">
        <v>710</v>
      </c>
      <c r="I197" s="81" t="s">
        <v>277</v>
      </c>
      <c r="J197" s="81" t="s">
        <v>278</v>
      </c>
      <c r="K197" s="27">
        <v>160</v>
      </c>
      <c r="L197" s="27"/>
      <c r="M197" s="27"/>
      <c r="N197" s="27">
        <v>2</v>
      </c>
      <c r="O197" s="27">
        <v>41</v>
      </c>
      <c r="P197" s="27">
        <v>2</v>
      </c>
      <c r="Q197" s="27">
        <v>50</v>
      </c>
      <c r="R197" s="27">
        <v>3</v>
      </c>
      <c r="S197" s="27">
        <v>69</v>
      </c>
      <c r="T197" s="28">
        <f t="shared" ref="T197:T211" si="6">SUM(M197,O197,Q197,S197)</f>
        <v>160</v>
      </c>
      <c r="U197" s="27">
        <f t="shared" ref="U197:U211" si="7">SUM(K197-T197-(W197*1))</f>
        <v>0</v>
      </c>
      <c r="V197" s="27"/>
      <c r="W197" s="30"/>
    </row>
    <row r="198" spans="1:23" ht="31.5" customHeight="1" outlineLevel="1" thickBot="1" x14ac:dyDescent="0.3">
      <c r="A198" s="116"/>
      <c r="B198" s="79" t="s">
        <v>67</v>
      </c>
      <c r="C198" s="80" t="s">
        <v>775</v>
      </c>
      <c r="D198" s="80" t="s">
        <v>775</v>
      </c>
      <c r="E198" s="80" t="s">
        <v>776</v>
      </c>
      <c r="F198" s="80" t="s">
        <v>759</v>
      </c>
      <c r="G198" s="81" t="s">
        <v>199</v>
      </c>
      <c r="H198" s="81" t="s">
        <v>46</v>
      </c>
      <c r="I198" s="81" t="s">
        <v>288</v>
      </c>
      <c r="J198" s="78" t="s">
        <v>640</v>
      </c>
      <c r="K198" s="27">
        <v>40</v>
      </c>
      <c r="L198" s="27"/>
      <c r="M198" s="27"/>
      <c r="N198" s="27"/>
      <c r="O198" s="27"/>
      <c r="P198" s="27">
        <v>1</v>
      </c>
      <c r="Q198" s="27">
        <v>20</v>
      </c>
      <c r="R198" s="27">
        <v>1</v>
      </c>
      <c r="S198" s="27">
        <v>20</v>
      </c>
      <c r="T198" s="28">
        <f t="shared" si="6"/>
        <v>40</v>
      </c>
      <c r="U198" s="27">
        <f t="shared" si="7"/>
        <v>0</v>
      </c>
      <c r="V198" s="52"/>
      <c r="W198" s="51"/>
    </row>
    <row r="199" spans="1:23" ht="31.5" customHeight="1" outlineLevel="1" thickBot="1" x14ac:dyDescent="0.3">
      <c r="A199" s="116"/>
      <c r="B199" s="79" t="s">
        <v>211</v>
      </c>
      <c r="C199" s="80" t="s">
        <v>777</v>
      </c>
      <c r="D199" s="80" t="s">
        <v>778</v>
      </c>
      <c r="E199" s="80" t="s">
        <v>779</v>
      </c>
      <c r="F199" s="80" t="s">
        <v>699</v>
      </c>
      <c r="G199" s="81" t="s">
        <v>125</v>
      </c>
      <c r="H199" s="81" t="s">
        <v>686</v>
      </c>
      <c r="I199" s="81" t="s">
        <v>277</v>
      </c>
      <c r="J199" s="78" t="s">
        <v>640</v>
      </c>
      <c r="K199" s="27">
        <v>168</v>
      </c>
      <c r="L199" s="27"/>
      <c r="M199" s="27"/>
      <c r="N199" s="27">
        <v>1</v>
      </c>
      <c r="O199" s="27">
        <v>25</v>
      </c>
      <c r="P199" s="27">
        <v>2</v>
      </c>
      <c r="Q199" s="27">
        <v>67</v>
      </c>
      <c r="R199" s="27">
        <v>3</v>
      </c>
      <c r="S199" s="27">
        <v>76</v>
      </c>
      <c r="T199" s="28">
        <f t="shared" si="6"/>
        <v>168</v>
      </c>
      <c r="U199" s="27">
        <f t="shared" si="7"/>
        <v>0</v>
      </c>
      <c r="V199" s="29"/>
      <c r="W199" s="40"/>
    </row>
    <row r="200" spans="1:23" ht="31.5" customHeight="1" outlineLevel="1" thickBot="1" x14ac:dyDescent="0.3">
      <c r="A200" s="116"/>
      <c r="B200" s="79" t="s">
        <v>215</v>
      </c>
      <c r="C200" s="80" t="s">
        <v>780</v>
      </c>
      <c r="D200" s="80" t="s">
        <v>780</v>
      </c>
      <c r="E200" s="80" t="s">
        <v>781</v>
      </c>
      <c r="F200" s="80" t="s">
        <v>699</v>
      </c>
      <c r="G200" s="81" t="s">
        <v>159</v>
      </c>
      <c r="H200" s="81" t="s">
        <v>736</v>
      </c>
      <c r="I200" s="81" t="s">
        <v>288</v>
      </c>
      <c r="J200" s="78" t="s">
        <v>640</v>
      </c>
      <c r="K200" s="27">
        <v>135</v>
      </c>
      <c r="L200" s="27"/>
      <c r="M200" s="27"/>
      <c r="N200" s="27">
        <v>1</v>
      </c>
      <c r="O200" s="27">
        <v>22</v>
      </c>
      <c r="P200" s="27">
        <v>2</v>
      </c>
      <c r="Q200" s="27">
        <v>36</v>
      </c>
      <c r="R200" s="27">
        <v>3</v>
      </c>
      <c r="S200" s="27">
        <v>77</v>
      </c>
      <c r="T200" s="28">
        <f t="shared" si="6"/>
        <v>135</v>
      </c>
      <c r="U200" s="27">
        <f t="shared" si="7"/>
        <v>0</v>
      </c>
      <c r="V200" s="29"/>
      <c r="W200" s="30"/>
    </row>
    <row r="201" spans="1:23" ht="31.5" customHeight="1" outlineLevel="1" thickBot="1" x14ac:dyDescent="0.3">
      <c r="A201" s="116"/>
      <c r="B201" s="79" t="s">
        <v>62</v>
      </c>
      <c r="C201" s="80" t="s">
        <v>782</v>
      </c>
      <c r="D201" s="80" t="s">
        <v>783</v>
      </c>
      <c r="E201" s="80" t="s">
        <v>784</v>
      </c>
      <c r="F201" s="80" t="s">
        <v>695</v>
      </c>
      <c r="G201" s="81" t="s">
        <v>131</v>
      </c>
      <c r="H201" s="81" t="s">
        <v>785</v>
      </c>
      <c r="I201" s="81" t="s">
        <v>277</v>
      </c>
      <c r="J201" s="78" t="s">
        <v>640</v>
      </c>
      <c r="K201" s="27">
        <v>317</v>
      </c>
      <c r="L201" s="27"/>
      <c r="M201" s="27"/>
      <c r="N201" s="27">
        <v>1</v>
      </c>
      <c r="O201" s="27">
        <v>18</v>
      </c>
      <c r="P201" s="27">
        <v>5</v>
      </c>
      <c r="Q201" s="27">
        <v>110</v>
      </c>
      <c r="R201" s="27">
        <v>8</v>
      </c>
      <c r="S201" s="27">
        <v>189</v>
      </c>
      <c r="T201" s="28">
        <f t="shared" si="6"/>
        <v>317</v>
      </c>
      <c r="U201" s="27">
        <f t="shared" si="7"/>
        <v>0</v>
      </c>
      <c r="V201" s="29"/>
      <c r="W201" s="30"/>
    </row>
    <row r="202" spans="1:23" ht="31.5" customHeight="1" outlineLevel="1" thickBot="1" x14ac:dyDescent="0.3">
      <c r="A202" s="116"/>
      <c r="B202" s="79" t="s">
        <v>84</v>
      </c>
      <c r="C202" s="80" t="s">
        <v>786</v>
      </c>
      <c r="D202" s="80" t="s">
        <v>786</v>
      </c>
      <c r="E202" s="80" t="s">
        <v>787</v>
      </c>
      <c r="F202" s="80" t="s">
        <v>699</v>
      </c>
      <c r="G202" s="81" t="s">
        <v>513</v>
      </c>
      <c r="H202" s="87" t="s">
        <v>68</v>
      </c>
      <c r="I202" s="81" t="s">
        <v>277</v>
      </c>
      <c r="J202" s="81" t="s">
        <v>508</v>
      </c>
      <c r="K202" s="27">
        <v>120</v>
      </c>
      <c r="L202" s="27"/>
      <c r="M202" s="27"/>
      <c r="N202" s="27"/>
      <c r="O202" s="27"/>
      <c r="P202" s="27">
        <v>3</v>
      </c>
      <c r="Q202" s="27">
        <v>62</v>
      </c>
      <c r="R202" s="27">
        <v>3</v>
      </c>
      <c r="S202" s="27">
        <v>58</v>
      </c>
      <c r="T202" s="28">
        <f t="shared" si="6"/>
        <v>120</v>
      </c>
      <c r="U202" s="27">
        <f t="shared" si="7"/>
        <v>0</v>
      </c>
      <c r="V202" s="94"/>
      <c r="W202" s="86"/>
    </row>
    <row r="203" spans="1:23" ht="31.5" customHeight="1" outlineLevel="1" thickBot="1" x14ac:dyDescent="0.3">
      <c r="A203" s="116"/>
      <c r="B203" s="79" t="s">
        <v>95</v>
      </c>
      <c r="C203" s="80" t="s">
        <v>788</v>
      </c>
      <c r="D203" s="80" t="s">
        <v>789</v>
      </c>
      <c r="E203" s="80" t="s">
        <v>790</v>
      </c>
      <c r="F203" s="80" t="s">
        <v>791</v>
      </c>
      <c r="G203" s="81" t="s">
        <v>792</v>
      </c>
      <c r="H203" s="87" t="s">
        <v>793</v>
      </c>
      <c r="I203" s="81" t="s">
        <v>277</v>
      </c>
      <c r="J203" s="81" t="s">
        <v>508</v>
      </c>
      <c r="K203" s="27">
        <v>225</v>
      </c>
      <c r="L203" s="27"/>
      <c r="M203" s="27"/>
      <c r="N203" s="27"/>
      <c r="O203" s="27"/>
      <c r="P203" s="27">
        <v>6</v>
      </c>
      <c r="Q203" s="27">
        <v>148</v>
      </c>
      <c r="R203" s="27">
        <v>3</v>
      </c>
      <c r="S203" s="27">
        <v>77</v>
      </c>
      <c r="T203" s="28">
        <f t="shared" si="6"/>
        <v>225</v>
      </c>
      <c r="U203" s="27">
        <f t="shared" si="7"/>
        <v>0</v>
      </c>
      <c r="V203" s="29"/>
      <c r="W203" s="30"/>
    </row>
    <row r="204" spans="1:23" ht="31.5" customHeight="1" outlineLevel="1" thickBot="1" x14ac:dyDescent="0.3">
      <c r="A204" s="116"/>
      <c r="B204" s="79" t="s">
        <v>143</v>
      </c>
      <c r="C204" s="96" t="s">
        <v>794</v>
      </c>
      <c r="D204" s="97" t="s">
        <v>795</v>
      </c>
      <c r="E204" s="98" t="s">
        <v>796</v>
      </c>
      <c r="F204" s="80" t="s">
        <v>797</v>
      </c>
      <c r="G204" s="81"/>
      <c r="H204" s="87">
        <v>300</v>
      </c>
      <c r="I204" s="81" t="s">
        <v>798</v>
      </c>
      <c r="J204" s="81" t="s">
        <v>799</v>
      </c>
      <c r="K204" s="27">
        <v>300</v>
      </c>
      <c r="L204" s="27"/>
      <c r="M204" s="27"/>
      <c r="N204" s="27">
        <v>1</v>
      </c>
      <c r="O204" s="27">
        <v>24</v>
      </c>
      <c r="P204" s="27">
        <v>6</v>
      </c>
      <c r="Q204" s="27">
        <v>156</v>
      </c>
      <c r="R204" s="27">
        <v>5</v>
      </c>
      <c r="S204" s="27">
        <v>120</v>
      </c>
      <c r="T204" s="28">
        <f t="shared" si="6"/>
        <v>300</v>
      </c>
      <c r="U204" s="27">
        <f t="shared" si="7"/>
        <v>0</v>
      </c>
      <c r="V204" s="94"/>
      <c r="W204" s="86"/>
    </row>
    <row r="205" spans="1:23" ht="31.5" customHeight="1" outlineLevel="1" thickBot="1" x14ac:dyDescent="0.3">
      <c r="A205" s="116"/>
      <c r="B205" s="83">
        <v>40</v>
      </c>
      <c r="C205" s="96" t="s">
        <v>800</v>
      </c>
      <c r="D205" s="97" t="s">
        <v>801</v>
      </c>
      <c r="E205" s="98" t="s">
        <v>802</v>
      </c>
      <c r="F205" s="84" t="s">
        <v>803</v>
      </c>
      <c r="G205" s="85"/>
      <c r="H205" s="88">
        <v>81</v>
      </c>
      <c r="I205" s="85"/>
      <c r="J205" s="85" t="s">
        <v>804</v>
      </c>
      <c r="K205" s="35">
        <v>81</v>
      </c>
      <c r="L205" s="35"/>
      <c r="M205" s="35"/>
      <c r="N205" s="35"/>
      <c r="O205" s="35"/>
      <c r="P205" s="35">
        <v>1</v>
      </c>
      <c r="Q205" s="35">
        <v>25</v>
      </c>
      <c r="R205" s="35">
        <v>2</v>
      </c>
      <c r="S205" s="35">
        <v>56</v>
      </c>
      <c r="T205" s="28">
        <f t="shared" si="6"/>
        <v>81</v>
      </c>
      <c r="U205" s="27">
        <f t="shared" si="7"/>
        <v>0</v>
      </c>
      <c r="V205" s="82"/>
      <c r="W205" s="53"/>
    </row>
    <row r="206" spans="1:23" ht="31.5" customHeight="1" outlineLevel="1" thickBot="1" x14ac:dyDescent="0.3">
      <c r="A206" s="7"/>
      <c r="B206" s="60"/>
      <c r="C206" s="61"/>
      <c r="D206" s="61"/>
      <c r="E206" s="61"/>
      <c r="F206" s="61"/>
      <c r="G206" s="60"/>
      <c r="H206" s="62"/>
      <c r="I206" s="60"/>
      <c r="J206" s="60"/>
      <c r="K206" s="63"/>
      <c r="L206" s="63"/>
      <c r="M206" s="63"/>
      <c r="N206" s="63"/>
      <c r="O206" s="63"/>
      <c r="P206" s="63"/>
      <c r="Q206" s="63"/>
      <c r="R206" s="63"/>
      <c r="S206" s="63"/>
      <c r="T206" s="57"/>
      <c r="U206" s="56"/>
      <c r="V206" s="75"/>
      <c r="W206" s="67"/>
    </row>
    <row r="207" spans="1:23" ht="31.5" customHeight="1" outlineLevel="1" thickBot="1" x14ac:dyDescent="0.3">
      <c r="A207" s="116" t="s">
        <v>805</v>
      </c>
      <c r="B207" s="76" t="s">
        <v>22</v>
      </c>
      <c r="C207" s="77" t="s">
        <v>349</v>
      </c>
      <c r="D207" s="77" t="s">
        <v>806</v>
      </c>
      <c r="E207" s="77" t="s">
        <v>807</v>
      </c>
      <c r="F207" s="77" t="s">
        <v>808</v>
      </c>
      <c r="G207" s="78" t="s">
        <v>809</v>
      </c>
      <c r="H207" s="78" t="s">
        <v>810</v>
      </c>
      <c r="I207" s="78" t="s">
        <v>38</v>
      </c>
      <c r="J207" s="78" t="s">
        <v>811</v>
      </c>
      <c r="K207" s="38">
        <v>230</v>
      </c>
      <c r="L207" s="38">
        <v>0</v>
      </c>
      <c r="M207" s="38">
        <v>0</v>
      </c>
      <c r="N207" s="38">
        <v>2</v>
      </c>
      <c r="O207" s="38">
        <v>50</v>
      </c>
      <c r="P207" s="38">
        <v>3</v>
      </c>
      <c r="Q207" s="38">
        <v>76</v>
      </c>
      <c r="R207" s="38">
        <v>4</v>
      </c>
      <c r="S207" s="38">
        <v>104</v>
      </c>
      <c r="T207" s="28">
        <f t="shared" si="6"/>
        <v>230</v>
      </c>
      <c r="U207" s="27">
        <f t="shared" si="7"/>
        <v>0</v>
      </c>
      <c r="V207" s="29"/>
      <c r="W207" s="30"/>
    </row>
    <row r="208" spans="1:23" ht="31.5" customHeight="1" outlineLevel="1" thickBot="1" x14ac:dyDescent="0.3">
      <c r="A208" s="116"/>
      <c r="B208" s="79" t="s">
        <v>31</v>
      </c>
      <c r="C208" s="80" t="s">
        <v>812</v>
      </c>
      <c r="D208" s="80"/>
      <c r="E208" s="80" t="s">
        <v>813</v>
      </c>
      <c r="F208" s="80" t="s">
        <v>814</v>
      </c>
      <c r="G208" s="81" t="s">
        <v>815</v>
      </c>
      <c r="H208" s="81" t="s">
        <v>246</v>
      </c>
      <c r="I208" s="81" t="s">
        <v>475</v>
      </c>
      <c r="J208" s="78" t="s">
        <v>640</v>
      </c>
      <c r="K208" s="27">
        <v>110</v>
      </c>
      <c r="L208" s="27">
        <v>0</v>
      </c>
      <c r="M208" s="27">
        <v>0</v>
      </c>
      <c r="N208" s="27">
        <v>0</v>
      </c>
      <c r="O208" s="27">
        <v>0</v>
      </c>
      <c r="P208" s="27">
        <v>2</v>
      </c>
      <c r="Q208" s="27">
        <v>41</v>
      </c>
      <c r="R208" s="27">
        <v>3</v>
      </c>
      <c r="S208" s="27">
        <v>69</v>
      </c>
      <c r="T208" s="28">
        <f t="shared" si="6"/>
        <v>110</v>
      </c>
      <c r="U208" s="27">
        <f t="shared" si="7"/>
        <v>0</v>
      </c>
      <c r="V208" s="29"/>
      <c r="W208" s="30"/>
    </row>
    <row r="209" spans="1:26" ht="31.5" customHeight="1" outlineLevel="1" thickBot="1" x14ac:dyDescent="0.3">
      <c r="A209" s="116"/>
      <c r="B209" s="79" t="s">
        <v>40</v>
      </c>
      <c r="C209" s="80" t="s">
        <v>816</v>
      </c>
      <c r="D209" s="80"/>
      <c r="E209" s="80" t="s">
        <v>817</v>
      </c>
      <c r="F209" s="80" t="s">
        <v>818</v>
      </c>
      <c r="G209" s="81" t="s">
        <v>819</v>
      </c>
      <c r="H209" s="81" t="s">
        <v>736</v>
      </c>
      <c r="I209" s="81" t="s">
        <v>38</v>
      </c>
      <c r="J209" s="78" t="s">
        <v>640</v>
      </c>
      <c r="K209" s="27">
        <v>135</v>
      </c>
      <c r="L209" s="27">
        <v>0</v>
      </c>
      <c r="M209" s="27">
        <v>0</v>
      </c>
      <c r="N209" s="27">
        <v>0</v>
      </c>
      <c r="O209" s="27">
        <v>0</v>
      </c>
      <c r="P209" s="27">
        <v>3</v>
      </c>
      <c r="Q209" s="27">
        <v>55</v>
      </c>
      <c r="R209" s="27">
        <v>4</v>
      </c>
      <c r="S209" s="27">
        <v>80</v>
      </c>
      <c r="T209" s="28">
        <f t="shared" si="6"/>
        <v>135</v>
      </c>
      <c r="U209" s="27">
        <f>SUM(K209-T209-(W209*1))</f>
        <v>0</v>
      </c>
      <c r="V209" s="52"/>
      <c r="W209" s="51"/>
    </row>
    <row r="210" spans="1:26" ht="31.5" customHeight="1" outlineLevel="1" thickBot="1" x14ac:dyDescent="0.3">
      <c r="A210" s="116"/>
      <c r="B210" s="79" t="s">
        <v>64</v>
      </c>
      <c r="C210" s="80" t="s">
        <v>820</v>
      </c>
      <c r="D210" s="80" t="s">
        <v>821</v>
      </c>
      <c r="E210" s="80" t="s">
        <v>822</v>
      </c>
      <c r="F210" s="80" t="s">
        <v>823</v>
      </c>
      <c r="G210" s="81" t="s">
        <v>824</v>
      </c>
      <c r="H210" s="81" t="s">
        <v>825</v>
      </c>
      <c r="I210" s="81" t="s">
        <v>38</v>
      </c>
      <c r="J210" s="78" t="s">
        <v>640</v>
      </c>
      <c r="K210" s="27">
        <v>105</v>
      </c>
      <c r="L210" s="27"/>
      <c r="M210" s="27"/>
      <c r="N210" s="27">
        <v>2</v>
      </c>
      <c r="O210" s="27">
        <v>18</v>
      </c>
      <c r="P210" s="27">
        <v>2</v>
      </c>
      <c r="Q210" s="27">
        <v>43</v>
      </c>
      <c r="R210" s="27">
        <v>2</v>
      </c>
      <c r="S210" s="27">
        <v>44</v>
      </c>
      <c r="T210" s="28">
        <f t="shared" si="6"/>
        <v>105</v>
      </c>
      <c r="U210" s="27">
        <f t="shared" si="7"/>
        <v>-1</v>
      </c>
      <c r="V210" s="82"/>
      <c r="W210" s="30">
        <v>1</v>
      </c>
    </row>
    <row r="211" spans="1:26" ht="31.5" customHeight="1" outlineLevel="1" thickBot="1" x14ac:dyDescent="0.3">
      <c r="A211" s="116"/>
      <c r="B211" s="83" t="s">
        <v>70</v>
      </c>
      <c r="C211" s="84" t="s">
        <v>826</v>
      </c>
      <c r="D211" s="84" t="s">
        <v>827</v>
      </c>
      <c r="E211" s="84" t="s">
        <v>828</v>
      </c>
      <c r="F211" s="84" t="s">
        <v>829</v>
      </c>
      <c r="G211" s="85" t="s">
        <v>830</v>
      </c>
      <c r="H211" s="85" t="s">
        <v>831</v>
      </c>
      <c r="I211" s="85" t="s">
        <v>38</v>
      </c>
      <c r="J211" s="85" t="s">
        <v>278</v>
      </c>
      <c r="K211" s="35">
        <v>78</v>
      </c>
      <c r="L211" s="35"/>
      <c r="M211" s="35"/>
      <c r="N211" s="35">
        <v>1</v>
      </c>
      <c r="O211" s="35">
        <v>26</v>
      </c>
      <c r="P211" s="35">
        <v>1</v>
      </c>
      <c r="Q211" s="35">
        <v>26</v>
      </c>
      <c r="R211" s="35">
        <v>1</v>
      </c>
      <c r="S211" s="35">
        <v>26</v>
      </c>
      <c r="T211" s="28">
        <f t="shared" si="6"/>
        <v>78</v>
      </c>
      <c r="U211" s="27">
        <f t="shared" si="7"/>
        <v>0</v>
      </c>
      <c r="V211" s="29"/>
      <c r="W211" s="86"/>
      <c r="Z211" t="s">
        <v>832</v>
      </c>
    </row>
    <row r="212" spans="1:26" ht="31.5" customHeight="1" outlineLevel="1" thickBot="1" x14ac:dyDescent="0.3">
      <c r="A212" s="7"/>
      <c r="B212" s="8"/>
      <c r="C212" s="9"/>
      <c r="D212" s="9"/>
      <c r="E212" s="9"/>
      <c r="F212" s="9"/>
      <c r="G212" s="8"/>
      <c r="H212" s="10"/>
      <c r="I212" s="8"/>
      <c r="J212" s="8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6"/>
      <c r="V212" s="17"/>
      <c r="W212" s="12"/>
    </row>
    <row r="213" spans="1:26" ht="31.5" customHeight="1" x14ac:dyDescent="0.25">
      <c r="B213" s="13">
        <v>201</v>
      </c>
      <c r="T213" s="19"/>
      <c r="U213" s="111"/>
    </row>
    <row r="216" spans="1:26" ht="31.5" customHeight="1" x14ac:dyDescent="0.25">
      <c r="B216" s="20"/>
      <c r="C216" s="20"/>
    </row>
    <row r="217" spans="1:26" ht="31.5" customHeight="1" x14ac:dyDescent="0.25">
      <c r="B217" s="115" t="s">
        <v>833</v>
      </c>
      <c r="C217" s="132"/>
      <c r="D217" s="132"/>
      <c r="E217" s="132"/>
      <c r="F217" s="132"/>
      <c r="G217" s="132"/>
      <c r="H217" s="132"/>
      <c r="I217" s="132"/>
      <c r="J217" s="132"/>
    </row>
    <row r="218" spans="1:26" ht="31.5" customHeight="1" x14ac:dyDescent="0.25">
      <c r="C218" s="20" t="s">
        <v>834</v>
      </c>
      <c r="G218" s="21"/>
    </row>
  </sheetData>
  <mergeCells count="30">
    <mergeCell ref="B217:J217"/>
    <mergeCell ref="T1:T2"/>
    <mergeCell ref="U1:U2"/>
    <mergeCell ref="V1:V2"/>
    <mergeCell ref="W1:W2"/>
    <mergeCell ref="L1:M1"/>
    <mergeCell ref="N1:O1"/>
    <mergeCell ref="P1:Q1"/>
    <mergeCell ref="R1:S1"/>
    <mergeCell ref="I1:I2"/>
    <mergeCell ref="J1:J2"/>
    <mergeCell ref="A1:A2"/>
    <mergeCell ref="B1:B2"/>
    <mergeCell ref="C1:C2"/>
    <mergeCell ref="D1:D2"/>
    <mergeCell ref="K1:K2"/>
    <mergeCell ref="A207:A211"/>
    <mergeCell ref="A4:A6"/>
    <mergeCell ref="A8:A56"/>
    <mergeCell ref="A58:A84"/>
    <mergeCell ref="A86:A113"/>
    <mergeCell ref="A115:A120"/>
    <mergeCell ref="A122:A129"/>
    <mergeCell ref="A131:A147"/>
    <mergeCell ref="A149:A158"/>
    <mergeCell ref="A160:A164"/>
    <mergeCell ref="A166:A205"/>
    <mergeCell ref="F1:F2"/>
    <mergeCell ref="G1:G2"/>
    <mergeCell ref="H1:H2"/>
  </mergeCells>
  <conditionalFormatting sqref="U3:U1048576">
    <cfRule type="cellIs" dxfId="1" priority="1" operator="greaterThan">
      <formula>0</formula>
    </cfRule>
  </conditionalFormatting>
  <conditionalFormatting sqref="V11 V15 V21 V24 V31 V43 V53 V63 V81 V131 V166 V189 V191 V196:V197"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Torres</dc:creator>
  <cp:keywords/>
  <dc:description/>
  <cp:lastModifiedBy>GABRIELLE FREIRE DOMINGUES</cp:lastModifiedBy>
  <cp:revision/>
  <dcterms:created xsi:type="dcterms:W3CDTF">2020-06-09T13:54:06Z</dcterms:created>
  <dcterms:modified xsi:type="dcterms:W3CDTF">2026-08-28T18:17:00Z</dcterms:modified>
  <cp:category/>
  <cp:contentStatus/>
</cp:coreProperties>
</file>